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SingleCells1.xml" ContentType="application/vnd.openxmlformats-officedocument.spreadsheetml.tableSingleCells+xml"/>
  <Override PartName="/xl/drawings/drawing2.xml" ContentType="application/vnd.openxmlformats-officedocument.drawing+xml"/>
  <Override PartName="/xl/charts/chart1.xml" ContentType="application/vnd.openxmlformats-officedocument.drawingml.chart+xml"/>
  <Override PartName="/xl/tables/tableSingleCells2.xml" ContentType="application/vnd.openxmlformats-officedocument.spreadsheetml.tableSingleCells+xml"/>
  <Override PartName="/xl/comments1.xml" ContentType="application/vnd.openxmlformats-officedocument.spreadsheetml.comments+xml"/>
  <Override PartName="/xl/tables/tableSingleCells3.xml" ContentType="application/vnd.openxmlformats-officedocument.spreadsheetml.tableSingleCells+xml"/>
  <Override PartName="/xl/tables/tableSingleCells4.xml" ContentType="application/vnd.openxmlformats-officedocument.spreadsheetml.tableSingleCells+xml"/>
  <Override PartName="/xl/tables/tableSingleCells5.xml" ContentType="application/vnd.openxmlformats-officedocument.spreadsheetml.tableSingleCells+xml"/>
  <Override PartName="/xl/tables/tableSingleCells6.xml" ContentType="application/vnd.openxmlformats-officedocument.spreadsheetml.tableSingleCells+xml"/>
  <Override PartName="/xl/tables/tableSingleCells7.xml" ContentType="application/vnd.openxmlformats-officedocument.spreadsheetml.tableSingleCells+xml"/>
  <Override PartName="/xl/tables/tableSingleCells8.xml" ContentType="application/vnd.openxmlformats-officedocument.spreadsheetml.tableSingleCells+xml"/>
  <Override PartName="/xl/tables/tableSingleCells9.xml" ContentType="application/vnd.openxmlformats-officedocument.spreadsheetml.tableSingleCells+xml"/>
  <Override PartName="/xl/tables/tableSingleCells10.xml" ContentType="application/vnd.openxmlformats-officedocument.spreadsheetml.tableSingleCell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backupFile="1" codeName="FPAScoreSheetWorbook" defaultThemeVersion="124226"/>
  <mc:AlternateContent xmlns:mc="http://schemas.openxmlformats.org/markup-compatibility/2006">
    <mc:Choice Requires="x15">
      <x15ac:absPath xmlns:x15ac="http://schemas.microsoft.com/office/spreadsheetml/2010/11/ac" url="C:\Users\Ryan\Desktop\PoolCreator\Export\"/>
    </mc:Choice>
  </mc:AlternateContent>
  <bookViews>
    <workbookView xWindow="-15" yWindow="360" windowWidth="9405" windowHeight="3435" tabRatio="824" activeTab="11"/>
  </bookViews>
  <sheets>
    <sheet name="Settings" sheetId="30" r:id="rId1"/>
    <sheet name="Starterlist" sheetId="12" r:id="rId2"/>
    <sheet name="Results" sheetId="10" r:id="rId3"/>
    <sheet name="EX 1" sheetId="16" r:id="rId4"/>
    <sheet name="EX 2" sheetId="18" r:id="rId5"/>
    <sheet name="EX 3" sheetId="19" r:id="rId6"/>
    <sheet name="AI 1" sheetId="14" r:id="rId7"/>
    <sheet name="AI 2" sheetId="20" r:id="rId8"/>
    <sheet name="AI 3" sheetId="21" r:id="rId9"/>
    <sheet name="DIF 1" sheetId="15" r:id="rId10"/>
    <sheet name="DIF 2" sheetId="22" r:id="rId11"/>
    <sheet name="DIF 3" sheetId="23" r:id="rId12"/>
    <sheet name="AnouncerInfos" sheetId="25" r:id="rId13"/>
    <sheet name="Competitors" sheetId="33" state="hidden" r:id="rId14"/>
    <sheet name="Variety Checklist" sheetId="28" state="hidden" r:id="rId15"/>
    <sheet name="Results (Text)" sheetId="24" r:id="rId16"/>
    <sheet name="Rankings" sheetId="31" r:id="rId17"/>
    <sheet name="Point Scale" sheetId="29" state="hidden" r:id="rId18"/>
    <sheet name="Teams" sheetId="34" state="hidden" r:id="rId19"/>
    <sheet name="Export" sheetId="27" state="hidden" r:id="rId20"/>
    <sheet name="TODOS" sheetId="35" state="hidden" r:id="rId21"/>
  </sheets>
  <functionGroups builtInGroupCount="18"/>
  <definedNames>
    <definedName name="_xlnm._FilterDatabase" localSheetId="19" hidden="1">Export!$B$5:$R$13</definedName>
    <definedName name="EventType">'Point Scale'!$B$3:$G$3</definedName>
    <definedName name="Points">'Point Scale'!$A$3:$G$67</definedName>
    <definedName name="pointscales_1" localSheetId="17">'Point Scale'!$A$1:$G$67</definedName>
    <definedName name="_xlnm.Print_Area" localSheetId="6">'AI 1'!$A$1:$K$15</definedName>
    <definedName name="_xlnm.Print_Area" localSheetId="7">'AI 2'!$A$1:$K$15</definedName>
    <definedName name="_xlnm.Print_Area" localSheetId="8">'AI 3'!$A$1:$K$15</definedName>
    <definedName name="_xlnm.Print_Area" localSheetId="12">AnouncerInfos!$A$1:$I$15</definedName>
    <definedName name="_xlnm.Print_Area" localSheetId="9">'DIF 1'!$A$1:$Z$25</definedName>
    <definedName name="_xlnm.Print_Area" localSheetId="10">'DIF 2'!$A$1:$Z$25</definedName>
    <definedName name="_xlnm.Print_Area" localSheetId="11">'DIF 3'!$A$1:$Z$25</definedName>
    <definedName name="_xlnm.Print_Area" localSheetId="3">'EX 1'!$A$1:$I$15</definedName>
    <definedName name="_xlnm.Print_Area" localSheetId="4">'EX 2'!$A$1:$I$15</definedName>
    <definedName name="_xlnm.Print_Area" localSheetId="5">'EX 3'!$A$1:$I$15</definedName>
    <definedName name="_xlnm.Print_Area" localSheetId="19">Export!$A$1:$R$13</definedName>
    <definedName name="_xlnm.Print_Area" localSheetId="2">Results!$A$1:$S$17</definedName>
    <definedName name="_xlnm.Print_Area" localSheetId="0">Settings!$A$1:$C$21</definedName>
    <definedName name="_xlnm.Print_Area" localSheetId="1">Starterlist!$A$1:$G$32</definedName>
    <definedName name="_xlnm.Print_Area" localSheetId="14">'Variety Checklist'!$A$1:$M$67</definedName>
    <definedName name="rankopen" localSheetId="16">Rankings!$A$1:$F$987</definedName>
    <definedName name="ResultEntryRange">Results!$C$6:$N$13</definedName>
  </definedNames>
  <calcPr calcId="162913"/>
  <customWorkbookViews>
    <customWorkbookView name="erste seite" guid="{B79B27C6-AF70-4A08-A1D8-3346050707C8}" maximized="1" xWindow="1" yWindow="1" windowWidth="1280" windowHeight="803" activeSheetId="11"/>
  </customWorkbookViews>
</workbook>
</file>

<file path=xl/calcChain.xml><?xml version="1.0" encoding="utf-8"?>
<calcChain xmlns="http://schemas.openxmlformats.org/spreadsheetml/2006/main">
  <c r="H3" i="31" l="1"/>
  <c r="H2" i="31"/>
  <c r="H1003" i="31"/>
  <c r="H977" i="31"/>
  <c r="H871" i="31"/>
  <c r="H84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H83" i="31"/>
  <c r="H84" i="31"/>
  <c r="H85" i="31"/>
  <c r="H86" i="31"/>
  <c r="H87" i="31"/>
  <c r="H88" i="31"/>
  <c r="H89" i="31"/>
  <c r="H90" i="31"/>
  <c r="H91" i="31"/>
  <c r="H92" i="31"/>
  <c r="H93" i="31"/>
  <c r="H94" i="31"/>
  <c r="H95" i="31"/>
  <c r="H96" i="31"/>
  <c r="H97" i="31"/>
  <c r="H98" i="31"/>
  <c r="H99" i="31"/>
  <c r="H100" i="31"/>
  <c r="H101" i="31"/>
  <c r="H102" i="31"/>
  <c r="H103" i="31"/>
  <c r="H104" i="31"/>
  <c r="H105" i="31"/>
  <c r="H106" i="31"/>
  <c r="H107" i="31"/>
  <c r="H108" i="31"/>
  <c r="H109" i="31"/>
  <c r="H110" i="31"/>
  <c r="H111" i="31"/>
  <c r="H112" i="31"/>
  <c r="H113" i="31"/>
  <c r="H114" i="31"/>
  <c r="H115" i="31"/>
  <c r="H116" i="31"/>
  <c r="H117" i="31"/>
  <c r="H118" i="31"/>
  <c r="H119" i="31"/>
  <c r="H120" i="31"/>
  <c r="H121" i="31"/>
  <c r="H122" i="31"/>
  <c r="H123" i="31"/>
  <c r="H124" i="31"/>
  <c r="H125" i="31"/>
  <c r="H126" i="31"/>
  <c r="H127" i="31"/>
  <c r="H128" i="31"/>
  <c r="H129" i="31"/>
  <c r="H130" i="31"/>
  <c r="H131" i="31"/>
  <c r="H132" i="31"/>
  <c r="H133" i="31"/>
  <c r="H134" i="31"/>
  <c r="H135" i="31"/>
  <c r="H136" i="31"/>
  <c r="H137" i="31"/>
  <c r="H138" i="31"/>
  <c r="H139" i="31"/>
  <c r="H140" i="31"/>
  <c r="H141" i="31"/>
  <c r="H142" i="31"/>
  <c r="H143" i="31"/>
  <c r="H144" i="31"/>
  <c r="H145" i="31"/>
  <c r="H146" i="31"/>
  <c r="H147" i="31"/>
  <c r="H148" i="31"/>
  <c r="H149" i="31"/>
  <c r="H150" i="31"/>
  <c r="H151" i="31"/>
  <c r="H152" i="31"/>
  <c r="H153" i="31"/>
  <c r="H154" i="31"/>
  <c r="H155" i="31"/>
  <c r="H156" i="31"/>
  <c r="H157" i="31"/>
  <c r="H158" i="31"/>
  <c r="H159" i="31"/>
  <c r="H160" i="31"/>
  <c r="H161" i="31"/>
  <c r="H162" i="31"/>
  <c r="H163" i="31"/>
  <c r="H164" i="31"/>
  <c r="H165" i="31"/>
  <c r="H166" i="31"/>
  <c r="H167" i="31"/>
  <c r="H168" i="31"/>
  <c r="H169" i="31"/>
  <c r="H170" i="31"/>
  <c r="H171" i="31"/>
  <c r="H172" i="31"/>
  <c r="H173" i="31"/>
  <c r="H174" i="31"/>
  <c r="H175" i="31"/>
  <c r="H176" i="31"/>
  <c r="H177" i="31"/>
  <c r="H178" i="31"/>
  <c r="H179" i="31"/>
  <c r="H180" i="31"/>
  <c r="H181" i="31"/>
  <c r="H182" i="31"/>
  <c r="H183" i="31"/>
  <c r="H184" i="31"/>
  <c r="H185" i="31"/>
  <c r="H186" i="31"/>
  <c r="H187" i="31"/>
  <c r="H188" i="31"/>
  <c r="H189" i="31"/>
  <c r="H190" i="31"/>
  <c r="H191" i="31"/>
  <c r="H192" i="31"/>
  <c r="H193" i="31"/>
  <c r="H194" i="31"/>
  <c r="H195" i="31"/>
  <c r="H196" i="31"/>
  <c r="H197" i="31"/>
  <c r="H198" i="31"/>
  <c r="H199" i="31"/>
  <c r="H200" i="31"/>
  <c r="H201" i="31"/>
  <c r="H202" i="31"/>
  <c r="H203" i="31"/>
  <c r="H204" i="31"/>
  <c r="H205" i="31"/>
  <c r="H206" i="31"/>
  <c r="H207" i="31"/>
  <c r="H208" i="31"/>
  <c r="H209" i="31"/>
  <c r="H210" i="31"/>
  <c r="H211" i="31"/>
  <c r="H212" i="31"/>
  <c r="H213" i="31"/>
  <c r="H214" i="31"/>
  <c r="H215" i="31"/>
  <c r="H216" i="31"/>
  <c r="H217" i="31"/>
  <c r="H218" i="31"/>
  <c r="H219" i="31"/>
  <c r="H220" i="31"/>
  <c r="H221" i="31"/>
  <c r="H222" i="31"/>
  <c r="H223" i="31"/>
  <c r="H224" i="31"/>
  <c r="H225" i="31"/>
  <c r="H226" i="31"/>
  <c r="H227" i="31"/>
  <c r="H228" i="31"/>
  <c r="H229" i="31"/>
  <c r="H230" i="31"/>
  <c r="H231" i="31"/>
  <c r="H232" i="31"/>
  <c r="H233" i="31"/>
  <c r="H234" i="31"/>
  <c r="H235" i="31"/>
  <c r="H236" i="31"/>
  <c r="H237" i="31"/>
  <c r="H238" i="31"/>
  <c r="H239" i="31"/>
  <c r="H240" i="31"/>
  <c r="H241" i="31"/>
  <c r="H242" i="31"/>
  <c r="H243" i="31"/>
  <c r="H244" i="31"/>
  <c r="H245" i="31"/>
  <c r="H246" i="31"/>
  <c r="H247" i="31"/>
  <c r="H248" i="31"/>
  <c r="H249" i="31"/>
  <c r="H250" i="31"/>
  <c r="H251" i="31"/>
  <c r="H252" i="31"/>
  <c r="H253" i="31"/>
  <c r="H254" i="31"/>
  <c r="H255" i="31"/>
  <c r="H256" i="31"/>
  <c r="H257" i="31"/>
  <c r="H258" i="31"/>
  <c r="H259" i="31"/>
  <c r="H260" i="31"/>
  <c r="H261" i="31"/>
  <c r="H262" i="31"/>
  <c r="H263" i="31"/>
  <c r="H264" i="31"/>
  <c r="H265" i="31"/>
  <c r="H266" i="31"/>
  <c r="H267" i="31"/>
  <c r="H268" i="31"/>
  <c r="H269" i="31"/>
  <c r="H270" i="31"/>
  <c r="H271" i="31"/>
  <c r="H272" i="31"/>
  <c r="H273" i="31"/>
  <c r="H274" i="31"/>
  <c r="H275" i="31"/>
  <c r="H276" i="31"/>
  <c r="H277" i="31"/>
  <c r="H278" i="31"/>
  <c r="H279" i="31"/>
  <c r="H280" i="31"/>
  <c r="H281" i="31"/>
  <c r="H282" i="31"/>
  <c r="H283" i="31"/>
  <c r="H284" i="31"/>
  <c r="H285" i="31"/>
  <c r="H286" i="31"/>
  <c r="H287" i="31"/>
  <c r="H288" i="31"/>
  <c r="H289" i="31"/>
  <c r="H290" i="31"/>
  <c r="H291" i="31"/>
  <c r="H292" i="31"/>
  <c r="H293" i="31"/>
  <c r="H294" i="31"/>
  <c r="H295" i="31"/>
  <c r="H296" i="31"/>
  <c r="H297" i="31"/>
  <c r="H298" i="31"/>
  <c r="H299" i="31"/>
  <c r="H300" i="31"/>
  <c r="H301" i="31"/>
  <c r="H302" i="31"/>
  <c r="H303" i="31"/>
  <c r="H304" i="31"/>
  <c r="H305" i="31"/>
  <c r="H306" i="31"/>
  <c r="H307" i="31"/>
  <c r="H308" i="31"/>
  <c r="H309" i="31"/>
  <c r="H310" i="31"/>
  <c r="H311" i="31"/>
  <c r="H312" i="31"/>
  <c r="H313" i="31"/>
  <c r="H314" i="31"/>
  <c r="H315" i="31"/>
  <c r="H316" i="31"/>
  <c r="H317" i="31"/>
  <c r="H318" i="31"/>
  <c r="H319" i="31"/>
  <c r="H320" i="31"/>
  <c r="H321" i="31"/>
  <c r="H322" i="31"/>
  <c r="H323" i="31"/>
  <c r="H324" i="31"/>
  <c r="H325" i="31"/>
  <c r="H326" i="31"/>
  <c r="H327" i="31"/>
  <c r="H328" i="31"/>
  <c r="H329" i="31"/>
  <c r="H330" i="31"/>
  <c r="H331" i="31"/>
  <c r="H332" i="31"/>
  <c r="H333" i="31"/>
  <c r="H334" i="31"/>
  <c r="H335" i="31"/>
  <c r="H336" i="31"/>
  <c r="H337" i="31"/>
  <c r="H338" i="31"/>
  <c r="H339" i="31"/>
  <c r="H340" i="31"/>
  <c r="H341" i="31"/>
  <c r="H342" i="31"/>
  <c r="H343" i="31"/>
  <c r="H344" i="31"/>
  <c r="H345" i="31"/>
  <c r="H346" i="31"/>
  <c r="H347" i="31"/>
  <c r="H348" i="31"/>
  <c r="H349" i="31"/>
  <c r="H350" i="31"/>
  <c r="H351" i="31"/>
  <c r="H352" i="31"/>
  <c r="H353" i="31"/>
  <c r="H354" i="31"/>
  <c r="H355" i="31"/>
  <c r="H356" i="31"/>
  <c r="H357" i="31"/>
  <c r="H358" i="31"/>
  <c r="H359" i="31"/>
  <c r="H360" i="31"/>
  <c r="H361" i="31"/>
  <c r="H362" i="31"/>
  <c r="H363" i="31"/>
  <c r="H364" i="31"/>
  <c r="H365" i="31"/>
  <c r="H366" i="31"/>
  <c r="H367" i="31"/>
  <c r="H368" i="31"/>
  <c r="H369" i="31"/>
  <c r="H370" i="31"/>
  <c r="H371" i="31"/>
  <c r="H372" i="31"/>
  <c r="H373" i="31"/>
  <c r="H374" i="31"/>
  <c r="H375" i="31"/>
  <c r="H376" i="31"/>
  <c r="H377" i="31"/>
  <c r="H378" i="31"/>
  <c r="H379" i="31"/>
  <c r="H380" i="31"/>
  <c r="H381" i="31"/>
  <c r="H382" i="31"/>
  <c r="H383" i="31"/>
  <c r="H384" i="31"/>
  <c r="H385" i="31"/>
  <c r="H386" i="31"/>
  <c r="H387" i="31"/>
  <c r="H388" i="31"/>
  <c r="H389" i="31"/>
  <c r="H390" i="31"/>
  <c r="H391" i="31"/>
  <c r="H392" i="31"/>
  <c r="H393" i="31"/>
  <c r="H394" i="31"/>
  <c r="H395" i="31"/>
  <c r="H396" i="31"/>
  <c r="H397" i="31"/>
  <c r="H398" i="31"/>
  <c r="H399" i="31"/>
  <c r="H400" i="31"/>
  <c r="H401" i="31"/>
  <c r="H402" i="31"/>
  <c r="H403" i="31"/>
  <c r="H404" i="31"/>
  <c r="H405" i="31"/>
  <c r="H406" i="31"/>
  <c r="H407" i="31"/>
  <c r="H408" i="31"/>
  <c r="H409" i="31"/>
  <c r="H410" i="31"/>
  <c r="H411" i="31"/>
  <c r="H412" i="31"/>
  <c r="H413" i="31"/>
  <c r="H414" i="31"/>
  <c r="H415" i="31"/>
  <c r="H416" i="31"/>
  <c r="H417" i="31"/>
  <c r="H418" i="31"/>
  <c r="H419" i="31"/>
  <c r="H420" i="31"/>
  <c r="H421" i="31"/>
  <c r="H422" i="31"/>
  <c r="H423" i="31"/>
  <c r="H424" i="31"/>
  <c r="H425" i="31"/>
  <c r="H426" i="31"/>
  <c r="H427" i="31"/>
  <c r="H428" i="31"/>
  <c r="H429" i="31"/>
  <c r="H430" i="31"/>
  <c r="H431" i="31"/>
  <c r="H432" i="31"/>
  <c r="H433" i="31"/>
  <c r="H434" i="31"/>
  <c r="H435" i="31"/>
  <c r="H436" i="31"/>
  <c r="H437" i="31"/>
  <c r="H438" i="31"/>
  <c r="H439" i="31"/>
  <c r="H440" i="31"/>
  <c r="H441" i="31"/>
  <c r="H442" i="31"/>
  <c r="H443" i="31"/>
  <c r="H444" i="31"/>
  <c r="H445" i="31"/>
  <c r="H446" i="31"/>
  <c r="H447" i="31"/>
  <c r="H448" i="31"/>
  <c r="H449" i="31"/>
  <c r="H450" i="31"/>
  <c r="H451" i="31"/>
  <c r="H452" i="31"/>
  <c r="H453" i="31"/>
  <c r="H454" i="31"/>
  <c r="H455" i="31"/>
  <c r="H456" i="31"/>
  <c r="H457" i="31"/>
  <c r="H458" i="31"/>
  <c r="H459" i="31"/>
  <c r="H460" i="31"/>
  <c r="H461" i="31"/>
  <c r="H462" i="31"/>
  <c r="H463" i="31"/>
  <c r="H464" i="31"/>
  <c r="H465" i="31"/>
  <c r="H466" i="31"/>
  <c r="H467" i="31"/>
  <c r="H468" i="31"/>
  <c r="H469" i="31"/>
  <c r="H470" i="31"/>
  <c r="H471" i="31"/>
  <c r="H472" i="31"/>
  <c r="H473" i="31"/>
  <c r="H474" i="31"/>
  <c r="H475" i="31"/>
  <c r="H476" i="31"/>
  <c r="H477" i="31"/>
  <c r="H478" i="31"/>
  <c r="H479" i="31"/>
  <c r="H480" i="31"/>
  <c r="H481" i="31"/>
  <c r="H482" i="31"/>
  <c r="H483" i="31"/>
  <c r="H484" i="31"/>
  <c r="H485" i="31"/>
  <c r="H486" i="31"/>
  <c r="H487" i="31"/>
  <c r="H488" i="31"/>
  <c r="H489" i="31"/>
  <c r="H490" i="31"/>
  <c r="H491" i="31"/>
  <c r="H492" i="31"/>
  <c r="H493" i="31"/>
  <c r="H494" i="31"/>
  <c r="H495" i="31"/>
  <c r="H496" i="31"/>
  <c r="H497" i="31"/>
  <c r="H498" i="31"/>
  <c r="H499" i="31"/>
  <c r="H500" i="31"/>
  <c r="H501" i="31"/>
  <c r="H502" i="31"/>
  <c r="H503" i="31"/>
  <c r="H504" i="31"/>
  <c r="H505" i="31"/>
  <c r="H506" i="31"/>
  <c r="H507" i="31"/>
  <c r="H508" i="31"/>
  <c r="H509" i="31"/>
  <c r="H510" i="31"/>
  <c r="H511" i="31"/>
  <c r="H512" i="31"/>
  <c r="H513" i="31"/>
  <c r="H514" i="31"/>
  <c r="H515" i="31"/>
  <c r="H516" i="31"/>
  <c r="H517" i="31"/>
  <c r="H518" i="31"/>
  <c r="H519" i="31"/>
  <c r="H520" i="31"/>
  <c r="H521" i="31"/>
  <c r="H522" i="31"/>
  <c r="H523" i="31"/>
  <c r="H524" i="31"/>
  <c r="H525" i="31"/>
  <c r="H526" i="31"/>
  <c r="H527" i="31"/>
  <c r="H528" i="31"/>
  <c r="H529" i="31"/>
  <c r="H530" i="31"/>
  <c r="H531" i="31"/>
  <c r="H532" i="31"/>
  <c r="H533" i="31"/>
  <c r="H534" i="31"/>
  <c r="H535" i="31"/>
  <c r="H536" i="31"/>
  <c r="H537" i="31"/>
  <c r="H538" i="31"/>
  <c r="H539" i="31"/>
  <c r="H540" i="31"/>
  <c r="H541" i="31"/>
  <c r="H542" i="31"/>
  <c r="H543" i="31"/>
  <c r="H544" i="31"/>
  <c r="H545" i="31"/>
  <c r="H546" i="31"/>
  <c r="H547" i="31"/>
  <c r="H548" i="31"/>
  <c r="H549" i="31"/>
  <c r="H550" i="31"/>
  <c r="H551" i="31"/>
  <c r="H552" i="31"/>
  <c r="H553" i="31"/>
  <c r="H554" i="31"/>
  <c r="H555" i="31"/>
  <c r="H556" i="31"/>
  <c r="H557" i="31"/>
  <c r="H558" i="31"/>
  <c r="H559" i="31"/>
  <c r="H560" i="31"/>
  <c r="H561" i="31"/>
  <c r="H562" i="31"/>
  <c r="H563" i="31"/>
  <c r="H564" i="31"/>
  <c r="H565" i="31"/>
  <c r="H566" i="31"/>
  <c r="H567" i="31"/>
  <c r="H568" i="31"/>
  <c r="H569" i="31"/>
  <c r="H570" i="31"/>
  <c r="H571" i="31"/>
  <c r="H572" i="31"/>
  <c r="H573" i="31"/>
  <c r="H574" i="31"/>
  <c r="H575" i="31"/>
  <c r="H576" i="31"/>
  <c r="H577" i="31"/>
  <c r="H578" i="31"/>
  <c r="H579" i="31"/>
  <c r="H580" i="31"/>
  <c r="H581" i="31"/>
  <c r="H582" i="31"/>
  <c r="H583" i="31"/>
  <c r="H584" i="31"/>
  <c r="H585" i="31"/>
  <c r="H586" i="31"/>
  <c r="H587" i="31"/>
  <c r="H588" i="31"/>
  <c r="H589" i="31"/>
  <c r="H590" i="31"/>
  <c r="H591" i="31"/>
  <c r="H592" i="31"/>
  <c r="H593" i="31"/>
  <c r="H594" i="31"/>
  <c r="H595" i="31"/>
  <c r="H596" i="31"/>
  <c r="H597" i="31"/>
  <c r="H598" i="31"/>
  <c r="H599" i="31"/>
  <c r="H600" i="31"/>
  <c r="H601" i="31"/>
  <c r="H602" i="31"/>
  <c r="H603" i="31"/>
  <c r="H604" i="31"/>
  <c r="H605" i="31"/>
  <c r="H606" i="31"/>
  <c r="H607" i="31"/>
  <c r="H608" i="31"/>
  <c r="H609" i="31"/>
  <c r="H610" i="31"/>
  <c r="H611" i="31"/>
  <c r="H612" i="31"/>
  <c r="H613" i="31"/>
  <c r="H614" i="31"/>
  <c r="H615" i="31"/>
  <c r="H616" i="31"/>
  <c r="H617" i="31"/>
  <c r="H618" i="31"/>
  <c r="H619" i="31"/>
  <c r="H620" i="31"/>
  <c r="H621" i="31"/>
  <c r="H622" i="31"/>
  <c r="H623" i="31"/>
  <c r="H624" i="31"/>
  <c r="H625" i="31"/>
  <c r="H626" i="31"/>
  <c r="H627" i="31"/>
  <c r="H628" i="31"/>
  <c r="H629" i="31"/>
  <c r="H630" i="31"/>
  <c r="H631" i="31"/>
  <c r="H632" i="31"/>
  <c r="H633" i="31"/>
  <c r="H634" i="31"/>
  <c r="H635" i="31"/>
  <c r="H636" i="31"/>
  <c r="H637" i="31"/>
  <c r="H638" i="31"/>
  <c r="H639" i="31"/>
  <c r="H640" i="31"/>
  <c r="H641" i="31"/>
  <c r="H642" i="31"/>
  <c r="H643" i="31"/>
  <c r="H644" i="31"/>
  <c r="H645" i="31"/>
  <c r="H646" i="31"/>
  <c r="H647" i="31"/>
  <c r="H648" i="31"/>
  <c r="H649" i="31"/>
  <c r="H650" i="31"/>
  <c r="H651" i="31"/>
  <c r="H652" i="31"/>
  <c r="H653" i="31"/>
  <c r="H654" i="31"/>
  <c r="H655" i="31"/>
  <c r="H656" i="31"/>
  <c r="H657" i="31"/>
  <c r="H658" i="31"/>
  <c r="H659" i="31"/>
  <c r="H660" i="31"/>
  <c r="H661" i="31"/>
  <c r="H662" i="31"/>
  <c r="H663" i="31"/>
  <c r="H664" i="31"/>
  <c r="H665" i="31"/>
  <c r="H666" i="31"/>
  <c r="H667" i="31"/>
  <c r="H668" i="31"/>
  <c r="H669" i="31"/>
  <c r="H670" i="31"/>
  <c r="H671" i="31"/>
  <c r="H672" i="31"/>
  <c r="H673" i="31"/>
  <c r="H674" i="31"/>
  <c r="H675" i="31"/>
  <c r="H676" i="31"/>
  <c r="H677" i="31"/>
  <c r="H678" i="31"/>
  <c r="H679" i="31"/>
  <c r="H680" i="31"/>
  <c r="H681" i="31"/>
  <c r="H682" i="31"/>
  <c r="H683" i="31"/>
  <c r="H684" i="31"/>
  <c r="H685" i="31"/>
  <c r="H686" i="31"/>
  <c r="H687" i="31"/>
  <c r="H688" i="31"/>
  <c r="H689" i="31"/>
  <c r="H690" i="31"/>
  <c r="H691" i="31"/>
  <c r="H692" i="31"/>
  <c r="H693" i="31"/>
  <c r="H694" i="31"/>
  <c r="H695" i="31"/>
  <c r="H696" i="31"/>
  <c r="H697" i="31"/>
  <c r="H698" i="31"/>
  <c r="H699" i="31"/>
  <c r="H700" i="31"/>
  <c r="H701" i="31"/>
  <c r="H702" i="31"/>
  <c r="H703" i="31"/>
  <c r="H704" i="31"/>
  <c r="H705" i="31"/>
  <c r="H706" i="31"/>
  <c r="H707" i="31"/>
  <c r="H708" i="31"/>
  <c r="H709" i="31"/>
  <c r="H710" i="31"/>
  <c r="H711" i="31"/>
  <c r="H712" i="31"/>
  <c r="H713" i="31"/>
  <c r="H714" i="31"/>
  <c r="H715" i="31"/>
  <c r="H716" i="31"/>
  <c r="H717" i="31"/>
  <c r="H718" i="31"/>
  <c r="H719" i="31"/>
  <c r="H720" i="31"/>
  <c r="H721" i="31"/>
  <c r="H722" i="31"/>
  <c r="H723" i="31"/>
  <c r="H724" i="31"/>
  <c r="H725" i="31"/>
  <c r="H726" i="31"/>
  <c r="H727" i="31"/>
  <c r="H728" i="31"/>
  <c r="H729" i="31"/>
  <c r="H730" i="31"/>
  <c r="H731" i="31"/>
  <c r="H732" i="31"/>
  <c r="H733" i="31"/>
  <c r="H734" i="31"/>
  <c r="H735" i="31"/>
  <c r="H736" i="31"/>
  <c r="H737" i="31"/>
  <c r="H738" i="31"/>
  <c r="H739" i="31"/>
  <c r="H740" i="31"/>
  <c r="H741" i="31"/>
  <c r="H742" i="31"/>
  <c r="H743" i="31"/>
  <c r="H744" i="31"/>
  <c r="H745" i="31"/>
  <c r="H746" i="31"/>
  <c r="H747" i="31"/>
  <c r="H748" i="31"/>
  <c r="H749" i="31"/>
  <c r="H750" i="31"/>
  <c r="H751" i="31"/>
  <c r="H752" i="31"/>
  <c r="H753" i="31"/>
  <c r="H754" i="31"/>
  <c r="H755" i="31"/>
  <c r="H756" i="31"/>
  <c r="H757" i="31"/>
  <c r="H758" i="31"/>
  <c r="H759" i="31"/>
  <c r="H760" i="31"/>
  <c r="H761" i="31"/>
  <c r="H762" i="31"/>
  <c r="H763" i="31"/>
  <c r="H764" i="31"/>
  <c r="H765" i="31"/>
  <c r="H766" i="31"/>
  <c r="H767" i="31"/>
  <c r="H768" i="31"/>
  <c r="H769" i="31"/>
  <c r="H770" i="31"/>
  <c r="H771" i="31"/>
  <c r="H772" i="31"/>
  <c r="H773" i="31"/>
  <c r="H774" i="31"/>
  <c r="H775" i="31"/>
  <c r="H776" i="31"/>
  <c r="H777" i="31"/>
  <c r="H778" i="31"/>
  <c r="H779" i="31"/>
  <c r="H780" i="31"/>
  <c r="H781" i="31"/>
  <c r="H782" i="31"/>
  <c r="H783" i="31"/>
  <c r="H784" i="31"/>
  <c r="H785" i="31"/>
  <c r="H786" i="31"/>
  <c r="H787" i="31"/>
  <c r="H788" i="31"/>
  <c r="H789" i="31"/>
  <c r="H790" i="31"/>
  <c r="H791" i="31"/>
  <c r="H792" i="31"/>
  <c r="H793" i="31"/>
  <c r="H794" i="31"/>
  <c r="H795" i="31"/>
  <c r="H796" i="31"/>
  <c r="H797" i="31"/>
  <c r="H798" i="31"/>
  <c r="H799" i="31"/>
  <c r="H800" i="31"/>
  <c r="H801" i="31"/>
  <c r="H802" i="31"/>
  <c r="H803" i="31"/>
  <c r="H804" i="31"/>
  <c r="H805" i="31"/>
  <c r="H806" i="31"/>
  <c r="H807" i="31"/>
  <c r="H808" i="31"/>
  <c r="H809" i="31"/>
  <c r="H810" i="31"/>
  <c r="H811" i="31"/>
  <c r="H812" i="31"/>
  <c r="H813" i="31"/>
  <c r="H814" i="31"/>
  <c r="H815" i="31"/>
  <c r="H816" i="31"/>
  <c r="H817" i="31"/>
  <c r="H818" i="31"/>
  <c r="H819" i="31"/>
  <c r="H820" i="31"/>
  <c r="H821" i="31"/>
  <c r="H822" i="31"/>
  <c r="H823" i="31"/>
  <c r="H824" i="31"/>
  <c r="H825" i="31"/>
  <c r="H826" i="31"/>
  <c r="H827" i="31"/>
  <c r="H828" i="31"/>
  <c r="H829" i="31"/>
  <c r="H830" i="31"/>
  <c r="H831" i="31"/>
  <c r="H832" i="31"/>
  <c r="H833" i="31"/>
  <c r="H834" i="31"/>
  <c r="H835" i="31"/>
  <c r="H836" i="31"/>
  <c r="H837" i="31"/>
  <c r="H838" i="31"/>
  <c r="H839" i="31"/>
  <c r="H840" i="31"/>
  <c r="H841" i="31"/>
  <c r="H842" i="31"/>
  <c r="H844" i="31"/>
  <c r="H845" i="31"/>
  <c r="H846" i="31"/>
  <c r="H847" i="31"/>
  <c r="H848" i="31"/>
  <c r="H849" i="31"/>
  <c r="H850" i="31"/>
  <c r="H851" i="31"/>
  <c r="H852" i="31"/>
  <c r="H853" i="31"/>
  <c r="H854" i="31"/>
  <c r="H855" i="31"/>
  <c r="H856" i="31"/>
  <c r="H857" i="31"/>
  <c r="H858" i="31"/>
  <c r="H859" i="31"/>
  <c r="H860" i="31"/>
  <c r="H861" i="31"/>
  <c r="H862" i="31"/>
  <c r="H863" i="31"/>
  <c r="H864" i="31"/>
  <c r="H865" i="31"/>
  <c r="H866" i="31"/>
  <c r="H867" i="31"/>
  <c r="H868" i="31"/>
  <c r="H869" i="31"/>
  <c r="H870" i="31"/>
  <c r="H872" i="31"/>
  <c r="H873" i="31"/>
  <c r="H874" i="31"/>
  <c r="H875" i="31"/>
  <c r="H876" i="31"/>
  <c r="H877" i="31"/>
  <c r="H878" i="31"/>
  <c r="H879" i="31"/>
  <c r="H880" i="31"/>
  <c r="H881" i="31"/>
  <c r="H882" i="31"/>
  <c r="H883" i="31"/>
  <c r="H884" i="31"/>
  <c r="H885" i="31"/>
  <c r="H886" i="31"/>
  <c r="H887" i="31"/>
  <c r="H888" i="31"/>
  <c r="H889" i="31"/>
  <c r="H890" i="31"/>
  <c r="H891" i="31"/>
  <c r="H892" i="31"/>
  <c r="H893" i="31"/>
  <c r="H894" i="31"/>
  <c r="H895" i="31"/>
  <c r="H896" i="31"/>
  <c r="H897" i="31"/>
  <c r="H898" i="31"/>
  <c r="H899" i="31"/>
  <c r="H900" i="31"/>
  <c r="H901" i="31"/>
  <c r="H902" i="31"/>
  <c r="H903" i="31"/>
  <c r="H904" i="31"/>
  <c r="H905" i="31"/>
  <c r="H906" i="31"/>
  <c r="H907" i="31"/>
  <c r="H908" i="31"/>
  <c r="H909" i="31"/>
  <c r="H910" i="31"/>
  <c r="H911" i="31"/>
  <c r="H912" i="31"/>
  <c r="H913" i="31"/>
  <c r="H914" i="31"/>
  <c r="H915" i="31"/>
  <c r="H916" i="31"/>
  <c r="H917" i="31"/>
  <c r="H918" i="31"/>
  <c r="H919" i="31"/>
  <c r="H920" i="31"/>
  <c r="H921" i="31"/>
  <c r="H922" i="31"/>
  <c r="H923" i="31"/>
  <c r="H924" i="31"/>
  <c r="H925" i="31"/>
  <c r="H926" i="31"/>
  <c r="H927" i="31"/>
  <c r="H928" i="31"/>
  <c r="H929" i="31"/>
  <c r="H930" i="31"/>
  <c r="H931" i="31"/>
  <c r="H932" i="31"/>
  <c r="H933" i="31"/>
  <c r="H934" i="31"/>
  <c r="H935" i="31"/>
  <c r="H936" i="31"/>
  <c r="H937" i="31"/>
  <c r="H938" i="31"/>
  <c r="H939" i="31"/>
  <c r="H940" i="31"/>
  <c r="H941" i="31"/>
  <c r="H942" i="31"/>
  <c r="H943" i="31"/>
  <c r="H944" i="31"/>
  <c r="H945" i="31"/>
  <c r="H946" i="31"/>
  <c r="H947" i="31"/>
  <c r="H948" i="31"/>
  <c r="H949" i="31"/>
  <c r="H950" i="31"/>
  <c r="H951" i="31"/>
  <c r="H952" i="31"/>
  <c r="H953" i="31"/>
  <c r="H954" i="31"/>
  <c r="H955" i="31"/>
  <c r="H956" i="31"/>
  <c r="H957" i="31"/>
  <c r="H958" i="31"/>
  <c r="H959" i="31"/>
  <c r="H960" i="31"/>
  <c r="H961" i="31"/>
  <c r="H962" i="31"/>
  <c r="H963" i="31"/>
  <c r="H964" i="31"/>
  <c r="H965" i="31"/>
  <c r="H966" i="31"/>
  <c r="H967" i="31"/>
  <c r="H968" i="31"/>
  <c r="H969" i="31"/>
  <c r="H970" i="31"/>
  <c r="H971" i="31"/>
  <c r="H972" i="31"/>
  <c r="H973" i="31"/>
  <c r="H974" i="31"/>
  <c r="H975" i="31"/>
  <c r="H976" i="31"/>
  <c r="H978" i="31"/>
  <c r="H979" i="31"/>
  <c r="H980" i="31"/>
  <c r="H981" i="31"/>
  <c r="H982" i="31"/>
  <c r="H983" i="31"/>
  <c r="H984" i="31"/>
  <c r="H985" i="31"/>
  <c r="H986" i="31"/>
  <c r="H987" i="31"/>
  <c r="H988" i="31"/>
  <c r="H989" i="31"/>
  <c r="H990" i="31"/>
  <c r="H991" i="31"/>
  <c r="H992" i="31"/>
  <c r="H993" i="31"/>
  <c r="H994" i="31"/>
  <c r="H995" i="31"/>
  <c r="H996" i="31"/>
  <c r="H997" i="31"/>
  <c r="H998" i="31"/>
  <c r="H999" i="31"/>
  <c r="H1000" i="31"/>
  <c r="H1001" i="31"/>
  <c r="H1002" i="31"/>
  <c r="H1004" i="31"/>
  <c r="H1005" i="31"/>
  <c r="H1006" i="31"/>
  <c r="H1007" i="31"/>
  <c r="H1008" i="31"/>
  <c r="H1009" i="31"/>
  <c r="H1010" i="31"/>
  <c r="H1011" i="31"/>
  <c r="H1012" i="31"/>
  <c r="H1013" i="31"/>
  <c r="H1014" i="31"/>
  <c r="H1015" i="31"/>
  <c r="H1016" i="31"/>
  <c r="H1017" i="31"/>
  <c r="H1018" i="31"/>
  <c r="H1019" i="31"/>
  <c r="H1020" i="31"/>
  <c r="H1021" i="31"/>
  <c r="H1022" i="31"/>
  <c r="H1023" i="31"/>
  <c r="H1024" i="31"/>
  <c r="H1025" i="31"/>
  <c r="H1026" i="31"/>
  <c r="H1027" i="31"/>
  <c r="H1028" i="31"/>
  <c r="H1029" i="31"/>
  <c r="H1030" i="31"/>
  <c r="H1031" i="31"/>
  <c r="H1032" i="31"/>
  <c r="H1033" i="31"/>
  <c r="H1034" i="31"/>
  <c r="H1035" i="31"/>
  <c r="H1036" i="31"/>
  <c r="H1037" i="31"/>
  <c r="H1038" i="31"/>
  <c r="H1039" i="31"/>
  <c r="H1040" i="31"/>
  <c r="H1041" i="31"/>
  <c r="H1042" i="31"/>
  <c r="H1043" i="31"/>
  <c r="H1044" i="31"/>
  <c r="H1045" i="31"/>
  <c r="H1046" i="31"/>
  <c r="H1047" i="31"/>
  <c r="H1048" i="31"/>
  <c r="H1049" i="31"/>
  <c r="H1050" i="31"/>
  <c r="K7" i="10"/>
  <c r="K8" i="10"/>
  <c r="K9" i="10"/>
  <c r="K10" i="10"/>
  <c r="K11" i="10"/>
  <c r="K12" i="10"/>
  <c r="K13" i="10"/>
  <c r="K14" i="10"/>
  <c r="K15" i="10"/>
  <c r="I6" i="10"/>
  <c r="K6" i="10"/>
  <c r="I7" i="10"/>
  <c r="I8" i="10"/>
  <c r="I9" i="10"/>
  <c r="I10" i="10"/>
  <c r="I11" i="10"/>
  <c r="I12" i="10"/>
  <c r="I13" i="10"/>
  <c r="I14" i="10"/>
  <c r="I15" i="10"/>
  <c r="G7" i="10"/>
  <c r="G8" i="10"/>
  <c r="G9" i="10"/>
  <c r="G10" i="10"/>
  <c r="G11" i="10"/>
  <c r="G12" i="10"/>
  <c r="G13" i="10"/>
  <c r="G14" i="10"/>
  <c r="G15" i="10"/>
  <c r="G6" i="10"/>
  <c r="I7" i="20"/>
  <c r="J7" i="20" s="1"/>
  <c r="K7" i="20" s="1"/>
  <c r="I8" i="20"/>
  <c r="J8" i="20" s="1"/>
  <c r="K8" i="20" s="1"/>
  <c r="I9" i="20"/>
  <c r="J9" i="20"/>
  <c r="K9" i="20" s="1"/>
  <c r="I10" i="20"/>
  <c r="J10" i="20"/>
  <c r="K10" i="20" s="1"/>
  <c r="I11" i="20"/>
  <c r="J11" i="20"/>
  <c r="K11" i="20"/>
  <c r="I12" i="20"/>
  <c r="J12" i="20"/>
  <c r="K12" i="20" s="1"/>
  <c r="I13" i="20"/>
  <c r="J13" i="20" s="1"/>
  <c r="K13" i="20" s="1"/>
  <c r="I14" i="20"/>
  <c r="J14" i="20" s="1"/>
  <c r="K14" i="20" s="1"/>
  <c r="I15" i="20"/>
  <c r="J15" i="20" s="1"/>
  <c r="K15" i="20" s="1"/>
  <c r="I7" i="21"/>
  <c r="J7" i="21" s="1"/>
  <c r="K7" i="21" s="1"/>
  <c r="I8" i="21"/>
  <c r="J8" i="21"/>
  <c r="K8" i="21" s="1"/>
  <c r="I9" i="21"/>
  <c r="I10" i="21"/>
  <c r="J10" i="21" s="1"/>
  <c r="K10" i="21" s="1"/>
  <c r="I11" i="21"/>
  <c r="I12" i="21"/>
  <c r="J12" i="21" s="1"/>
  <c r="K12" i="21" s="1"/>
  <c r="I13" i="21"/>
  <c r="I14" i="21"/>
  <c r="J14" i="21" s="1"/>
  <c r="K14" i="21" s="1"/>
  <c r="I15" i="21"/>
  <c r="I7" i="14"/>
  <c r="J7" i="14" s="1"/>
  <c r="K7" i="14" s="1"/>
  <c r="I8" i="14"/>
  <c r="J8" i="14" s="1"/>
  <c r="K8" i="14" s="1"/>
  <c r="I9" i="14"/>
  <c r="J9" i="14" s="1"/>
  <c r="K9" i="14" s="1"/>
  <c r="I10" i="14"/>
  <c r="J10" i="14" s="1"/>
  <c r="K10" i="14" s="1"/>
  <c r="I11" i="14"/>
  <c r="J11" i="14" s="1"/>
  <c r="K11" i="14" s="1"/>
  <c r="I12" i="14"/>
  <c r="J12" i="14"/>
  <c r="K12" i="14" s="1"/>
  <c r="I13" i="14"/>
  <c r="J13" i="14" s="1"/>
  <c r="K13" i="14" s="1"/>
  <c r="I14" i="14"/>
  <c r="J14" i="14" s="1"/>
  <c r="K14" i="14" s="1"/>
  <c r="I15" i="14"/>
  <c r="J15" i="14" s="1"/>
  <c r="K15" i="14" s="1"/>
  <c r="I6" i="20"/>
  <c r="J6" i="20"/>
  <c r="K6" i="20" s="1"/>
  <c r="I6" i="21"/>
  <c r="J6" i="21" s="1"/>
  <c r="K6" i="21" s="1"/>
  <c r="I6" i="14"/>
  <c r="J6" i="14" s="1"/>
  <c r="K6" i="14" s="1"/>
  <c r="A5" i="24"/>
  <c r="I4" i="25"/>
  <c r="I5" i="25"/>
  <c r="I6" i="25"/>
  <c r="I7" i="25"/>
  <c r="I8" i="25"/>
  <c r="I9" i="25"/>
  <c r="I10" i="25"/>
  <c r="I11" i="25"/>
  <c r="I12" i="25"/>
  <c r="I13" i="25"/>
  <c r="H12" i="25"/>
  <c r="H13" i="25"/>
  <c r="H10" i="25"/>
  <c r="H11" i="25"/>
  <c r="H5" i="25"/>
  <c r="H6" i="25"/>
  <c r="H7" i="25"/>
  <c r="H8" i="25"/>
  <c r="H9" i="25"/>
  <c r="E2" i="34"/>
  <c r="E3" i="34"/>
  <c r="E4" i="34"/>
  <c r="E5" i="34"/>
  <c r="E6" i="34"/>
  <c r="E7" i="34"/>
  <c r="E8" i="34"/>
  <c r="E9" i="34"/>
  <c r="E10" i="34"/>
  <c r="E11" i="34"/>
  <c r="B12" i="34"/>
  <c r="C12" i="34"/>
  <c r="D12" i="34"/>
  <c r="B13" i="34"/>
  <c r="C13" i="34"/>
  <c r="D13" i="34"/>
  <c r="B14" i="34"/>
  <c r="C14" i="34"/>
  <c r="E14" i="34" s="1"/>
  <c r="D14" i="34"/>
  <c r="B15" i="34"/>
  <c r="C15" i="34"/>
  <c r="D15" i="34"/>
  <c r="B16" i="34"/>
  <c r="C16" i="34"/>
  <c r="E16" i="34" s="1"/>
  <c r="D16" i="34"/>
  <c r="B17" i="34"/>
  <c r="E17" i="34" s="1"/>
  <c r="C17" i="34"/>
  <c r="D17" i="34"/>
  <c r="B18" i="34"/>
  <c r="C18" i="34"/>
  <c r="D18" i="34"/>
  <c r="B19" i="34"/>
  <c r="C19" i="34"/>
  <c r="D19" i="34"/>
  <c r="B20" i="34"/>
  <c r="C20" i="34"/>
  <c r="D20" i="34"/>
  <c r="B21" i="34"/>
  <c r="C21" i="34"/>
  <c r="D21" i="34"/>
  <c r="B22" i="34"/>
  <c r="C22" i="34"/>
  <c r="E22" i="34" s="1"/>
  <c r="D22" i="34"/>
  <c r="B23" i="34"/>
  <c r="C23" i="34"/>
  <c r="D23" i="34"/>
  <c r="B24" i="34"/>
  <c r="C24" i="34"/>
  <c r="E24" i="34" s="1"/>
  <c r="D24" i="34"/>
  <c r="B25" i="34"/>
  <c r="E25" i="34" s="1"/>
  <c r="C25" i="34"/>
  <c r="D25" i="34"/>
  <c r="B26" i="34"/>
  <c r="C26" i="34"/>
  <c r="D26" i="34"/>
  <c r="B27" i="34"/>
  <c r="C27" i="34"/>
  <c r="D27" i="34"/>
  <c r="B28" i="34"/>
  <c r="C28" i="34"/>
  <c r="D28" i="34"/>
  <c r="B29" i="34"/>
  <c r="C29" i="34"/>
  <c r="D29" i="34"/>
  <c r="B30" i="34"/>
  <c r="C30" i="34"/>
  <c r="E30" i="34" s="1"/>
  <c r="D30" i="34"/>
  <c r="B31" i="34"/>
  <c r="C31" i="34"/>
  <c r="D31" i="34"/>
  <c r="B32" i="34"/>
  <c r="C32" i="34"/>
  <c r="E32" i="34" s="1"/>
  <c r="D32" i="34"/>
  <c r="B33" i="34"/>
  <c r="E33" i="34" s="1"/>
  <c r="C33" i="34"/>
  <c r="D33" i="34"/>
  <c r="B34" i="34"/>
  <c r="C34" i="34"/>
  <c r="D34" i="34"/>
  <c r="B35" i="34"/>
  <c r="C35" i="34"/>
  <c r="D35" i="34"/>
  <c r="B36" i="34"/>
  <c r="C36" i="34"/>
  <c r="D36" i="34"/>
  <c r="B37" i="34"/>
  <c r="C37" i="34"/>
  <c r="D37" i="34"/>
  <c r="B38" i="34"/>
  <c r="C38" i="34"/>
  <c r="E38" i="34" s="1"/>
  <c r="D38" i="34"/>
  <c r="B39" i="34"/>
  <c r="C39" i="34"/>
  <c r="D39" i="34"/>
  <c r="B40" i="34"/>
  <c r="C40" i="34"/>
  <c r="E40" i="34" s="1"/>
  <c r="D40" i="34"/>
  <c r="B41" i="34"/>
  <c r="E41" i="34" s="1"/>
  <c r="C41" i="34"/>
  <c r="D41" i="34"/>
  <c r="B42" i="34"/>
  <c r="C42" i="34"/>
  <c r="D42" i="34"/>
  <c r="B43" i="34"/>
  <c r="C43" i="34"/>
  <c r="D43" i="34"/>
  <c r="B44" i="34"/>
  <c r="C44" i="34"/>
  <c r="D44" i="34"/>
  <c r="B45" i="34"/>
  <c r="C45" i="34"/>
  <c r="D45" i="34"/>
  <c r="B46" i="34"/>
  <c r="C46" i="34"/>
  <c r="E46" i="34" s="1"/>
  <c r="D46" i="34"/>
  <c r="B47" i="34"/>
  <c r="C47" i="34"/>
  <c r="D47" i="34"/>
  <c r="B48" i="34"/>
  <c r="C48" i="34"/>
  <c r="E48" i="34" s="1"/>
  <c r="D48" i="34"/>
  <c r="B49" i="34"/>
  <c r="E49" i="34" s="1"/>
  <c r="C49" i="34"/>
  <c r="D49" i="34"/>
  <c r="B50" i="34"/>
  <c r="C50" i="34"/>
  <c r="D50" i="34"/>
  <c r="B51" i="34"/>
  <c r="C51" i="34"/>
  <c r="D51" i="34"/>
  <c r="B52" i="34"/>
  <c r="C52" i="34"/>
  <c r="D52" i="34"/>
  <c r="B53" i="34"/>
  <c r="C53" i="34"/>
  <c r="D53" i="34"/>
  <c r="B54" i="34"/>
  <c r="C54" i="34"/>
  <c r="E54" i="34" s="1"/>
  <c r="D54" i="34"/>
  <c r="B55" i="34"/>
  <c r="C55" i="34"/>
  <c r="D55" i="34"/>
  <c r="B56" i="34"/>
  <c r="C56" i="34"/>
  <c r="E56" i="34" s="1"/>
  <c r="D56" i="34"/>
  <c r="B57" i="34"/>
  <c r="E57" i="34" s="1"/>
  <c r="C57" i="34"/>
  <c r="D57" i="34"/>
  <c r="B58" i="34"/>
  <c r="C58" i="34"/>
  <c r="D58" i="34"/>
  <c r="B59" i="34"/>
  <c r="C59" i="34"/>
  <c r="D59" i="34"/>
  <c r="B60" i="34"/>
  <c r="C60" i="34"/>
  <c r="D60" i="34"/>
  <c r="B61" i="34"/>
  <c r="C61" i="34"/>
  <c r="D61" i="34"/>
  <c r="B62" i="34"/>
  <c r="C62" i="34"/>
  <c r="E62" i="34" s="1"/>
  <c r="D62" i="34"/>
  <c r="B63" i="34"/>
  <c r="C63" i="34"/>
  <c r="D63" i="34"/>
  <c r="B64" i="34"/>
  <c r="C64" i="34"/>
  <c r="D64" i="34"/>
  <c r="B65" i="34"/>
  <c r="C65" i="34"/>
  <c r="D65" i="34"/>
  <c r="B66" i="34"/>
  <c r="C66" i="34"/>
  <c r="D66" i="34"/>
  <c r="B67" i="34"/>
  <c r="C67" i="34"/>
  <c r="D67" i="34"/>
  <c r="B68" i="34"/>
  <c r="C68" i="34"/>
  <c r="D68" i="34"/>
  <c r="B69" i="34"/>
  <c r="C69" i="34"/>
  <c r="D69" i="34"/>
  <c r="B70" i="34"/>
  <c r="C70" i="34"/>
  <c r="D70" i="34"/>
  <c r="B71" i="34"/>
  <c r="C71" i="34"/>
  <c r="D71" i="34"/>
  <c r="B72" i="34"/>
  <c r="C72" i="34"/>
  <c r="D72" i="34"/>
  <c r="B73" i="34"/>
  <c r="C73" i="34"/>
  <c r="D73" i="34"/>
  <c r="B74" i="34"/>
  <c r="C74" i="34"/>
  <c r="D74" i="34"/>
  <c r="B75" i="34"/>
  <c r="C75" i="34"/>
  <c r="D75" i="34"/>
  <c r="B76" i="34"/>
  <c r="C76" i="34"/>
  <c r="D76" i="34"/>
  <c r="B77" i="34"/>
  <c r="C77" i="34"/>
  <c r="D77" i="34"/>
  <c r="B78" i="34"/>
  <c r="C78" i="34"/>
  <c r="D78" i="34"/>
  <c r="B79" i="34"/>
  <c r="C79" i="34"/>
  <c r="D79" i="34"/>
  <c r="B80" i="34"/>
  <c r="C80" i="34"/>
  <c r="D80" i="34"/>
  <c r="B81" i="34"/>
  <c r="C81" i="34"/>
  <c r="D81" i="34"/>
  <c r="B82" i="34"/>
  <c r="C82" i="34"/>
  <c r="D82" i="34"/>
  <c r="B83" i="34"/>
  <c r="C83" i="34"/>
  <c r="D83" i="34"/>
  <c r="B84" i="34"/>
  <c r="C84" i="34"/>
  <c r="D84" i="34"/>
  <c r="B85" i="34"/>
  <c r="C85" i="34"/>
  <c r="D85" i="34"/>
  <c r="B86" i="34"/>
  <c r="C86" i="34"/>
  <c r="D86" i="34"/>
  <c r="B87" i="34"/>
  <c r="C87" i="34"/>
  <c r="D87" i="34"/>
  <c r="B88" i="34"/>
  <c r="C88" i="34"/>
  <c r="D88" i="34"/>
  <c r="B89" i="34"/>
  <c r="C89" i="34"/>
  <c r="D89" i="34"/>
  <c r="B90" i="34"/>
  <c r="C90" i="34"/>
  <c r="D90" i="34"/>
  <c r="B91" i="34"/>
  <c r="C91" i="34"/>
  <c r="D91" i="34"/>
  <c r="B92" i="34"/>
  <c r="C92" i="34"/>
  <c r="D92" i="34"/>
  <c r="B93" i="34"/>
  <c r="C93" i="34"/>
  <c r="D93" i="34"/>
  <c r="B94" i="34"/>
  <c r="C94" i="34"/>
  <c r="D94" i="34"/>
  <c r="B95" i="34"/>
  <c r="C95" i="34"/>
  <c r="D95" i="34"/>
  <c r="B96" i="34"/>
  <c r="C96" i="34"/>
  <c r="D96" i="34"/>
  <c r="B97" i="34"/>
  <c r="C97" i="34"/>
  <c r="D97" i="34"/>
  <c r="B98" i="34"/>
  <c r="C98" i="34"/>
  <c r="D98" i="34"/>
  <c r="B99" i="34"/>
  <c r="C99" i="34"/>
  <c r="D99" i="34"/>
  <c r="B100" i="34"/>
  <c r="C100" i="34"/>
  <c r="D100" i="34"/>
  <c r="B101" i="34"/>
  <c r="C101" i="34"/>
  <c r="D101" i="34"/>
  <c r="B102" i="34"/>
  <c r="C102" i="34"/>
  <c r="D102" i="34"/>
  <c r="B103" i="34"/>
  <c r="C103" i="34"/>
  <c r="D103" i="34"/>
  <c r="B104" i="34"/>
  <c r="C104" i="34"/>
  <c r="D104" i="34"/>
  <c r="B105" i="34"/>
  <c r="C105" i="34"/>
  <c r="D105" i="34"/>
  <c r="B106" i="34"/>
  <c r="C106" i="34"/>
  <c r="D106" i="34"/>
  <c r="B107" i="34"/>
  <c r="C107" i="34"/>
  <c r="D107" i="34"/>
  <c r="B108" i="34"/>
  <c r="C108" i="34"/>
  <c r="D108" i="34"/>
  <c r="B109" i="34"/>
  <c r="C109" i="34"/>
  <c r="D109" i="34"/>
  <c r="B110" i="34"/>
  <c r="C110" i="34"/>
  <c r="D110" i="34"/>
  <c r="B111" i="34"/>
  <c r="C111" i="34"/>
  <c r="D111" i="34"/>
  <c r="B112" i="34"/>
  <c r="C112" i="34"/>
  <c r="D112" i="34"/>
  <c r="B113" i="34"/>
  <c r="C113" i="34"/>
  <c r="D113" i="34"/>
  <c r="B114" i="34"/>
  <c r="C114" i="34"/>
  <c r="D114" i="34"/>
  <c r="B115" i="34"/>
  <c r="C115" i="34"/>
  <c r="D115" i="34"/>
  <c r="B116" i="34"/>
  <c r="C116" i="34"/>
  <c r="D116" i="34"/>
  <c r="B117" i="34"/>
  <c r="C117" i="34"/>
  <c r="D117" i="34"/>
  <c r="B118" i="34"/>
  <c r="C118" i="34"/>
  <c r="D118" i="34"/>
  <c r="B119" i="34"/>
  <c r="C119" i="34"/>
  <c r="D119" i="34"/>
  <c r="B120" i="34"/>
  <c r="C120" i="34"/>
  <c r="D120" i="34"/>
  <c r="B121" i="34"/>
  <c r="C121" i="34"/>
  <c r="D121" i="34"/>
  <c r="B122" i="34"/>
  <c r="C122" i="34"/>
  <c r="D122" i="34"/>
  <c r="B123" i="34"/>
  <c r="C123" i="34"/>
  <c r="D123" i="34"/>
  <c r="B124" i="34"/>
  <c r="C124" i="34"/>
  <c r="D124" i="34"/>
  <c r="B125" i="34"/>
  <c r="C125" i="34"/>
  <c r="D125" i="34"/>
  <c r="B126" i="34"/>
  <c r="C126" i="34"/>
  <c r="D126" i="34"/>
  <c r="B127" i="34"/>
  <c r="C127" i="34"/>
  <c r="D127" i="34"/>
  <c r="B128" i="34"/>
  <c r="C128" i="34"/>
  <c r="D128" i="34"/>
  <c r="B129" i="34"/>
  <c r="C129" i="34"/>
  <c r="D129" i="34"/>
  <c r="B130" i="34"/>
  <c r="C130" i="34"/>
  <c r="D130" i="34"/>
  <c r="B131" i="34"/>
  <c r="C131" i="34"/>
  <c r="D131" i="34"/>
  <c r="B132" i="34"/>
  <c r="C132" i="34"/>
  <c r="D132" i="34"/>
  <c r="B133" i="34"/>
  <c r="C133" i="34"/>
  <c r="D133" i="34"/>
  <c r="B134" i="34"/>
  <c r="C134" i="34"/>
  <c r="D134" i="34"/>
  <c r="B135" i="34"/>
  <c r="C135" i="34"/>
  <c r="D135" i="34"/>
  <c r="B136" i="34"/>
  <c r="C136" i="34"/>
  <c r="D136" i="34"/>
  <c r="B137" i="34"/>
  <c r="C137" i="34"/>
  <c r="D137" i="34"/>
  <c r="B138" i="34"/>
  <c r="C138" i="34"/>
  <c r="D138" i="34"/>
  <c r="B139" i="34"/>
  <c r="C139" i="34"/>
  <c r="D139" i="34"/>
  <c r="B140" i="34"/>
  <c r="C140" i="34"/>
  <c r="D140" i="34"/>
  <c r="B141" i="34"/>
  <c r="C141" i="34"/>
  <c r="D141" i="34"/>
  <c r="B142" i="34"/>
  <c r="C142" i="34"/>
  <c r="D142" i="34"/>
  <c r="B143" i="34"/>
  <c r="C143" i="34"/>
  <c r="D143" i="34"/>
  <c r="B144" i="34"/>
  <c r="C144" i="34"/>
  <c r="D144" i="34"/>
  <c r="B145" i="34"/>
  <c r="C145" i="34"/>
  <c r="D145" i="34"/>
  <c r="B146" i="34"/>
  <c r="C146" i="34"/>
  <c r="D146" i="34"/>
  <c r="B147" i="34"/>
  <c r="C147" i="34"/>
  <c r="D147" i="34"/>
  <c r="B148" i="34"/>
  <c r="C148" i="34"/>
  <c r="D148" i="34"/>
  <c r="B149" i="34"/>
  <c r="C149" i="34"/>
  <c r="D149" i="34"/>
  <c r="B150" i="34"/>
  <c r="C150" i="34"/>
  <c r="D150" i="34"/>
  <c r="B151" i="34"/>
  <c r="C151" i="34"/>
  <c r="D151" i="34"/>
  <c r="B152" i="34"/>
  <c r="C152" i="34"/>
  <c r="D152" i="34"/>
  <c r="B153" i="34"/>
  <c r="C153" i="34"/>
  <c r="D153" i="34"/>
  <c r="B154" i="34"/>
  <c r="C154" i="34"/>
  <c r="D154" i="34"/>
  <c r="B155" i="34"/>
  <c r="C155" i="34"/>
  <c r="D155" i="34"/>
  <c r="B156" i="34"/>
  <c r="C156" i="34"/>
  <c r="D156" i="34"/>
  <c r="B157" i="34"/>
  <c r="C157" i="34"/>
  <c r="D157" i="34"/>
  <c r="B158" i="34"/>
  <c r="C158" i="34"/>
  <c r="D158" i="34"/>
  <c r="B159" i="34"/>
  <c r="C159" i="34"/>
  <c r="D159" i="34"/>
  <c r="B160" i="34"/>
  <c r="C160" i="34"/>
  <c r="D160" i="34"/>
  <c r="B161" i="34"/>
  <c r="C161" i="34"/>
  <c r="D161" i="34"/>
  <c r="B162" i="34"/>
  <c r="C162" i="34"/>
  <c r="D162" i="34"/>
  <c r="B163" i="34"/>
  <c r="C163" i="34"/>
  <c r="D163" i="34"/>
  <c r="B164" i="34"/>
  <c r="C164" i="34"/>
  <c r="D164" i="34"/>
  <c r="B165" i="34"/>
  <c r="C165" i="34"/>
  <c r="D165" i="34"/>
  <c r="B166" i="34"/>
  <c r="C166" i="34"/>
  <c r="D166" i="34"/>
  <c r="B167" i="34"/>
  <c r="C167" i="34"/>
  <c r="E167" i="34" s="1"/>
  <c r="D167" i="34"/>
  <c r="B168" i="34"/>
  <c r="C168" i="34"/>
  <c r="D168" i="34"/>
  <c r="B169" i="34"/>
  <c r="C169" i="34"/>
  <c r="D169" i="34"/>
  <c r="B170" i="34"/>
  <c r="E170" i="34" s="1"/>
  <c r="C170" i="34"/>
  <c r="D170" i="34"/>
  <c r="B171" i="34"/>
  <c r="C171" i="34"/>
  <c r="D171" i="34"/>
  <c r="B172" i="34"/>
  <c r="C172" i="34"/>
  <c r="D172" i="34"/>
  <c r="B173" i="34"/>
  <c r="C173" i="34"/>
  <c r="D173" i="34"/>
  <c r="B174" i="34"/>
  <c r="C174" i="34"/>
  <c r="D174" i="34"/>
  <c r="B175" i="34"/>
  <c r="C175" i="34"/>
  <c r="E175" i="34" s="1"/>
  <c r="D175" i="34"/>
  <c r="B176" i="34"/>
  <c r="C176" i="34"/>
  <c r="D176" i="34"/>
  <c r="B177" i="34"/>
  <c r="C177" i="34"/>
  <c r="D177" i="34"/>
  <c r="B178" i="34"/>
  <c r="E178" i="34" s="1"/>
  <c r="C178" i="34"/>
  <c r="D178" i="34"/>
  <c r="B179" i="34"/>
  <c r="C179" i="34"/>
  <c r="D179" i="34"/>
  <c r="B180" i="34"/>
  <c r="C180" i="34"/>
  <c r="D180" i="34"/>
  <c r="B181" i="34"/>
  <c r="C181" i="34"/>
  <c r="D181" i="34"/>
  <c r="B182" i="34"/>
  <c r="C182" i="34"/>
  <c r="D182" i="34"/>
  <c r="B183" i="34"/>
  <c r="C183" i="34"/>
  <c r="E183" i="34" s="1"/>
  <c r="D183" i="34"/>
  <c r="B184" i="34"/>
  <c r="C184" i="34"/>
  <c r="D184" i="34"/>
  <c r="B185" i="34"/>
  <c r="C185" i="34"/>
  <c r="D185" i="34"/>
  <c r="B186" i="34"/>
  <c r="E186" i="34" s="1"/>
  <c r="C186" i="34"/>
  <c r="D186" i="34"/>
  <c r="B187" i="34"/>
  <c r="C187" i="34"/>
  <c r="D187" i="34"/>
  <c r="B188" i="34"/>
  <c r="C188" i="34"/>
  <c r="D188" i="34"/>
  <c r="B189" i="34"/>
  <c r="C189" i="34"/>
  <c r="D189" i="34"/>
  <c r="B190" i="34"/>
  <c r="C190" i="34"/>
  <c r="D190" i="34"/>
  <c r="E191" i="34"/>
  <c r="E192" i="34"/>
  <c r="E193" i="34"/>
  <c r="E194" i="34"/>
  <c r="E195" i="34"/>
  <c r="E196" i="34"/>
  <c r="E197" i="34"/>
  <c r="E198" i="34"/>
  <c r="E199" i="34"/>
  <c r="E200" i="34"/>
  <c r="E201" i="34"/>
  <c r="E202" i="34"/>
  <c r="E203" i="34"/>
  <c r="E204" i="34"/>
  <c r="E205" i="34"/>
  <c r="E206" i="34"/>
  <c r="E207" i="34"/>
  <c r="E208" i="34"/>
  <c r="E209" i="34"/>
  <c r="E210" i="34"/>
  <c r="E211" i="34"/>
  <c r="E212" i="34"/>
  <c r="E213" i="34"/>
  <c r="E214" i="34"/>
  <c r="E215" i="34"/>
  <c r="E216" i="34"/>
  <c r="E217" i="34"/>
  <c r="E218" i="34"/>
  <c r="E219" i="34"/>
  <c r="E220" i="34"/>
  <c r="E221" i="34"/>
  <c r="E222" i="34"/>
  <c r="E223" i="34"/>
  <c r="E224" i="34"/>
  <c r="E225" i="34"/>
  <c r="E226" i="34"/>
  <c r="E227" i="34"/>
  <c r="E228" i="34"/>
  <c r="E229" i="34"/>
  <c r="E230" i="34"/>
  <c r="E231" i="34"/>
  <c r="E232" i="34"/>
  <c r="E233" i="34"/>
  <c r="E234" i="34"/>
  <c r="E235" i="34"/>
  <c r="E236" i="34"/>
  <c r="E237" i="34"/>
  <c r="E238" i="34"/>
  <c r="E239" i="34"/>
  <c r="E240" i="34"/>
  <c r="E241" i="34"/>
  <c r="E242" i="34"/>
  <c r="E243" i="34"/>
  <c r="E244" i="34"/>
  <c r="E245" i="34"/>
  <c r="E246" i="34"/>
  <c r="E247" i="34"/>
  <c r="E248" i="34"/>
  <c r="E249" i="34"/>
  <c r="E250" i="34"/>
  <c r="E251" i="34"/>
  <c r="E252" i="34"/>
  <c r="E253" i="34"/>
  <c r="E254" i="34"/>
  <c r="E255" i="34"/>
  <c r="E256" i="34"/>
  <c r="E257" i="34"/>
  <c r="E258" i="34"/>
  <c r="E259" i="34"/>
  <c r="E260" i="34"/>
  <c r="E261" i="34"/>
  <c r="E262" i="34"/>
  <c r="E263" i="34"/>
  <c r="E264" i="34"/>
  <c r="E265" i="34"/>
  <c r="E266" i="34"/>
  <c r="E267" i="34"/>
  <c r="E268" i="34"/>
  <c r="E269" i="34"/>
  <c r="E270" i="34"/>
  <c r="E271" i="34"/>
  <c r="E272" i="34"/>
  <c r="E273" i="34"/>
  <c r="E274" i="34"/>
  <c r="E275" i="34"/>
  <c r="E276" i="34"/>
  <c r="E277" i="34"/>
  <c r="E278" i="34"/>
  <c r="E279" i="34"/>
  <c r="E280" i="34"/>
  <c r="E281" i="34"/>
  <c r="E282" i="34"/>
  <c r="E283" i="34"/>
  <c r="E284" i="34"/>
  <c r="E285" i="34"/>
  <c r="E286" i="34"/>
  <c r="E287" i="34"/>
  <c r="E288" i="34"/>
  <c r="E289" i="34"/>
  <c r="E290" i="34"/>
  <c r="E291" i="34"/>
  <c r="E292" i="34"/>
  <c r="E293" i="34"/>
  <c r="E294" i="34"/>
  <c r="E295" i="34"/>
  <c r="E296" i="34"/>
  <c r="E297" i="34"/>
  <c r="E298" i="34"/>
  <c r="E299" i="34"/>
  <c r="E300" i="34"/>
  <c r="E301" i="34"/>
  <c r="E302" i="34"/>
  <c r="E303" i="34"/>
  <c r="E304" i="34"/>
  <c r="E305" i="34"/>
  <c r="E306" i="34"/>
  <c r="E307" i="34"/>
  <c r="E308" i="34"/>
  <c r="E309" i="34"/>
  <c r="E310" i="34"/>
  <c r="E311" i="34"/>
  <c r="E312" i="34"/>
  <c r="E313" i="34"/>
  <c r="E314" i="34"/>
  <c r="E315" i="34"/>
  <c r="E316" i="34"/>
  <c r="E317" i="34"/>
  <c r="E318" i="34"/>
  <c r="E319" i="34"/>
  <c r="E320" i="34"/>
  <c r="E321" i="34"/>
  <c r="E322" i="34"/>
  <c r="E323" i="34"/>
  <c r="E324" i="34"/>
  <c r="E325" i="34"/>
  <c r="E326" i="34"/>
  <c r="E327" i="34"/>
  <c r="E328" i="34"/>
  <c r="E329" i="34"/>
  <c r="E330" i="34"/>
  <c r="E331" i="34"/>
  <c r="E332" i="34"/>
  <c r="E333" i="34"/>
  <c r="E334" i="34"/>
  <c r="E335" i="34"/>
  <c r="E336" i="34"/>
  <c r="E337" i="34"/>
  <c r="E338" i="34"/>
  <c r="E339" i="34"/>
  <c r="E340" i="34"/>
  <c r="E341" i="34"/>
  <c r="E342" i="34"/>
  <c r="E343" i="34"/>
  <c r="E344" i="34"/>
  <c r="E345" i="34"/>
  <c r="E346" i="34"/>
  <c r="E347" i="34"/>
  <c r="E348" i="34"/>
  <c r="E349" i="34"/>
  <c r="E350" i="34"/>
  <c r="E351" i="34"/>
  <c r="E352" i="34"/>
  <c r="E353" i="34"/>
  <c r="E354" i="34"/>
  <c r="E355" i="34"/>
  <c r="E356" i="34"/>
  <c r="E357" i="34"/>
  <c r="E358" i="34"/>
  <c r="E359" i="34"/>
  <c r="E360" i="34"/>
  <c r="E361" i="34"/>
  <c r="E362" i="34"/>
  <c r="E363" i="34"/>
  <c r="E364" i="34"/>
  <c r="E365" i="34"/>
  <c r="E366" i="34"/>
  <c r="E367" i="34"/>
  <c r="E368" i="34"/>
  <c r="E369" i="34"/>
  <c r="E370" i="34"/>
  <c r="E371" i="34"/>
  <c r="E372" i="34"/>
  <c r="E373" i="34"/>
  <c r="E374" i="34"/>
  <c r="E375" i="34"/>
  <c r="E376" i="34"/>
  <c r="E377" i="34"/>
  <c r="E378" i="34"/>
  <c r="E379" i="34"/>
  <c r="E380" i="34"/>
  <c r="E381" i="34"/>
  <c r="E382" i="34"/>
  <c r="E383" i="34"/>
  <c r="E384" i="34"/>
  <c r="E385" i="34"/>
  <c r="E386" i="34"/>
  <c r="E387" i="34"/>
  <c r="E388" i="34"/>
  <c r="E389" i="34"/>
  <c r="E390" i="34"/>
  <c r="E391" i="34"/>
  <c r="E392" i="34"/>
  <c r="E393" i="34"/>
  <c r="E394" i="34"/>
  <c r="E395" i="34"/>
  <c r="E396" i="34"/>
  <c r="E397" i="34"/>
  <c r="E398" i="34"/>
  <c r="E399" i="34"/>
  <c r="E400" i="34"/>
  <c r="E401" i="34"/>
  <c r="E402" i="34"/>
  <c r="E403" i="34"/>
  <c r="E404" i="34"/>
  <c r="E405" i="34"/>
  <c r="E406" i="34"/>
  <c r="E407" i="34"/>
  <c r="E408" i="34"/>
  <c r="E409" i="34"/>
  <c r="E410" i="34"/>
  <c r="E411" i="34"/>
  <c r="E412" i="34"/>
  <c r="E413" i="34"/>
  <c r="E414" i="34"/>
  <c r="E415" i="34"/>
  <c r="E416" i="34"/>
  <c r="E417" i="34"/>
  <c r="E418" i="34"/>
  <c r="E419" i="34"/>
  <c r="E420" i="34"/>
  <c r="E421" i="34"/>
  <c r="E422" i="34"/>
  <c r="E423" i="34"/>
  <c r="E424" i="34"/>
  <c r="E425" i="34"/>
  <c r="E426" i="34"/>
  <c r="E427" i="34"/>
  <c r="E428" i="34"/>
  <c r="E429" i="34"/>
  <c r="E430" i="34"/>
  <c r="E431" i="34"/>
  <c r="E432" i="34"/>
  <c r="E433" i="34"/>
  <c r="E434" i="34"/>
  <c r="E435" i="34"/>
  <c r="E436" i="34"/>
  <c r="E437" i="34"/>
  <c r="E438" i="34"/>
  <c r="A1" i="28"/>
  <c r="A2" i="28"/>
  <c r="O1" i="27"/>
  <c r="E2" i="27"/>
  <c r="K2" i="27"/>
  <c r="O2" i="27"/>
  <c r="B6" i="27"/>
  <c r="C6" i="27"/>
  <c r="D6" i="27"/>
  <c r="B7" i="27"/>
  <c r="C7" i="27"/>
  <c r="D7" i="27"/>
  <c r="B8" i="27"/>
  <c r="C8" i="27"/>
  <c r="D8" i="27"/>
  <c r="B9" i="27"/>
  <c r="C9" i="27"/>
  <c r="D9" i="27"/>
  <c r="B10" i="27"/>
  <c r="C10" i="27"/>
  <c r="D10" i="27"/>
  <c r="B11" i="27"/>
  <c r="C11" i="27"/>
  <c r="D11" i="27"/>
  <c r="B12" i="27"/>
  <c r="C12" i="27"/>
  <c r="D12" i="27"/>
  <c r="B13" i="27"/>
  <c r="C13" i="27"/>
  <c r="D13" i="27"/>
  <c r="A3" i="24"/>
  <c r="D2" i="33"/>
  <c r="D3" i="33"/>
  <c r="D4" i="33"/>
  <c r="D5" i="33"/>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E1" i="25"/>
  <c r="C2" i="25"/>
  <c r="D2" i="25"/>
  <c r="E2" i="25"/>
  <c r="B6" i="25"/>
  <c r="B7" i="25"/>
  <c r="B8" i="25"/>
  <c r="B9" i="25"/>
  <c r="B10" i="25"/>
  <c r="B11" i="25"/>
  <c r="B12" i="25"/>
  <c r="B13" i="25"/>
  <c r="B14" i="25"/>
  <c r="B15" i="25"/>
  <c r="Q1" i="23"/>
  <c r="C2" i="23"/>
  <c r="J2" i="23"/>
  <c r="Q2" i="23"/>
  <c r="U2" i="23"/>
  <c r="B6" i="23"/>
  <c r="W6" i="23" a="1"/>
  <c r="W6" i="23" s="1"/>
  <c r="X6" i="23"/>
  <c r="W7" i="23"/>
  <c r="B8" i="23"/>
  <c r="W8" i="23" a="1"/>
  <c r="W8" i="23" s="1"/>
  <c r="X8" i="23"/>
  <c r="W9" i="23"/>
  <c r="B10" i="23"/>
  <c r="W10" i="23" a="1"/>
  <c r="W10" i="23" s="1"/>
  <c r="X10" i="23"/>
  <c r="W11" i="23"/>
  <c r="B12" i="23"/>
  <c r="W12" i="23" a="1"/>
  <c r="W12" i="23"/>
  <c r="X12" i="23"/>
  <c r="W13" i="23"/>
  <c r="B14" i="23"/>
  <c r="W14" i="23" a="1"/>
  <c r="W14" i="23"/>
  <c r="X14" i="23"/>
  <c r="W15" i="23"/>
  <c r="B16" i="23"/>
  <c r="W16" i="23" a="1"/>
  <c r="W16" i="23" s="1"/>
  <c r="X16" i="23"/>
  <c r="W17" i="23"/>
  <c r="B18" i="23"/>
  <c r="W18" i="23" a="1"/>
  <c r="W18" i="23" s="1"/>
  <c r="X18" i="23"/>
  <c r="W19" i="23" a="1"/>
  <c r="W19" i="23" s="1"/>
  <c r="B20" i="23"/>
  <c r="W20" i="23" a="1"/>
  <c r="W20" i="23"/>
  <c r="X20" i="23"/>
  <c r="W21" i="23" a="1"/>
  <c r="W21" i="23" s="1"/>
  <c r="B22" i="23"/>
  <c r="W22" i="23" a="1"/>
  <c r="W22" i="23" s="1"/>
  <c r="X22" i="23"/>
  <c r="W23" i="23" a="1"/>
  <c r="W23" i="23" s="1"/>
  <c r="Y22" i="23" s="1"/>
  <c r="Z22" i="23" s="1"/>
  <c r="B24" i="23"/>
  <c r="W24" i="23" a="1"/>
  <c r="W24" i="23" s="1"/>
  <c r="X24" i="23"/>
  <c r="W25" i="23" a="1"/>
  <c r="W25" i="23" s="1"/>
  <c r="Y24" i="23" s="1"/>
  <c r="Z24" i="23" s="1"/>
  <c r="Q1" i="22"/>
  <c r="C2" i="22"/>
  <c r="J2" i="22"/>
  <c r="Q2" i="22"/>
  <c r="U2" i="22"/>
  <c r="B6" i="22"/>
  <c r="W6" i="22" a="1"/>
  <c r="W6" i="22" s="1"/>
  <c r="X6" i="22"/>
  <c r="W7" i="22"/>
  <c r="B8" i="22"/>
  <c r="W8" i="22" a="1"/>
  <c r="W8" i="22" s="1"/>
  <c r="X8" i="22"/>
  <c r="W9" i="22"/>
  <c r="B10" i="22"/>
  <c r="W10" i="22" a="1"/>
  <c r="W10" i="22" s="1"/>
  <c r="X10" i="22"/>
  <c r="W11" i="22"/>
  <c r="B12" i="22"/>
  <c r="W12" i="22" a="1"/>
  <c r="W12" i="22"/>
  <c r="X12" i="22"/>
  <c r="W13" i="22"/>
  <c r="B14" i="22"/>
  <c r="W14" i="22" a="1"/>
  <c r="W14" i="22" s="1"/>
  <c r="X14" i="22"/>
  <c r="W15" i="22"/>
  <c r="B16" i="22"/>
  <c r="W16" i="22" a="1"/>
  <c r="W16" i="22" s="1"/>
  <c r="X16" i="22"/>
  <c r="W17" i="22"/>
  <c r="B18" i="22"/>
  <c r="W18" i="22" a="1"/>
  <c r="W18" i="22"/>
  <c r="X18" i="22"/>
  <c r="W19" i="22" a="1"/>
  <c r="W19" i="22" s="1"/>
  <c r="B20" i="22"/>
  <c r="W20" i="22" a="1"/>
  <c r="W20" i="22"/>
  <c r="X20" i="22"/>
  <c r="W21" i="22" a="1"/>
  <c r="W21" i="22" s="1"/>
  <c r="B22" i="22"/>
  <c r="W22" i="22" a="1"/>
  <c r="W22" i="22" s="1"/>
  <c r="X22" i="22"/>
  <c r="W23" i="22" a="1"/>
  <c r="W23" i="22" s="1"/>
  <c r="Y22" i="22" s="1"/>
  <c r="Z22" i="22" s="1"/>
  <c r="B24" i="22"/>
  <c r="W24" i="22" a="1"/>
  <c r="W24" i="22" s="1"/>
  <c r="X24" i="22"/>
  <c r="Y24" i="22" s="1"/>
  <c r="Z24" i="22" s="1"/>
  <c r="W25" i="22" a="1"/>
  <c r="W25" i="22" s="1"/>
  <c r="Q1" i="15"/>
  <c r="C2" i="15"/>
  <c r="J2" i="15"/>
  <c r="Q2" i="15"/>
  <c r="U2" i="15"/>
  <c r="B6" i="15"/>
  <c r="W6" i="15" a="1"/>
  <c r="W6" i="15" s="1"/>
  <c r="X6" i="15"/>
  <c r="W7" i="15"/>
  <c r="B8" i="15"/>
  <c r="W8" i="15" a="1"/>
  <c r="W8" i="15"/>
  <c r="X8" i="15"/>
  <c r="W9" i="15"/>
  <c r="B10" i="15"/>
  <c r="W10" i="15" a="1"/>
  <c r="W10" i="15" s="1"/>
  <c r="X10" i="15"/>
  <c r="W11" i="15"/>
  <c r="B12" i="15"/>
  <c r="W12" i="15" a="1"/>
  <c r="W12" i="15" s="1"/>
  <c r="X12" i="15"/>
  <c r="W13" i="15"/>
  <c r="B14" i="15"/>
  <c r="W14" i="15" a="1"/>
  <c r="W14" i="15" s="1"/>
  <c r="X14" i="15"/>
  <c r="W15" i="15"/>
  <c r="B16" i="15"/>
  <c r="W16" i="15" a="1"/>
  <c r="W16" i="15" s="1"/>
  <c r="X16" i="15"/>
  <c r="W17" i="15"/>
  <c r="B18" i="15"/>
  <c r="W18" i="15" a="1"/>
  <c r="W18" i="15" s="1"/>
  <c r="X18" i="15"/>
  <c r="W19" i="15" a="1"/>
  <c r="W19" i="15" s="1"/>
  <c r="B20" i="15"/>
  <c r="W20" i="15" a="1"/>
  <c r="W20" i="15" s="1"/>
  <c r="X20" i="15"/>
  <c r="W21" i="15" a="1"/>
  <c r="W21" i="15" s="1"/>
  <c r="B22" i="15"/>
  <c r="W22" i="15" a="1"/>
  <c r="W22" i="15" s="1"/>
  <c r="X22" i="15"/>
  <c r="W23" i="15" a="1"/>
  <c r="W23" i="15" s="1"/>
  <c r="Y22" i="15" s="1"/>
  <c r="Z22" i="15" s="1"/>
  <c r="B24" i="15"/>
  <c r="W24" i="15" a="1"/>
  <c r="W24" i="15" s="1"/>
  <c r="X24" i="15"/>
  <c r="W25" i="15" a="1"/>
  <c r="W25" i="15" s="1"/>
  <c r="Y24" i="15" s="1"/>
  <c r="Z24" i="15" s="1"/>
  <c r="G1" i="21"/>
  <c r="C2" i="21"/>
  <c r="E2" i="21"/>
  <c r="G2" i="21"/>
  <c r="I2" i="21"/>
  <c r="B6" i="21"/>
  <c r="B7" i="21"/>
  <c r="B8" i="21"/>
  <c r="B9" i="21"/>
  <c r="B10" i="21"/>
  <c r="B11" i="21"/>
  <c r="B12" i="21"/>
  <c r="B13" i="21"/>
  <c r="B14" i="21"/>
  <c r="B15" i="21"/>
  <c r="G1" i="20"/>
  <c r="C2" i="20"/>
  <c r="E2" i="20"/>
  <c r="G2" i="20"/>
  <c r="I2" i="20"/>
  <c r="B6" i="20"/>
  <c r="B7" i="20"/>
  <c r="B8" i="20"/>
  <c r="B9" i="20"/>
  <c r="B10" i="20"/>
  <c r="B11" i="20"/>
  <c r="H11" i="10"/>
  <c r="I11" i="27" s="1"/>
  <c r="B12" i="20"/>
  <c r="B13" i="20"/>
  <c r="B14" i="20"/>
  <c r="B15" i="20"/>
  <c r="G1" i="14"/>
  <c r="C2" i="14"/>
  <c r="E2" i="14"/>
  <c r="G2" i="14"/>
  <c r="I2" i="14"/>
  <c r="B6" i="14"/>
  <c r="B7" i="14"/>
  <c r="B8" i="14"/>
  <c r="F8" i="10"/>
  <c r="B9" i="14"/>
  <c r="B10" i="14"/>
  <c r="B11" i="14"/>
  <c r="B12" i="14"/>
  <c r="F12" i="10"/>
  <c r="H12" i="27"/>
  <c r="B13" i="14"/>
  <c r="B14" i="14"/>
  <c r="B15" i="14"/>
  <c r="G1" i="19"/>
  <c r="C2" i="19"/>
  <c r="E2" i="19"/>
  <c r="G2" i="19"/>
  <c r="H2" i="19"/>
  <c r="B6" i="19"/>
  <c r="G6" i="19"/>
  <c r="H6" i="19"/>
  <c r="I6" i="19" s="1"/>
  <c r="B7" i="19"/>
  <c r="G7" i="19"/>
  <c r="H7" i="19"/>
  <c r="I7" i="19" s="1"/>
  <c r="B8" i="19"/>
  <c r="G8" i="19"/>
  <c r="H8" i="19" s="1"/>
  <c r="I8" i="19" s="1"/>
  <c r="B9" i="19"/>
  <c r="G9" i="19"/>
  <c r="H9" i="19"/>
  <c r="I9" i="19"/>
  <c r="B10" i="19"/>
  <c r="G10" i="19"/>
  <c r="H10" i="19" s="1"/>
  <c r="I10" i="19" s="1"/>
  <c r="B11" i="19"/>
  <c r="G11" i="19"/>
  <c r="H11" i="19" s="1"/>
  <c r="I11" i="19" s="1"/>
  <c r="B12" i="19"/>
  <c r="G12" i="19"/>
  <c r="H12" i="19"/>
  <c r="I12" i="19" s="1"/>
  <c r="B13" i="19"/>
  <c r="G13" i="19"/>
  <c r="H13" i="19" s="1"/>
  <c r="I13" i="19" s="1"/>
  <c r="B14" i="19"/>
  <c r="G14" i="19"/>
  <c r="H14" i="19" s="1"/>
  <c r="I14" i="19" s="1"/>
  <c r="B15" i="19"/>
  <c r="G15" i="19"/>
  <c r="H15" i="19" s="1"/>
  <c r="I15" i="19" s="1"/>
  <c r="G1" i="18"/>
  <c r="C2" i="18"/>
  <c r="E2" i="18"/>
  <c r="G2" i="18"/>
  <c r="H2" i="18"/>
  <c r="B6" i="18"/>
  <c r="G6" i="18"/>
  <c r="H6" i="18"/>
  <c r="I6" i="18" s="1"/>
  <c r="B7" i="18"/>
  <c r="G7" i="18"/>
  <c r="H7" i="18" s="1"/>
  <c r="I7" i="18" s="1"/>
  <c r="B8" i="18"/>
  <c r="G8" i="18"/>
  <c r="H8" i="18" s="1"/>
  <c r="I8" i="18" s="1"/>
  <c r="B9" i="18"/>
  <c r="G9" i="18"/>
  <c r="H9" i="18" s="1"/>
  <c r="I9" i="18" s="1"/>
  <c r="D9" i="10"/>
  <c r="B10" i="18"/>
  <c r="G10" i="18"/>
  <c r="H10" i="18"/>
  <c r="I10" i="18" s="1"/>
  <c r="D10" i="10"/>
  <c r="F10" i="27" s="1"/>
  <c r="B11" i="18"/>
  <c r="G11" i="18"/>
  <c r="H11" i="18"/>
  <c r="I11" i="18"/>
  <c r="D11" i="10"/>
  <c r="B12" i="18"/>
  <c r="G12" i="18"/>
  <c r="H12" i="18" s="1"/>
  <c r="I12" i="18" s="1"/>
  <c r="D12" i="10"/>
  <c r="F12" i="27"/>
  <c r="B13" i="18"/>
  <c r="G13" i="18"/>
  <c r="H13" i="18" s="1"/>
  <c r="I13" i="18" s="1"/>
  <c r="D13" i="10"/>
  <c r="F13" i="27" s="1"/>
  <c r="B14" i="18"/>
  <c r="G14" i="18"/>
  <c r="H14" i="18"/>
  <c r="I14" i="18" s="1"/>
  <c r="B15" i="18"/>
  <c r="G15" i="18"/>
  <c r="H15" i="18" s="1"/>
  <c r="I15" i="18" s="1"/>
  <c r="G1" i="16"/>
  <c r="C2" i="16"/>
  <c r="E2" i="16"/>
  <c r="G2" i="16"/>
  <c r="H2" i="16"/>
  <c r="B6" i="16"/>
  <c r="G6" i="16"/>
  <c r="H6" i="16" s="1"/>
  <c r="I6" i="16" s="1"/>
  <c r="C6" i="10"/>
  <c r="E6" i="27" s="1"/>
  <c r="B7" i="16"/>
  <c r="G7" i="16"/>
  <c r="H7" i="16" s="1"/>
  <c r="I7" i="16" s="1"/>
  <c r="B8" i="16"/>
  <c r="G8" i="16"/>
  <c r="H8" i="16" s="1"/>
  <c r="I8" i="16" s="1"/>
  <c r="C8" i="10"/>
  <c r="E8" i="27" s="1"/>
  <c r="B9" i="16"/>
  <c r="G9" i="16"/>
  <c r="H9" i="16" s="1"/>
  <c r="I9" i="16" s="1"/>
  <c r="B10" i="16"/>
  <c r="G10" i="16"/>
  <c r="H10" i="16" s="1"/>
  <c r="I10" i="16" s="1"/>
  <c r="B11" i="16"/>
  <c r="G11" i="16"/>
  <c r="H11" i="16" s="1"/>
  <c r="I11" i="16" s="1"/>
  <c r="B12" i="16"/>
  <c r="G12" i="16"/>
  <c r="H12" i="16" s="1"/>
  <c r="I12" i="16" s="1"/>
  <c r="B13" i="16"/>
  <c r="G13" i="16"/>
  <c r="H13" i="16" s="1"/>
  <c r="I13" i="16" s="1"/>
  <c r="C13" i="10"/>
  <c r="E13" i="27" s="1"/>
  <c r="B14" i="16"/>
  <c r="G14" i="16"/>
  <c r="H14" i="16" s="1"/>
  <c r="I14" i="16" s="1"/>
  <c r="B15" i="16"/>
  <c r="G15" i="16"/>
  <c r="H15" i="16" s="1"/>
  <c r="I15" i="16" s="1"/>
  <c r="P1" i="10"/>
  <c r="D2" i="10"/>
  <c r="L2" i="10"/>
  <c r="P2" i="10"/>
  <c r="C4" i="10"/>
  <c r="D4" i="10"/>
  <c r="E4" i="10"/>
  <c r="F4" i="10"/>
  <c r="H4" i="10"/>
  <c r="J4" i="10"/>
  <c r="L4" i="10"/>
  <c r="M4" i="10"/>
  <c r="N4" i="10"/>
  <c r="B6" i="10"/>
  <c r="J6" i="10"/>
  <c r="J6" i="27" s="1"/>
  <c r="N6" i="10"/>
  <c r="M6" i="27"/>
  <c r="B7" i="10"/>
  <c r="J7" i="10"/>
  <c r="J7" i="27" s="1"/>
  <c r="O7" i="27" s="1"/>
  <c r="N7" i="10"/>
  <c r="B8" i="10"/>
  <c r="J8" i="10"/>
  <c r="J8" i="27" s="1"/>
  <c r="N8" i="10"/>
  <c r="M8" i="27"/>
  <c r="B9" i="10"/>
  <c r="J9" i="10"/>
  <c r="J9" i="27" s="1"/>
  <c r="N9" i="10"/>
  <c r="B10" i="10"/>
  <c r="J10" i="10"/>
  <c r="J10" i="27"/>
  <c r="N10" i="10"/>
  <c r="M10" i="27" s="1"/>
  <c r="B11" i="10"/>
  <c r="J11" i="10"/>
  <c r="J11" i="27" s="1"/>
  <c r="N11" i="10"/>
  <c r="M11" i="27" s="1"/>
  <c r="B12" i="10"/>
  <c r="J12" i="10"/>
  <c r="J12" i="27"/>
  <c r="N12" i="10"/>
  <c r="B13" i="10"/>
  <c r="J13" i="10"/>
  <c r="J13" i="27" s="1"/>
  <c r="N13" i="10"/>
  <c r="M13" i="27" s="1"/>
  <c r="B14" i="10"/>
  <c r="J14" i="10"/>
  <c r="M14" i="10"/>
  <c r="N14" i="10"/>
  <c r="B15" i="10"/>
  <c r="J15" i="10"/>
  <c r="M15" i="10"/>
  <c r="N15" i="10"/>
  <c r="A1" i="12"/>
  <c r="A1" i="14" s="1"/>
  <c r="A2" i="12"/>
  <c r="A2" i="18" s="1"/>
  <c r="A2" i="27"/>
  <c r="H10" i="10"/>
  <c r="H8" i="10"/>
  <c r="I8" i="27" s="1"/>
  <c r="F13" i="10"/>
  <c r="H13" i="27" s="1"/>
  <c r="F11" i="10"/>
  <c r="F9" i="10"/>
  <c r="D7" i="10"/>
  <c r="F7" i="27" s="1"/>
  <c r="Y8" i="23"/>
  <c r="Z8" i="23" s="1"/>
  <c r="Y16" i="23"/>
  <c r="Z16" i="23" s="1"/>
  <c r="Y14" i="15"/>
  <c r="Z14" i="15" s="1"/>
  <c r="L10" i="10"/>
  <c r="K10" i="27" s="1"/>
  <c r="Y8" i="15"/>
  <c r="Z8" i="15" s="1"/>
  <c r="L7" i="10"/>
  <c r="K7" i="27" s="1"/>
  <c r="Y12" i="15"/>
  <c r="Z12" i="15" s="1"/>
  <c r="L9" i="10"/>
  <c r="K9" i="27" s="1"/>
  <c r="Y10" i="15"/>
  <c r="Z10" i="15" s="1"/>
  <c r="L14" i="10"/>
  <c r="L15" i="10"/>
  <c r="Y18" i="22"/>
  <c r="Z18" i="22" s="1"/>
  <c r="M12" i="10"/>
  <c r="L12" i="27" s="1"/>
  <c r="Y18" i="23"/>
  <c r="Z18" i="23" s="1"/>
  <c r="Y10" i="23"/>
  <c r="Z10" i="23" s="1"/>
  <c r="Y20" i="23"/>
  <c r="Z20" i="23" s="1"/>
  <c r="Y14" i="23"/>
  <c r="Z14" i="23" s="1"/>
  <c r="Y6" i="23"/>
  <c r="Z6" i="23" s="1"/>
  <c r="Y20" i="22"/>
  <c r="Z20" i="22" s="1"/>
  <c r="M13" i="10"/>
  <c r="L13" i="27" s="1"/>
  <c r="Y12" i="22"/>
  <c r="Z12" i="22" s="1"/>
  <c r="M9" i="10"/>
  <c r="L9" i="27" s="1"/>
  <c r="Y8" i="22"/>
  <c r="Z8" i="22" s="1"/>
  <c r="M7" i="10"/>
  <c r="L7" i="27"/>
  <c r="Y12" i="23"/>
  <c r="Z12" i="23" s="1"/>
  <c r="F10" i="10"/>
  <c r="H10" i="27" s="1"/>
  <c r="H13" i="10"/>
  <c r="I13" i="27" s="1"/>
  <c r="H9" i="10"/>
  <c r="I9" i="27"/>
  <c r="D14" i="10"/>
  <c r="Y16" i="15"/>
  <c r="Z16" i="15" s="1"/>
  <c r="L11" i="10"/>
  <c r="K11" i="27" s="1"/>
  <c r="Y14" i="22"/>
  <c r="Z14" i="22" s="1"/>
  <c r="M10" i="10"/>
  <c r="L10" i="27" s="1"/>
  <c r="Y18" i="15"/>
  <c r="Z18" i="15" s="1"/>
  <c r="L12" i="10"/>
  <c r="K12" i="27" s="1"/>
  <c r="Y6" i="15"/>
  <c r="Z6" i="15"/>
  <c r="Y20" i="15"/>
  <c r="Z20" i="15" s="1"/>
  <c r="L13" i="10"/>
  <c r="K13" i="27" s="1"/>
  <c r="H15" i="10"/>
  <c r="F15" i="10"/>
  <c r="C14" i="10"/>
  <c r="F14" i="10"/>
  <c r="F6" i="10"/>
  <c r="H6" i="27" s="1"/>
  <c r="H14" i="10"/>
  <c r="F7" i="10"/>
  <c r="H7" i="27"/>
  <c r="H7" i="10"/>
  <c r="I7" i="27"/>
  <c r="H12" i="10"/>
  <c r="I12" i="27" s="1"/>
  <c r="H6" i="10"/>
  <c r="L8" i="10"/>
  <c r="Y16" i="22"/>
  <c r="Z16" i="22"/>
  <c r="Y10" i="22"/>
  <c r="Z10" i="22" s="1"/>
  <c r="Y6" i="22"/>
  <c r="Z6" i="22" s="1"/>
  <c r="L6" i="10"/>
  <c r="K6" i="27" s="1"/>
  <c r="M8" i="10"/>
  <c r="L8" i="27"/>
  <c r="M6" i="10"/>
  <c r="L6" i="27" s="1"/>
  <c r="M11" i="10"/>
  <c r="L11" i="27" s="1"/>
  <c r="C7" i="10"/>
  <c r="E7" i="27" s="1"/>
  <c r="C15" i="10"/>
  <c r="C11" i="10"/>
  <c r="E11" i="27" s="1"/>
  <c r="C9" i="10"/>
  <c r="E9" i="27"/>
  <c r="B318" i="12"/>
  <c r="B258" i="12"/>
  <c r="B198" i="12"/>
  <c r="B287" i="12"/>
  <c r="B223" i="12"/>
  <c r="B60" i="12"/>
  <c r="B256" i="12"/>
  <c r="B218" i="12"/>
  <c r="B160" i="12"/>
  <c r="B64" i="12"/>
  <c r="J13" i="21"/>
  <c r="K13" i="21" s="1"/>
  <c r="J11" i="21"/>
  <c r="K11" i="21" s="1"/>
  <c r="J9" i="21"/>
  <c r="K9" i="21" s="1"/>
  <c r="J15" i="21"/>
  <c r="K15" i="21" s="1"/>
  <c r="B34" i="12"/>
  <c r="B66" i="12"/>
  <c r="B98" i="12"/>
  <c r="B130" i="12"/>
  <c r="B162" i="12"/>
  <c r="B192" i="12"/>
  <c r="B153" i="12"/>
  <c r="B121" i="12"/>
  <c r="B91" i="12"/>
  <c r="B59" i="12"/>
  <c r="B27" i="12"/>
  <c r="B165" i="12"/>
  <c r="B139" i="12"/>
  <c r="B105" i="12"/>
  <c r="B73" i="12"/>
  <c r="B41" i="12"/>
  <c r="G32" i="12"/>
  <c r="G48" i="12"/>
  <c r="G64" i="12"/>
  <c r="G80" i="12"/>
  <c r="G96" i="12"/>
  <c r="G112" i="12"/>
  <c r="G128" i="12"/>
  <c r="G144" i="12"/>
  <c r="G160" i="12"/>
  <c r="G176" i="12"/>
  <c r="G192" i="12"/>
  <c r="G37" i="12"/>
  <c r="G53" i="12"/>
  <c r="G69" i="12"/>
  <c r="G85" i="12"/>
  <c r="G93" i="12"/>
  <c r="G101" i="12"/>
  <c r="G109" i="12"/>
  <c r="G117" i="12"/>
  <c r="G125" i="12"/>
  <c r="G129" i="12"/>
  <c r="G133" i="12"/>
  <c r="G137" i="12"/>
  <c r="G141" i="12"/>
  <c r="G145" i="12"/>
  <c r="G149" i="12"/>
  <c r="G153" i="12"/>
  <c r="G157" i="12"/>
  <c r="G161" i="12"/>
  <c r="G165" i="12"/>
  <c r="G169" i="12"/>
  <c r="G173" i="12"/>
  <c r="G177" i="12"/>
  <c r="G181" i="12"/>
  <c r="G185" i="12"/>
  <c r="G189" i="12"/>
  <c r="G193" i="12"/>
  <c r="G195" i="12"/>
  <c r="G197" i="12"/>
  <c r="G199" i="12"/>
  <c r="G201" i="12"/>
  <c r="G203" i="12"/>
  <c r="G205" i="12"/>
  <c r="G207" i="12"/>
  <c r="G209" i="12"/>
  <c r="G211" i="12"/>
  <c r="G213" i="12"/>
  <c r="G215" i="12"/>
  <c r="G217" i="12"/>
  <c r="G219" i="12"/>
  <c r="G221" i="12"/>
  <c r="G223" i="12"/>
  <c r="G225" i="12"/>
  <c r="G227" i="12"/>
  <c r="G229" i="12"/>
  <c r="G231" i="12"/>
  <c r="G233" i="12"/>
  <c r="G235" i="12"/>
  <c r="G237" i="12"/>
  <c r="G239" i="12"/>
  <c r="G241" i="12"/>
  <c r="G243" i="12"/>
  <c r="G245" i="12"/>
  <c r="G247" i="12"/>
  <c r="G249" i="12"/>
  <c r="G251" i="12"/>
  <c r="G253" i="12"/>
  <c r="G255" i="12"/>
  <c r="G257" i="12"/>
  <c r="G259" i="12"/>
  <c r="G261" i="12"/>
  <c r="G263" i="12"/>
  <c r="G265" i="12"/>
  <c r="G267" i="12"/>
  <c r="G269" i="12"/>
  <c r="G271" i="12"/>
  <c r="G273" i="12"/>
  <c r="G275" i="12"/>
  <c r="G277" i="12"/>
  <c r="G279" i="12"/>
  <c r="G281" i="12"/>
  <c r="G283" i="12"/>
  <c r="G285" i="12"/>
  <c r="G287" i="12"/>
  <c r="G289" i="12"/>
  <c r="G291" i="12"/>
  <c r="G293" i="12"/>
  <c r="G295" i="12"/>
  <c r="G297" i="12"/>
  <c r="G299" i="12"/>
  <c r="G301" i="12"/>
  <c r="G303" i="12"/>
  <c r="G305" i="12"/>
  <c r="G307" i="12"/>
  <c r="G309" i="12"/>
  <c r="G311" i="12"/>
  <c r="G313" i="12"/>
  <c r="G315" i="12"/>
  <c r="G317" i="12"/>
  <c r="G319" i="12"/>
  <c r="G321" i="12"/>
  <c r="G323" i="12"/>
  <c r="G325" i="12"/>
  <c r="G327" i="12"/>
  <c r="G329" i="12"/>
  <c r="G331" i="12"/>
  <c r="G333" i="12"/>
  <c r="G335" i="12"/>
  <c r="G337" i="12"/>
  <c r="G339" i="12"/>
  <c r="G341" i="12"/>
  <c r="G343" i="12"/>
  <c r="G345" i="12"/>
  <c r="G347" i="12"/>
  <c r="G349" i="12"/>
  <c r="G351" i="12"/>
  <c r="G353" i="12"/>
  <c r="G355" i="12"/>
  <c r="G357" i="12"/>
  <c r="G359" i="12"/>
  <c r="G361" i="12"/>
  <c r="G363" i="12"/>
  <c r="G365" i="12"/>
  <c r="G367" i="12"/>
  <c r="G369" i="12"/>
  <c r="G371" i="12"/>
  <c r="G373" i="12"/>
  <c r="G375" i="12"/>
  <c r="G377" i="12"/>
  <c r="G379" i="12"/>
  <c r="G381" i="12"/>
  <c r="G383" i="12"/>
  <c r="G385" i="12"/>
  <c r="G387" i="12"/>
  <c r="G389" i="12"/>
  <c r="G391" i="12"/>
  <c r="G393" i="12"/>
  <c r="G395" i="12"/>
  <c r="G397" i="12"/>
  <c r="G399" i="12"/>
  <c r="G401" i="12"/>
  <c r="G403" i="12"/>
  <c r="G405" i="12"/>
  <c r="G407" i="12"/>
  <c r="G409" i="12"/>
  <c r="G411" i="12"/>
  <c r="G413" i="12"/>
  <c r="G415" i="12"/>
  <c r="G417" i="12"/>
  <c r="G419" i="12"/>
  <c r="G421" i="12"/>
  <c r="G423" i="12"/>
  <c r="G425" i="12"/>
  <c r="G427" i="12"/>
  <c r="G429" i="12"/>
  <c r="G431" i="12"/>
  <c r="G433" i="12"/>
  <c r="G435" i="12"/>
  <c r="G437" i="12"/>
  <c r="G439" i="12"/>
  <c r="G441" i="12"/>
  <c r="G443" i="12"/>
  <c r="G445" i="12"/>
  <c r="G447" i="12"/>
  <c r="G27" i="12"/>
  <c r="G35" i="12"/>
  <c r="G43" i="12"/>
  <c r="G51" i="12"/>
  <c r="G59" i="12"/>
  <c r="G67" i="12"/>
  <c r="G75" i="12"/>
  <c r="G83" i="12"/>
  <c r="G91" i="12"/>
  <c r="G99" i="12"/>
  <c r="G107" i="12"/>
  <c r="G115" i="12"/>
  <c r="G123" i="12"/>
  <c r="G131" i="12"/>
  <c r="G139" i="12"/>
  <c r="G147" i="12"/>
  <c r="G155" i="12"/>
  <c r="G163" i="12"/>
  <c r="G171" i="12"/>
  <c r="G179" i="12"/>
  <c r="G187" i="12"/>
  <c r="G194" i="12"/>
  <c r="G198" i="12"/>
  <c r="G202" i="12"/>
  <c r="G206" i="12"/>
  <c r="G210" i="12"/>
  <c r="G214" i="12"/>
  <c r="G218" i="12"/>
  <c r="G222" i="12"/>
  <c r="G226" i="12"/>
  <c r="G230" i="12"/>
  <c r="G234" i="12"/>
  <c r="G238" i="12"/>
  <c r="G242" i="12"/>
  <c r="G246" i="12"/>
  <c r="G250" i="12"/>
  <c r="G254" i="12"/>
  <c r="G258" i="12"/>
  <c r="G262" i="12"/>
  <c r="G266" i="12"/>
  <c r="G270" i="12"/>
  <c r="G274" i="12"/>
  <c r="G278" i="12"/>
  <c r="G282" i="12"/>
  <c r="G286" i="12"/>
  <c r="G290" i="12"/>
  <c r="G294" i="12"/>
  <c r="G298" i="12"/>
  <c r="G302" i="12"/>
  <c r="G306" i="12"/>
  <c r="G310" i="12"/>
  <c r="G314" i="12"/>
  <c r="G318" i="12"/>
  <c r="G322" i="12"/>
  <c r="G326" i="12"/>
  <c r="G330" i="12"/>
  <c r="G334" i="12"/>
  <c r="G338" i="12"/>
  <c r="G342" i="12"/>
  <c r="G346" i="12"/>
  <c r="G350" i="12"/>
  <c r="G354" i="12"/>
  <c r="G358" i="12"/>
  <c r="G362" i="12"/>
  <c r="G366" i="12"/>
  <c r="G370" i="12"/>
  <c r="G374" i="12"/>
  <c r="G378" i="12"/>
  <c r="G382" i="12"/>
  <c r="G386" i="12"/>
  <c r="G390" i="12"/>
  <c r="G394" i="12"/>
  <c r="G398" i="12"/>
  <c r="G402" i="12"/>
  <c r="G406" i="12"/>
  <c r="G410" i="12"/>
  <c r="G414" i="12"/>
  <c r="G418" i="12"/>
  <c r="G422" i="12"/>
  <c r="G426" i="12"/>
  <c r="G430" i="12"/>
  <c r="G434" i="12"/>
  <c r="G438" i="12"/>
  <c r="G442" i="12"/>
  <c r="G446" i="12"/>
  <c r="G449" i="12"/>
  <c r="G451" i="12"/>
  <c r="G453" i="12"/>
  <c r="G455" i="12"/>
  <c r="G457" i="12"/>
  <c r="G459" i="12"/>
  <c r="G461" i="12"/>
  <c r="G463" i="12"/>
  <c r="G465" i="12"/>
  <c r="G467" i="12"/>
  <c r="G469" i="12"/>
  <c r="G471" i="12"/>
  <c r="G473" i="12"/>
  <c r="G475" i="12"/>
  <c r="G477" i="12"/>
  <c r="G479" i="12"/>
  <c r="G481" i="12"/>
  <c r="G483" i="12"/>
  <c r="G485" i="12"/>
  <c r="G487" i="12"/>
  <c r="G489" i="12"/>
  <c r="G491" i="12"/>
  <c r="G493" i="12"/>
  <c r="G495" i="12"/>
  <c r="G497" i="12"/>
  <c r="G499" i="12"/>
  <c r="G501" i="12"/>
  <c r="G503" i="12"/>
  <c r="G505" i="12"/>
  <c r="G507" i="12"/>
  <c r="G509" i="12"/>
  <c r="G511" i="12"/>
  <c r="G513" i="12"/>
  <c r="G515" i="12"/>
  <c r="G517" i="12"/>
  <c r="G519" i="12"/>
  <c r="G521" i="12"/>
  <c r="G523" i="12"/>
  <c r="G525" i="12"/>
  <c r="G527" i="12"/>
  <c r="G529" i="12"/>
  <c r="G531" i="12"/>
  <c r="G533" i="12"/>
  <c r="G535" i="12"/>
  <c r="G537" i="12"/>
  <c r="G539" i="12"/>
  <c r="G541" i="12"/>
  <c r="G543" i="12"/>
  <c r="G545" i="12"/>
  <c r="G547" i="12"/>
  <c r="G549" i="12"/>
  <c r="G551" i="12"/>
  <c r="G553" i="12"/>
  <c r="G555" i="12"/>
  <c r="G557" i="12"/>
  <c r="G559" i="12"/>
  <c r="G561" i="12"/>
  <c r="G563" i="12"/>
  <c r="G565" i="12"/>
  <c r="G567" i="12"/>
  <c r="G569" i="12"/>
  <c r="G571" i="12"/>
  <c r="G573" i="12"/>
  <c r="G575" i="12"/>
  <c r="G577" i="12"/>
  <c r="G579" i="12"/>
  <c r="G581" i="12"/>
  <c r="G583" i="12"/>
  <c r="G585" i="12"/>
  <c r="G587" i="12"/>
  <c r="G589" i="12"/>
  <c r="G591" i="12"/>
  <c r="G593" i="12"/>
  <c r="G595" i="12"/>
  <c r="G597" i="12"/>
  <c r="G599" i="12"/>
  <c r="G601" i="12"/>
  <c r="G603" i="12"/>
  <c r="G605" i="12"/>
  <c r="G607" i="12"/>
  <c r="G609" i="12"/>
  <c r="G611" i="12"/>
  <c r="G613" i="12"/>
  <c r="G615" i="12"/>
  <c r="G617" i="12"/>
  <c r="G619" i="12"/>
  <c r="G621" i="12"/>
  <c r="G623" i="12"/>
  <c r="G625" i="12"/>
  <c r="G627" i="12"/>
  <c r="G629" i="12"/>
  <c r="G631" i="12"/>
  <c r="G633" i="12"/>
  <c r="G635" i="12"/>
  <c r="G637" i="12"/>
  <c r="G639" i="12"/>
  <c r="G641" i="12"/>
  <c r="G643" i="12"/>
  <c r="G645" i="12"/>
  <c r="G647" i="12"/>
  <c r="G649" i="12"/>
  <c r="G651" i="12"/>
  <c r="G653" i="12"/>
  <c r="G655" i="12"/>
  <c r="G657" i="12"/>
  <c r="G659" i="12"/>
  <c r="G661" i="12"/>
  <c r="G663" i="12"/>
  <c r="G665" i="12"/>
  <c r="G667" i="12"/>
  <c r="G669" i="12"/>
  <c r="G671" i="12"/>
  <c r="G673" i="12"/>
  <c r="G675" i="12"/>
  <c r="G677" i="12"/>
  <c r="G679" i="12"/>
  <c r="G681" i="12"/>
  <c r="G683" i="12"/>
  <c r="G685" i="12"/>
  <c r="G687" i="12"/>
  <c r="G689" i="12"/>
  <c r="G691" i="12"/>
  <c r="G693" i="12"/>
  <c r="G695" i="12"/>
  <c r="G697" i="12"/>
  <c r="G699" i="12"/>
  <c r="G701" i="12"/>
  <c r="G703" i="12"/>
  <c r="G705" i="12"/>
  <c r="G707" i="12"/>
  <c r="G709" i="12"/>
  <c r="G711" i="12"/>
  <c r="G713" i="12"/>
  <c r="G715" i="12"/>
  <c r="G717" i="12"/>
  <c r="G719" i="12"/>
  <c r="G721" i="12"/>
  <c r="G723" i="12"/>
  <c r="G725" i="12"/>
  <c r="G727" i="12"/>
  <c r="G729" i="12"/>
  <c r="G731" i="12"/>
  <c r="G733" i="12"/>
  <c r="G735" i="12"/>
  <c r="G737" i="12"/>
  <c r="G739" i="12"/>
  <c r="G741" i="12"/>
  <c r="G743" i="12"/>
  <c r="G745" i="12"/>
  <c r="G747" i="12"/>
  <c r="G749" i="12"/>
  <c r="G751" i="12"/>
  <c r="G753" i="12"/>
  <c r="G755" i="12"/>
  <c r="G757" i="12"/>
  <c r="G759" i="12"/>
  <c r="G761" i="12"/>
  <c r="G763" i="12"/>
  <c r="G765" i="12"/>
  <c r="G767" i="12"/>
  <c r="G769" i="12"/>
  <c r="G771" i="12"/>
  <c r="G773" i="12"/>
  <c r="G775" i="12"/>
  <c r="G777" i="12"/>
  <c r="G779" i="12"/>
  <c r="G781" i="12"/>
  <c r="G783" i="12"/>
  <c r="G785" i="12"/>
  <c r="G787" i="12"/>
  <c r="G789" i="12"/>
  <c r="G791" i="12"/>
  <c r="G793" i="12"/>
  <c r="G795" i="12"/>
  <c r="G797" i="12"/>
  <c r="G799" i="12"/>
  <c r="G801" i="12"/>
  <c r="G803" i="12"/>
  <c r="G805" i="12"/>
  <c r="G807" i="12"/>
  <c r="G809" i="12"/>
  <c r="G811" i="12"/>
  <c r="G813" i="12"/>
  <c r="G815" i="12"/>
  <c r="G817" i="12"/>
  <c r="G819" i="12"/>
  <c r="G821" i="12"/>
  <c r="G823" i="12"/>
  <c r="G825" i="12"/>
  <c r="G827" i="12"/>
  <c r="G829" i="12"/>
  <c r="G831" i="12"/>
  <c r="G833" i="12"/>
  <c r="G835" i="12"/>
  <c r="G837" i="12"/>
  <c r="G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G31" i="12"/>
  <c r="G47" i="12"/>
  <c r="G63" i="12"/>
  <c r="G79" i="12"/>
  <c r="G95" i="12"/>
  <c r="G111" i="12"/>
  <c r="G127" i="12"/>
  <c r="G143" i="12"/>
  <c r="G159" i="12"/>
  <c r="G175" i="12"/>
  <c r="G191" i="12"/>
  <c r="G200" i="12"/>
  <c r="G208" i="12"/>
  <c r="G216" i="12"/>
  <c r="G224" i="12"/>
  <c r="G232" i="12"/>
  <c r="G240" i="12"/>
  <c r="G248" i="12"/>
  <c r="G256" i="12"/>
  <c r="G264" i="12"/>
  <c r="G272" i="12"/>
  <c r="G280" i="12"/>
  <c r="G288" i="12"/>
  <c r="G296" i="12"/>
  <c r="G304" i="12"/>
  <c r="G312" i="12"/>
  <c r="G320" i="12"/>
  <c r="G328" i="12"/>
  <c r="G336" i="12"/>
  <c r="G344" i="12"/>
  <c r="G352" i="12"/>
  <c r="G360" i="12"/>
  <c r="G368" i="12"/>
  <c r="G376" i="12"/>
  <c r="G384" i="12"/>
  <c r="G392" i="12"/>
  <c r="G400" i="12"/>
  <c r="G408" i="12"/>
  <c r="G416" i="12"/>
  <c r="G424" i="12"/>
  <c r="G432" i="12"/>
  <c r="G440" i="12"/>
  <c r="G448" i="12"/>
  <c r="G452" i="12"/>
  <c r="G456" i="12"/>
  <c r="G460" i="12"/>
  <c r="G464" i="12"/>
  <c r="G468" i="12"/>
  <c r="G472" i="12"/>
  <c r="G476" i="12"/>
  <c r="G480" i="12"/>
  <c r="G484" i="12"/>
  <c r="G488" i="12"/>
  <c r="G492" i="12"/>
  <c r="G496" i="12"/>
  <c r="G500" i="12"/>
  <c r="G504" i="12"/>
  <c r="G508" i="12"/>
  <c r="G512" i="12"/>
  <c r="G516" i="12"/>
  <c r="G520" i="12"/>
  <c r="G524" i="12"/>
  <c r="G528" i="12"/>
  <c r="G532" i="12"/>
  <c r="G536" i="12"/>
  <c r="G540" i="12"/>
  <c r="G544" i="12"/>
  <c r="G548" i="12"/>
  <c r="G552" i="12"/>
  <c r="G556" i="12"/>
  <c r="G560" i="12"/>
  <c r="G564" i="12"/>
  <c r="G568" i="12"/>
  <c r="G572" i="12"/>
  <c r="G576" i="12"/>
  <c r="G580" i="12"/>
  <c r="G584" i="12"/>
  <c r="G588" i="12"/>
  <c r="G592" i="12"/>
  <c r="G596" i="12"/>
  <c r="G600" i="12"/>
  <c r="G604" i="12"/>
  <c r="G608" i="12"/>
  <c r="G612" i="12"/>
  <c r="G616" i="12"/>
  <c r="G620" i="12"/>
  <c r="G624" i="12"/>
  <c r="G628" i="12"/>
  <c r="G632" i="12"/>
  <c r="G636" i="12"/>
  <c r="G640" i="12"/>
  <c r="G644" i="12"/>
  <c r="G648" i="12"/>
  <c r="G652" i="12"/>
  <c r="G656" i="12"/>
  <c r="G660" i="12"/>
  <c r="G664" i="12"/>
  <c r="G668" i="12"/>
  <c r="G672" i="12"/>
  <c r="G676" i="12"/>
  <c r="G680" i="12"/>
  <c r="G684" i="12"/>
  <c r="G688" i="12"/>
  <c r="G692" i="12"/>
  <c r="G696" i="12"/>
  <c r="G700" i="12"/>
  <c r="G704" i="12"/>
  <c r="G708" i="12"/>
  <c r="G712" i="12"/>
  <c r="G716" i="12"/>
  <c r="G720" i="12"/>
  <c r="G724" i="12"/>
  <c r="G728" i="12"/>
  <c r="G732" i="12"/>
  <c r="G736" i="12"/>
  <c r="G740" i="12"/>
  <c r="G744" i="12"/>
  <c r="G748" i="12"/>
  <c r="G752" i="12"/>
  <c r="G756" i="12"/>
  <c r="G760" i="12"/>
  <c r="G764" i="12"/>
  <c r="G768" i="12"/>
  <c r="G772" i="12"/>
  <c r="G776" i="12"/>
  <c r="G780" i="12"/>
  <c r="G784" i="12"/>
  <c r="G788" i="12"/>
  <c r="G792" i="12"/>
  <c r="G796" i="12"/>
  <c r="G800" i="12"/>
  <c r="G804" i="12"/>
  <c r="G808" i="12"/>
  <c r="G812" i="12"/>
  <c r="G816" i="12"/>
  <c r="G820" i="12"/>
  <c r="G824" i="12"/>
  <c r="G828" i="12"/>
  <c r="G832" i="12"/>
  <c r="G836" i="12"/>
  <c r="D23" i="12"/>
  <c r="D25" i="12"/>
  <c r="D27" i="12"/>
  <c r="D29" i="12"/>
  <c r="D31" i="12"/>
  <c r="D33" i="12"/>
  <c r="D35" i="12"/>
  <c r="D37" i="12"/>
  <c r="D39" i="12"/>
  <c r="D41" i="12"/>
  <c r="D43" i="12"/>
  <c r="D45" i="12"/>
  <c r="D47" i="12"/>
  <c r="D49" i="12"/>
  <c r="D51" i="12"/>
  <c r="D53" i="12"/>
  <c r="D55" i="12"/>
  <c r="D57" i="12"/>
  <c r="D59" i="12"/>
  <c r="D61" i="12"/>
  <c r="D63" i="12"/>
  <c r="D65" i="12"/>
  <c r="D67" i="12"/>
  <c r="D69" i="12"/>
  <c r="D71" i="12"/>
  <c r="D73" i="12"/>
  <c r="D75" i="12"/>
  <c r="D77" i="12"/>
  <c r="D79" i="12"/>
  <c r="D81" i="12"/>
  <c r="D83" i="12"/>
  <c r="D84" i="12"/>
  <c r="D85" i="12"/>
  <c r="D86" i="12"/>
  <c r="D87" i="12"/>
  <c r="D88" i="12"/>
  <c r="D89" i="12"/>
  <c r="D90" i="12"/>
  <c r="D91" i="12"/>
  <c r="D92" i="12"/>
  <c r="D93" i="12"/>
  <c r="D94" i="12"/>
  <c r="D95" i="12"/>
  <c r="D96" i="12"/>
  <c r="D97" i="12"/>
  <c r="D98" i="12"/>
  <c r="D99" i="12"/>
  <c r="D100" i="12"/>
  <c r="D101" i="12"/>
  <c r="D102" i="12"/>
  <c r="D103" i="12"/>
  <c r="D104" i="12"/>
  <c r="D105" i="12"/>
  <c r="D106" i="12"/>
  <c r="D107" i="12"/>
  <c r="D108" i="12"/>
  <c r="D109" i="12"/>
  <c r="D110" i="12"/>
  <c r="D111" i="12"/>
  <c r="D112" i="12"/>
  <c r="D113" i="12"/>
  <c r="D114" i="12"/>
  <c r="D115" i="12"/>
  <c r="D116" i="12"/>
  <c r="D117" i="12"/>
  <c r="D118" i="12"/>
  <c r="D119" i="12"/>
  <c r="D120" i="12"/>
  <c r="D121" i="12"/>
  <c r="D122" i="12"/>
  <c r="D123" i="12"/>
  <c r="D124" i="12"/>
  <c r="D125" i="12"/>
  <c r="D126" i="12"/>
  <c r="D127" i="12"/>
  <c r="D128" i="12"/>
  <c r="D129" i="12"/>
  <c r="D130" i="12"/>
  <c r="D131" i="12"/>
  <c r="D132" i="12"/>
  <c r="D133" i="12"/>
  <c r="D134" i="12"/>
  <c r="D135" i="12"/>
  <c r="D136" i="12"/>
  <c r="D137" i="12"/>
  <c r="D138" i="12"/>
  <c r="D139" i="12"/>
  <c r="D140" i="12"/>
  <c r="D141" i="12"/>
  <c r="D142" i="12"/>
  <c r="D143" i="12"/>
  <c r="D144" i="12"/>
  <c r="D145" i="12"/>
  <c r="D146" i="12"/>
  <c r="D147" i="12"/>
  <c r="D148" i="12"/>
  <c r="D149" i="12"/>
  <c r="D150" i="12"/>
  <c r="D151" i="12"/>
  <c r="D152" i="12"/>
  <c r="D153" i="12"/>
  <c r="D154" i="12"/>
  <c r="D155" i="12"/>
  <c r="D156" i="12"/>
  <c r="D157" i="12"/>
  <c r="D158" i="12"/>
  <c r="D159" i="12"/>
  <c r="D160" i="12"/>
  <c r="D161" i="12"/>
  <c r="D162" i="12"/>
  <c r="D163" i="12"/>
  <c r="D164" i="12"/>
  <c r="D165" i="12"/>
  <c r="D166" i="12"/>
  <c r="D167" i="12"/>
  <c r="D168" i="12"/>
  <c r="D169" i="12"/>
  <c r="D170" i="12"/>
  <c r="D171" i="12"/>
  <c r="D172" i="12"/>
  <c r="D173" i="12"/>
  <c r="D174" i="12"/>
  <c r="D175" i="12"/>
  <c r="D176" i="12"/>
  <c r="D177" i="12"/>
  <c r="D178" i="12"/>
  <c r="D179" i="12"/>
  <c r="D180" i="12"/>
  <c r="D181" i="12"/>
  <c r="D182" i="12"/>
  <c r="D183" i="12"/>
  <c r="D184" i="12"/>
  <c r="D185" i="12"/>
  <c r="D186" i="12"/>
  <c r="D187" i="12"/>
  <c r="D188" i="12"/>
  <c r="D189" i="12"/>
  <c r="D190" i="12"/>
  <c r="D191" i="12"/>
  <c r="D192" i="12"/>
  <c r="D193" i="12"/>
  <c r="D194" i="12"/>
  <c r="D195" i="12"/>
  <c r="D196" i="12"/>
  <c r="D197" i="12"/>
  <c r="D198" i="12"/>
  <c r="D199" i="12"/>
  <c r="D200" i="12"/>
  <c r="D201" i="12"/>
  <c r="D202" i="12"/>
  <c r="D203" i="12"/>
  <c r="D204" i="12"/>
  <c r="D205" i="12"/>
  <c r="D206" i="12"/>
  <c r="D207" i="12"/>
  <c r="D208" i="12"/>
  <c r="D209" i="12"/>
  <c r="D210" i="12"/>
  <c r="D211" i="12"/>
  <c r="D212" i="12"/>
  <c r="D213" i="12"/>
  <c r="D214" i="12"/>
  <c r="D215" i="12"/>
  <c r="D216" i="12"/>
  <c r="D217" i="12"/>
  <c r="D218" i="12"/>
  <c r="D219" i="12"/>
  <c r="D220" i="12"/>
  <c r="D221" i="12"/>
  <c r="D222" i="12"/>
  <c r="D223" i="12"/>
  <c r="D224" i="12"/>
  <c r="D225" i="12"/>
  <c r="D226" i="12"/>
  <c r="D227" i="12"/>
  <c r="D228" i="12"/>
  <c r="D229" i="12"/>
  <c r="D230" i="12"/>
  <c r="D231" i="12"/>
  <c r="D232" i="12"/>
  <c r="D233" i="12"/>
  <c r="D234" i="12"/>
  <c r="D235" i="12"/>
  <c r="D236" i="12"/>
  <c r="D237" i="12"/>
  <c r="D238" i="12"/>
  <c r="D239" i="12"/>
  <c r="D240" i="12"/>
  <c r="D241" i="12"/>
  <c r="D242" i="12"/>
  <c r="D243" i="12"/>
  <c r="D244" i="12"/>
  <c r="D245" i="12"/>
  <c r="D246" i="12"/>
  <c r="D247" i="12"/>
  <c r="D248" i="12"/>
  <c r="D249" i="12"/>
  <c r="D250" i="12"/>
  <c r="D251" i="12"/>
  <c r="D252" i="12"/>
  <c r="D253" i="12"/>
  <c r="D254" i="12"/>
  <c r="D255" i="12"/>
  <c r="D256" i="12"/>
  <c r="D257" i="12"/>
  <c r="D258" i="12"/>
  <c r="D259" i="12"/>
  <c r="D260" i="12"/>
  <c r="D261" i="12"/>
  <c r="D262" i="12"/>
  <c r="D263" i="12"/>
  <c r="D264" i="12"/>
  <c r="D265" i="12"/>
  <c r="D266" i="12"/>
  <c r="D267" i="12"/>
  <c r="D268" i="12"/>
  <c r="D269" i="12"/>
  <c r="D270" i="12"/>
  <c r="D271" i="12"/>
  <c r="D272" i="12"/>
  <c r="D273" i="12"/>
  <c r="D274" i="12"/>
  <c r="D275" i="12"/>
  <c r="D276" i="12"/>
  <c r="D277" i="12"/>
  <c r="D278" i="12"/>
  <c r="D279" i="12"/>
  <c r="D280" i="12"/>
  <c r="D281" i="12"/>
  <c r="D282" i="12"/>
  <c r="D283" i="12"/>
  <c r="D284" i="12"/>
  <c r="D285" i="12"/>
  <c r="D286" i="12"/>
  <c r="D287" i="12"/>
  <c r="D288" i="12"/>
  <c r="D289" i="12"/>
  <c r="D290" i="12"/>
  <c r="D291" i="12"/>
  <c r="D292" i="12"/>
  <c r="D293" i="12"/>
  <c r="D294" i="12"/>
  <c r="D295" i="12"/>
  <c r="D296" i="12"/>
  <c r="D297" i="12"/>
  <c r="D298" i="12"/>
  <c r="D299" i="12"/>
  <c r="D300" i="12"/>
  <c r="D301" i="12"/>
  <c r="D302" i="12"/>
  <c r="D303" i="12"/>
  <c r="D304" i="12"/>
  <c r="D305" i="12"/>
  <c r="D306" i="12"/>
  <c r="D307" i="12"/>
  <c r="D308" i="12"/>
  <c r="D309" i="12"/>
  <c r="D310" i="12"/>
  <c r="D311" i="12"/>
  <c r="D312" i="12"/>
  <c r="D313" i="12"/>
  <c r="D314" i="12"/>
  <c r="D315" i="12"/>
  <c r="D316" i="12"/>
  <c r="D317" i="12"/>
  <c r="D318" i="12"/>
  <c r="D319" i="12"/>
  <c r="D320" i="12"/>
  <c r="D321" i="12"/>
  <c r="D322" i="12"/>
  <c r="D323" i="12"/>
  <c r="D324" i="12"/>
  <c r="D325" i="12"/>
  <c r="D326" i="12"/>
  <c r="D327" i="12"/>
  <c r="D328" i="12"/>
  <c r="D329" i="12"/>
  <c r="D330" i="12"/>
  <c r="D331" i="12"/>
  <c r="D332" i="12"/>
  <c r="D333" i="12"/>
  <c r="D334" i="12"/>
  <c r="D335" i="12"/>
  <c r="D336" i="12"/>
  <c r="D337" i="12"/>
  <c r="D338" i="12"/>
  <c r="D339" i="12"/>
  <c r="D340" i="12"/>
  <c r="D341" i="12"/>
  <c r="D342" i="12"/>
  <c r="D343" i="12"/>
  <c r="D344" i="12"/>
  <c r="D345" i="12"/>
  <c r="D346" i="12"/>
  <c r="D347" i="12"/>
  <c r="D348" i="12"/>
  <c r="D349" i="12"/>
  <c r="D350" i="12"/>
  <c r="D351" i="12"/>
  <c r="D352" i="12"/>
  <c r="D353" i="12"/>
  <c r="D354" i="12"/>
  <c r="D355" i="12"/>
  <c r="D356" i="12"/>
  <c r="D357" i="12"/>
  <c r="D358" i="12"/>
  <c r="D359" i="12"/>
  <c r="D360" i="12"/>
  <c r="D361" i="12"/>
  <c r="D362" i="12"/>
  <c r="D363" i="12"/>
  <c r="D364" i="12"/>
  <c r="D365" i="12"/>
  <c r="D366" i="12"/>
  <c r="D367" i="12"/>
  <c r="D368" i="12"/>
  <c r="D369" i="12"/>
  <c r="D370" i="12"/>
  <c r="D371" i="12"/>
  <c r="D372" i="12"/>
  <c r="D373" i="12"/>
  <c r="D374" i="12"/>
  <c r="D375" i="12"/>
  <c r="D376" i="12"/>
  <c r="D377" i="12"/>
  <c r="D378" i="12"/>
  <c r="D379" i="12"/>
  <c r="D380" i="12"/>
  <c r="D381" i="12"/>
  <c r="D382" i="12"/>
  <c r="D383" i="12"/>
  <c r="D384" i="12"/>
  <c r="D385" i="12"/>
  <c r="D386" i="12"/>
  <c r="D387" i="12"/>
  <c r="D388" i="12"/>
  <c r="D389" i="12"/>
  <c r="D390" i="12"/>
  <c r="D391" i="12"/>
  <c r="D392" i="12"/>
  <c r="D393" i="12"/>
  <c r="D394" i="12"/>
  <c r="D395" i="12"/>
  <c r="D396" i="12"/>
  <c r="D397" i="12"/>
  <c r="D398" i="12"/>
  <c r="D399" i="12"/>
  <c r="D400" i="12"/>
  <c r="D401" i="12"/>
  <c r="D402" i="12"/>
  <c r="D403" i="12"/>
  <c r="D404" i="12"/>
  <c r="D405" i="12"/>
  <c r="D406" i="12"/>
  <c r="D407" i="12"/>
  <c r="D408" i="12"/>
  <c r="D409" i="12"/>
  <c r="D410" i="12"/>
  <c r="D411" i="12"/>
  <c r="D412" i="12"/>
  <c r="D413" i="12"/>
  <c r="D414" i="12"/>
  <c r="D415" i="12"/>
  <c r="D416" i="12"/>
  <c r="D417" i="12"/>
  <c r="D418" i="12"/>
  <c r="D419" i="12"/>
  <c r="D420" i="12"/>
  <c r="D421" i="12"/>
  <c r="D422" i="12"/>
  <c r="D423" i="12"/>
  <c r="D424" i="12"/>
  <c r="D425" i="12"/>
  <c r="D426" i="12"/>
  <c r="D427" i="12"/>
  <c r="D428" i="12"/>
  <c r="D429" i="12"/>
  <c r="D430" i="12"/>
  <c r="D431" i="12"/>
  <c r="D432" i="12"/>
  <c r="D433" i="12"/>
  <c r="D434" i="12"/>
  <c r="D435" i="12"/>
  <c r="D436" i="12"/>
  <c r="D437" i="12"/>
  <c r="D438" i="12"/>
  <c r="D439" i="12"/>
  <c r="D440" i="12"/>
  <c r="D441" i="12"/>
  <c r="D442" i="12"/>
  <c r="D443" i="12"/>
  <c r="D444" i="12"/>
  <c r="D445" i="12"/>
  <c r="D446" i="12"/>
  <c r="D447" i="12"/>
  <c r="D448" i="12"/>
  <c r="D449" i="12"/>
  <c r="D450" i="12"/>
  <c r="D451" i="12"/>
  <c r="D452" i="12"/>
  <c r="D453" i="12"/>
  <c r="D454" i="12"/>
  <c r="D455" i="12"/>
  <c r="D456" i="12"/>
  <c r="D457" i="12"/>
  <c r="D458" i="12"/>
  <c r="D459" i="12"/>
  <c r="D460" i="12"/>
  <c r="D461" i="12"/>
  <c r="D462" i="12"/>
  <c r="D463" i="12"/>
  <c r="D464" i="12"/>
  <c r="D465" i="12"/>
  <c r="D466" i="12"/>
  <c r="D467" i="12"/>
  <c r="D468" i="12"/>
  <c r="D469" i="12"/>
  <c r="D470" i="12"/>
  <c r="D471" i="12"/>
  <c r="D472" i="12"/>
  <c r="D473" i="12"/>
  <c r="D474" i="12"/>
  <c r="D475" i="12"/>
  <c r="D476" i="12"/>
  <c r="D477" i="12"/>
  <c r="D478" i="12"/>
  <c r="D479" i="12"/>
  <c r="D480" i="12"/>
  <c r="D481" i="12"/>
  <c r="D482" i="12"/>
  <c r="D483" i="12"/>
  <c r="D484" i="12"/>
  <c r="D485" i="12"/>
  <c r="D486" i="12"/>
  <c r="D487" i="12"/>
  <c r="D488" i="12"/>
  <c r="D489" i="12"/>
  <c r="D490" i="12"/>
  <c r="D491" i="12"/>
  <c r="D492" i="12"/>
  <c r="D493" i="12"/>
  <c r="D494" i="12"/>
  <c r="D495" i="12"/>
  <c r="D496" i="12"/>
  <c r="D497" i="12"/>
  <c r="D498" i="12"/>
  <c r="D499" i="12"/>
  <c r="D500" i="12"/>
  <c r="D501" i="12"/>
  <c r="D502" i="12"/>
  <c r="D503" i="12"/>
  <c r="D504" i="12"/>
  <c r="D505" i="12"/>
  <c r="D506" i="12"/>
  <c r="D507" i="12"/>
  <c r="D508" i="12"/>
  <c r="D509" i="12"/>
  <c r="D510" i="12"/>
  <c r="D511" i="12"/>
  <c r="D512" i="12"/>
  <c r="D513" i="12"/>
  <c r="D514" i="12"/>
  <c r="D515" i="12"/>
  <c r="D516" i="12"/>
  <c r="D517" i="12"/>
  <c r="D518" i="12"/>
  <c r="D519" i="12"/>
  <c r="D520" i="12"/>
  <c r="D521" i="12"/>
  <c r="D522" i="12"/>
  <c r="D523" i="12"/>
  <c r="D524" i="12"/>
  <c r="D525" i="12"/>
  <c r="D526" i="12"/>
  <c r="D527" i="12"/>
  <c r="D528" i="12"/>
  <c r="D529" i="12"/>
  <c r="D530" i="12"/>
  <c r="D531" i="12"/>
  <c r="D532" i="12"/>
  <c r="D533" i="12"/>
  <c r="D534" i="12"/>
  <c r="D535" i="12"/>
  <c r="D536" i="12"/>
  <c r="D537" i="12"/>
  <c r="D538" i="12"/>
  <c r="D539" i="12"/>
  <c r="D540" i="12"/>
  <c r="D541" i="12"/>
  <c r="D542" i="12"/>
  <c r="D543" i="12"/>
  <c r="D544" i="12"/>
  <c r="D545" i="12"/>
  <c r="D546" i="12"/>
  <c r="D547" i="12"/>
  <c r="D548" i="12"/>
  <c r="D549" i="12"/>
  <c r="D550" i="12"/>
  <c r="D551" i="12"/>
  <c r="D552" i="12"/>
  <c r="D553" i="12"/>
  <c r="D554" i="12"/>
  <c r="D555" i="12"/>
  <c r="D556" i="12"/>
  <c r="D557" i="12"/>
  <c r="D558" i="12"/>
  <c r="D559" i="12"/>
  <c r="D560" i="12"/>
  <c r="D561" i="12"/>
  <c r="D562" i="12"/>
  <c r="D563" i="12"/>
  <c r="D564" i="12"/>
  <c r="D565" i="12"/>
  <c r="D566" i="12"/>
  <c r="D567" i="12"/>
  <c r="D568" i="12"/>
  <c r="D569" i="12"/>
  <c r="D570" i="12"/>
  <c r="D571" i="12"/>
  <c r="D572" i="12"/>
  <c r="D573" i="12"/>
  <c r="D574" i="12"/>
  <c r="D575" i="12"/>
  <c r="D576" i="12"/>
  <c r="D577" i="12"/>
  <c r="D578" i="12"/>
  <c r="D579" i="12"/>
  <c r="D580" i="12"/>
  <c r="D581" i="12"/>
  <c r="D582" i="12"/>
  <c r="D583" i="12"/>
  <c r="D584" i="12"/>
  <c r="D585" i="12"/>
  <c r="D586" i="12"/>
  <c r="D587" i="12"/>
  <c r="D588" i="12"/>
  <c r="D589" i="12"/>
  <c r="D590" i="12"/>
  <c r="D591" i="12"/>
  <c r="D592" i="12"/>
  <c r="D593" i="12"/>
  <c r="D594" i="12"/>
  <c r="G39" i="12"/>
  <c r="G71" i="12"/>
  <c r="G103" i="12"/>
  <c r="G135" i="12"/>
  <c r="G167" i="12"/>
  <c r="G196" i="12"/>
  <c r="G212" i="12"/>
  <c r="G228" i="12"/>
  <c r="G244" i="12"/>
  <c r="G260" i="12"/>
  <c r="G276" i="12"/>
  <c r="G292" i="12"/>
  <c r="G308" i="12"/>
  <c r="G324" i="12"/>
  <c r="G340" i="12"/>
  <c r="G356" i="12"/>
  <c r="G372" i="12"/>
  <c r="G388" i="12"/>
  <c r="G404" i="12"/>
  <c r="G420" i="12"/>
  <c r="G436" i="12"/>
  <c r="G450" i="12"/>
  <c r="G458" i="12"/>
  <c r="G466" i="12"/>
  <c r="G474" i="12"/>
  <c r="G482" i="12"/>
  <c r="G490" i="12"/>
  <c r="G498" i="12"/>
  <c r="G506" i="12"/>
  <c r="G514" i="12"/>
  <c r="G522" i="12"/>
  <c r="G530" i="12"/>
  <c r="G538" i="12"/>
  <c r="G546" i="12"/>
  <c r="G554" i="12"/>
  <c r="G562" i="12"/>
  <c r="G570" i="12"/>
  <c r="G578" i="12"/>
  <c r="G586" i="12"/>
  <c r="G594" i="12"/>
  <c r="G602" i="12"/>
  <c r="G610" i="12"/>
  <c r="G618" i="12"/>
  <c r="G626" i="12"/>
  <c r="G634" i="12"/>
  <c r="G642" i="12"/>
  <c r="G650" i="12"/>
  <c r="G658" i="12"/>
  <c r="G666" i="12"/>
  <c r="G674" i="12"/>
  <c r="G682" i="12"/>
  <c r="G690" i="12"/>
  <c r="G698" i="12"/>
  <c r="G706" i="12"/>
  <c r="G714" i="12"/>
  <c r="G722" i="12"/>
  <c r="G730" i="12"/>
  <c r="G738" i="12"/>
  <c r="G746" i="12"/>
  <c r="G754" i="12"/>
  <c r="G762" i="12"/>
  <c r="G770" i="12"/>
  <c r="G778" i="12"/>
  <c r="G786" i="12"/>
  <c r="G794" i="12"/>
  <c r="G802" i="12"/>
  <c r="G810" i="12"/>
  <c r="G818" i="12"/>
  <c r="G826" i="12"/>
  <c r="G834" i="12"/>
  <c r="D24" i="12"/>
  <c r="D28" i="12"/>
  <c r="D32" i="12"/>
  <c r="D36" i="12"/>
  <c r="D40" i="12"/>
  <c r="D44" i="12"/>
  <c r="D48" i="12"/>
  <c r="D52" i="12"/>
  <c r="D56" i="12"/>
  <c r="D60" i="12"/>
  <c r="D64" i="12"/>
  <c r="D68" i="12"/>
  <c r="D72" i="12"/>
  <c r="D76" i="12"/>
  <c r="D80" i="12"/>
  <c r="C84" i="12"/>
  <c r="C86" i="12"/>
  <c r="C88" i="12"/>
  <c r="C90" i="12"/>
  <c r="C92" i="12"/>
  <c r="C94" i="12"/>
  <c r="C96" i="12"/>
  <c r="C98" i="12"/>
  <c r="C100" i="12"/>
  <c r="C102" i="12"/>
  <c r="C104" i="12"/>
  <c r="C106" i="12"/>
  <c r="C108" i="12"/>
  <c r="C110" i="12"/>
  <c r="C112" i="12"/>
  <c r="C114" i="12"/>
  <c r="C116" i="12"/>
  <c r="C118" i="12"/>
  <c r="C120" i="12"/>
  <c r="C122" i="12"/>
  <c r="C124" i="12"/>
  <c r="C126" i="12"/>
  <c r="C128" i="12"/>
  <c r="C130" i="12"/>
  <c r="C132" i="12"/>
  <c r="C134" i="12"/>
  <c r="C136" i="12"/>
  <c r="C138" i="12"/>
  <c r="C140" i="12"/>
  <c r="C142" i="12"/>
  <c r="C144" i="12"/>
  <c r="C146" i="12"/>
  <c r="C148" i="12"/>
  <c r="C150" i="12"/>
  <c r="C152" i="12"/>
  <c r="C154" i="12"/>
  <c r="C156" i="12"/>
  <c r="C158" i="12"/>
  <c r="C160" i="12"/>
  <c r="C162" i="12"/>
  <c r="C164" i="12"/>
  <c r="C166" i="12"/>
  <c r="C168" i="12"/>
  <c r="C170" i="12"/>
  <c r="C172" i="12"/>
  <c r="C174" i="12"/>
  <c r="C176" i="12"/>
  <c r="C178" i="12"/>
  <c r="C180" i="12"/>
  <c r="C182" i="12"/>
  <c r="C184" i="12"/>
  <c r="C186" i="12"/>
  <c r="C188" i="12"/>
  <c r="C190" i="12"/>
  <c r="C192" i="12"/>
  <c r="C194" i="12"/>
  <c r="C196" i="12"/>
  <c r="C198" i="12"/>
  <c r="C200" i="12"/>
  <c r="C202" i="12"/>
  <c r="C204" i="12"/>
  <c r="C206" i="12"/>
  <c r="C208" i="12"/>
  <c r="C210" i="12"/>
  <c r="C212" i="12"/>
  <c r="C214" i="12"/>
  <c r="C216" i="12"/>
  <c r="C218" i="12"/>
  <c r="C220" i="12"/>
  <c r="C222" i="12"/>
  <c r="C224" i="12"/>
  <c r="C226" i="12"/>
  <c r="C228" i="12"/>
  <c r="C230" i="12"/>
  <c r="C232" i="12"/>
  <c r="C234" i="12"/>
  <c r="C236" i="12"/>
  <c r="C238" i="12"/>
  <c r="C240" i="12"/>
  <c r="C242" i="12"/>
  <c r="C244" i="12"/>
  <c r="C246" i="12"/>
  <c r="C248" i="12"/>
  <c r="C250" i="12"/>
  <c r="C252" i="12"/>
  <c r="C254" i="12"/>
  <c r="C256" i="12"/>
  <c r="C258" i="12"/>
  <c r="C260" i="12"/>
  <c r="C262" i="12"/>
  <c r="C264" i="12"/>
  <c r="C266" i="12"/>
  <c r="C268" i="12"/>
  <c r="C270" i="12"/>
  <c r="C272" i="12"/>
  <c r="C274" i="12"/>
  <c r="C276" i="12"/>
  <c r="C278" i="12"/>
  <c r="C280" i="12"/>
  <c r="C282" i="12"/>
  <c r="C284" i="12"/>
  <c r="C286" i="12"/>
  <c r="C288" i="12"/>
  <c r="C290" i="12"/>
  <c r="C292" i="12"/>
  <c r="C294" i="12"/>
  <c r="C296" i="12"/>
  <c r="C298" i="12"/>
  <c r="C300" i="12"/>
  <c r="C302" i="12"/>
  <c r="C304" i="12"/>
  <c r="C306" i="12"/>
  <c r="C308" i="12"/>
  <c r="C310" i="12"/>
  <c r="C312" i="12"/>
  <c r="C314" i="12"/>
  <c r="C316" i="12"/>
  <c r="C318" i="12"/>
  <c r="C320" i="12"/>
  <c r="C322" i="12"/>
  <c r="C324" i="12"/>
  <c r="C326" i="12"/>
  <c r="C328" i="12"/>
  <c r="C330" i="12"/>
  <c r="C332" i="12"/>
  <c r="C334" i="12"/>
  <c r="C336" i="12"/>
  <c r="C338" i="12"/>
  <c r="C340" i="12"/>
  <c r="C342" i="12"/>
  <c r="C344" i="12"/>
  <c r="C346" i="12"/>
  <c r="C348" i="12"/>
  <c r="C350" i="12"/>
  <c r="C352" i="12"/>
  <c r="C354" i="12"/>
  <c r="C356" i="12"/>
  <c r="C358" i="12"/>
  <c r="C360" i="12"/>
  <c r="C362" i="12"/>
  <c r="C364" i="12"/>
  <c r="C366" i="12"/>
  <c r="C368" i="12"/>
  <c r="C370" i="12"/>
  <c r="C372" i="12"/>
  <c r="C374" i="12"/>
  <c r="C376" i="12"/>
  <c r="C378" i="12"/>
  <c r="C380" i="12"/>
  <c r="C382" i="12"/>
  <c r="C384" i="12"/>
  <c r="C386" i="12"/>
  <c r="C388" i="12"/>
  <c r="C390" i="12"/>
  <c r="C392" i="12"/>
  <c r="C394" i="12"/>
  <c r="C396" i="12"/>
  <c r="C398" i="12"/>
  <c r="C400" i="12"/>
  <c r="C402" i="12"/>
  <c r="C404" i="12"/>
  <c r="C406" i="12"/>
  <c r="C408" i="12"/>
  <c r="C410" i="12"/>
  <c r="C412" i="12"/>
  <c r="C414" i="12"/>
  <c r="C416" i="12"/>
  <c r="C418" i="12"/>
  <c r="C420" i="12"/>
  <c r="C422" i="12"/>
  <c r="C424" i="12"/>
  <c r="C426" i="12"/>
  <c r="C428" i="12"/>
  <c r="C430" i="12"/>
  <c r="C432" i="12"/>
  <c r="C434" i="12"/>
  <c r="C436" i="12"/>
  <c r="C438" i="12"/>
  <c r="C440" i="12"/>
  <c r="C442" i="12"/>
  <c r="C444" i="12"/>
  <c r="C446" i="12"/>
  <c r="C448" i="12"/>
  <c r="C450" i="12"/>
  <c r="C452" i="12"/>
  <c r="C454" i="12"/>
  <c r="C456" i="12"/>
  <c r="C458" i="12"/>
  <c r="C460" i="12"/>
  <c r="C462" i="12"/>
  <c r="C464" i="12"/>
  <c r="C466" i="12"/>
  <c r="C468" i="12"/>
  <c r="C470" i="12"/>
  <c r="C472" i="12"/>
  <c r="C474" i="12"/>
  <c r="C476" i="12"/>
  <c r="C478" i="12"/>
  <c r="C480" i="12"/>
  <c r="C482" i="12"/>
  <c r="C484" i="12"/>
  <c r="C486" i="12"/>
  <c r="C488" i="12"/>
  <c r="C490" i="12"/>
  <c r="C492" i="12"/>
  <c r="C494" i="12"/>
  <c r="C496" i="12"/>
  <c r="C498" i="12"/>
  <c r="C500" i="12"/>
  <c r="C502" i="12"/>
  <c r="C504" i="12"/>
  <c r="C506" i="12"/>
  <c r="C508" i="12"/>
  <c r="C510" i="12"/>
  <c r="C512" i="12"/>
  <c r="C514" i="12"/>
  <c r="C516" i="12"/>
  <c r="C518" i="12"/>
  <c r="C520" i="12"/>
  <c r="C522" i="12"/>
  <c r="C524" i="12"/>
  <c r="C526" i="12"/>
  <c r="C528" i="12"/>
  <c r="C530" i="12"/>
  <c r="C532" i="12"/>
  <c r="C534" i="12"/>
  <c r="C536" i="12"/>
  <c r="C538" i="12"/>
  <c r="C540" i="12"/>
  <c r="C542" i="12"/>
  <c r="C544" i="12"/>
  <c r="C546" i="12"/>
  <c r="C548" i="12"/>
  <c r="C550" i="12"/>
  <c r="C552" i="12"/>
  <c r="C554" i="12"/>
  <c r="C556" i="12"/>
  <c r="C558" i="12"/>
  <c r="C560" i="12"/>
  <c r="C562" i="12"/>
  <c r="C564" i="12"/>
  <c r="C566" i="12"/>
  <c r="C568" i="12"/>
  <c r="C570" i="12"/>
  <c r="C572" i="12"/>
  <c r="C574" i="12"/>
  <c r="C576" i="12"/>
  <c r="C578" i="12"/>
  <c r="C580" i="12"/>
  <c r="C582" i="12"/>
  <c r="C584" i="12"/>
  <c r="C586" i="12"/>
  <c r="C588" i="12"/>
  <c r="C590" i="12"/>
  <c r="C592" i="12"/>
  <c r="C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D618" i="12"/>
  <c r="D619" i="12"/>
  <c r="D620" i="12"/>
  <c r="D621" i="12"/>
  <c r="D622" i="12"/>
  <c r="D623" i="12"/>
  <c r="D624" i="12"/>
  <c r="D625" i="12"/>
  <c r="D626" i="12"/>
  <c r="D627" i="12"/>
  <c r="D628" i="12"/>
  <c r="D629" i="12"/>
  <c r="D630" i="12"/>
  <c r="D631" i="12"/>
  <c r="D632" i="12"/>
  <c r="D633" i="12"/>
  <c r="D634" i="12"/>
  <c r="D635" i="12"/>
  <c r="D636" i="12"/>
  <c r="D637" i="12"/>
  <c r="D638" i="12"/>
  <c r="D639" i="12"/>
  <c r="D640" i="12"/>
  <c r="D641" i="12"/>
  <c r="D642" i="12"/>
  <c r="D643" i="12"/>
  <c r="D644" i="12"/>
  <c r="D645" i="12"/>
  <c r="D646" i="12"/>
  <c r="D647" i="12"/>
  <c r="D648" i="12"/>
  <c r="D649" i="12"/>
  <c r="D650" i="12"/>
  <c r="D651" i="12"/>
  <c r="D652" i="12"/>
  <c r="D653" i="12"/>
  <c r="D654" i="12"/>
  <c r="D655" i="12"/>
  <c r="D656" i="12"/>
  <c r="D657" i="12"/>
  <c r="D658" i="12"/>
  <c r="D659" i="12"/>
  <c r="D660" i="12"/>
  <c r="D661" i="12"/>
  <c r="D662" i="12"/>
  <c r="D663" i="12"/>
  <c r="D664" i="12"/>
  <c r="D665" i="12"/>
  <c r="D666" i="12"/>
  <c r="D667" i="12"/>
  <c r="D668" i="12"/>
  <c r="D669" i="12"/>
  <c r="D670" i="12"/>
  <c r="D671" i="12"/>
  <c r="D672" i="12"/>
  <c r="D673" i="12"/>
  <c r="D674" i="12"/>
  <c r="D675" i="12"/>
  <c r="D676" i="12"/>
  <c r="D677" i="12"/>
  <c r="D678" i="12"/>
  <c r="D679" i="12"/>
  <c r="D680" i="12"/>
  <c r="D681" i="12"/>
  <c r="D682" i="12"/>
  <c r="D683" i="12"/>
  <c r="D684" i="12"/>
  <c r="D685" i="12"/>
  <c r="D686" i="12"/>
  <c r="D687" i="12"/>
  <c r="D688" i="12"/>
  <c r="D689" i="12"/>
  <c r="D690" i="12"/>
  <c r="D691" i="12"/>
  <c r="D692" i="12"/>
  <c r="D693" i="12"/>
  <c r="D694" i="12"/>
  <c r="D695" i="12"/>
  <c r="D696" i="12"/>
  <c r="D697" i="12"/>
  <c r="D698" i="12"/>
  <c r="D699" i="12"/>
  <c r="D700" i="12"/>
  <c r="D701" i="12"/>
  <c r="D702" i="12"/>
  <c r="D703" i="12"/>
  <c r="D704" i="12"/>
  <c r="D705" i="12"/>
  <c r="D706" i="12"/>
  <c r="D707" i="12"/>
  <c r="D708" i="12"/>
  <c r="D709" i="12"/>
  <c r="D710" i="12"/>
  <c r="D711" i="12"/>
  <c r="D712" i="12"/>
  <c r="D713" i="12"/>
  <c r="D714" i="12"/>
  <c r="D715" i="12"/>
  <c r="D716" i="12"/>
  <c r="D717" i="12"/>
  <c r="D718" i="12"/>
  <c r="D719" i="12"/>
  <c r="D720" i="12"/>
  <c r="D721" i="12"/>
  <c r="D722" i="12"/>
  <c r="D723" i="12"/>
  <c r="D724" i="12"/>
  <c r="D725" i="12"/>
  <c r="D726" i="12"/>
  <c r="D727" i="12"/>
  <c r="D728" i="12"/>
  <c r="D729" i="12"/>
  <c r="D730" i="12"/>
  <c r="D731" i="12"/>
  <c r="D732" i="12"/>
  <c r="D733" i="12"/>
  <c r="D734" i="12"/>
  <c r="D735" i="12"/>
  <c r="D736" i="12"/>
  <c r="D737" i="12"/>
  <c r="D738" i="12"/>
  <c r="D739" i="12"/>
  <c r="D740" i="12"/>
  <c r="D741" i="12"/>
  <c r="D742" i="12"/>
  <c r="D743" i="12"/>
  <c r="D744" i="12"/>
  <c r="D745" i="12"/>
  <c r="D746" i="12"/>
  <c r="D747" i="12"/>
  <c r="D748" i="12"/>
  <c r="D749" i="12"/>
  <c r="D750" i="12"/>
  <c r="D751" i="12"/>
  <c r="D752" i="12"/>
  <c r="D753" i="12"/>
  <c r="D754" i="12"/>
  <c r="D755" i="12"/>
  <c r="D756" i="12"/>
  <c r="D757" i="12"/>
  <c r="D758" i="12"/>
  <c r="D759" i="12"/>
  <c r="D760" i="12"/>
  <c r="D761" i="12"/>
  <c r="D762" i="12"/>
  <c r="D763" i="12"/>
  <c r="D764" i="12"/>
  <c r="D765" i="12"/>
  <c r="D766" i="12"/>
  <c r="D767" i="12"/>
  <c r="D768" i="12"/>
  <c r="D769" i="12"/>
  <c r="D770" i="12"/>
  <c r="D771" i="12"/>
  <c r="D772" i="12"/>
  <c r="D773" i="12"/>
  <c r="D774" i="12"/>
  <c r="D775" i="12"/>
  <c r="D776" i="12"/>
  <c r="D777" i="12"/>
  <c r="D778" i="12"/>
  <c r="D779" i="12"/>
  <c r="D780" i="12"/>
  <c r="D781" i="12"/>
  <c r="D782" i="12"/>
  <c r="D783" i="12"/>
  <c r="D784" i="12"/>
  <c r="D785" i="12"/>
  <c r="D786" i="12"/>
  <c r="D787" i="12"/>
  <c r="D788" i="12"/>
  <c r="D789" i="12"/>
  <c r="D790" i="12"/>
  <c r="D791" i="12"/>
  <c r="D792" i="12"/>
  <c r="D793" i="12"/>
  <c r="D794" i="12"/>
  <c r="D795" i="12"/>
  <c r="D796" i="12"/>
  <c r="D797" i="12"/>
  <c r="D798" i="12"/>
  <c r="D799" i="12"/>
  <c r="D800" i="12"/>
  <c r="D801" i="12"/>
  <c r="D802" i="12"/>
  <c r="D803" i="12"/>
  <c r="D804" i="12"/>
  <c r="D805" i="12"/>
  <c r="D806" i="12"/>
  <c r="D807" i="12"/>
  <c r="D808" i="12"/>
  <c r="D809" i="12"/>
  <c r="D810" i="12"/>
  <c r="D811" i="12"/>
  <c r="D812" i="12"/>
  <c r="D813" i="12"/>
  <c r="D814" i="12"/>
  <c r="D815" i="12"/>
  <c r="D816" i="12"/>
  <c r="D817" i="12"/>
  <c r="D818" i="12"/>
  <c r="D819" i="12"/>
  <c r="D820" i="12"/>
  <c r="D821" i="12"/>
  <c r="D822" i="12"/>
  <c r="D823" i="12"/>
  <c r="D824" i="12"/>
  <c r="D825" i="12"/>
  <c r="D826" i="12"/>
  <c r="D827" i="12"/>
  <c r="D828" i="12"/>
  <c r="D829" i="12"/>
  <c r="D830" i="12"/>
  <c r="D831" i="12"/>
  <c r="D832" i="12"/>
  <c r="D833" i="12"/>
  <c r="D834" i="12"/>
  <c r="D835" i="12"/>
  <c r="D836" i="12"/>
  <c r="D837" i="12"/>
  <c r="D838" i="12"/>
  <c r="D839" i="12"/>
  <c r="D840" i="12"/>
  <c r="D841" i="12"/>
  <c r="D842" i="12"/>
  <c r="D843" i="12"/>
  <c r="D844" i="12"/>
  <c r="D845" i="12"/>
  <c r="D846" i="12"/>
  <c r="D847" i="12"/>
  <c r="D848" i="12"/>
  <c r="D849" i="12"/>
  <c r="D850" i="12"/>
  <c r="D851" i="12"/>
  <c r="D852" i="12"/>
  <c r="D853" i="12"/>
  <c r="D854" i="12"/>
  <c r="D855" i="12"/>
  <c r="D856" i="12"/>
  <c r="D857" i="12"/>
  <c r="D858" i="12"/>
  <c r="D859" i="12"/>
  <c r="D860" i="12"/>
  <c r="D861" i="12"/>
  <c r="D862" i="12"/>
  <c r="D863" i="12"/>
  <c r="D864" i="12"/>
  <c r="D865" i="12"/>
  <c r="D866" i="12"/>
  <c r="D867" i="12"/>
  <c r="D868" i="12"/>
  <c r="D869" i="12"/>
  <c r="D870" i="12"/>
  <c r="D871" i="12"/>
  <c r="D872" i="12"/>
  <c r="D873" i="12"/>
  <c r="D874" i="12"/>
  <c r="D875" i="12"/>
  <c r="D876" i="12"/>
  <c r="D877" i="12"/>
  <c r="D878" i="12"/>
  <c r="D879" i="12"/>
  <c r="D880" i="12"/>
  <c r="D881" i="12"/>
  <c r="D882" i="12"/>
  <c r="D883" i="12"/>
  <c r="D884" i="12"/>
  <c r="D885" i="12"/>
  <c r="D886" i="12"/>
  <c r="D887" i="12"/>
  <c r="D888" i="12"/>
  <c r="D889" i="12"/>
  <c r="D890" i="12"/>
  <c r="D891" i="12"/>
  <c r="D892" i="12"/>
  <c r="D893" i="12"/>
  <c r="D894" i="12"/>
  <c r="D895" i="12"/>
  <c r="D896" i="12"/>
  <c r="D897" i="12"/>
  <c r="D898" i="12"/>
  <c r="D899" i="12"/>
  <c r="D900" i="12"/>
  <c r="D901" i="12"/>
  <c r="D902" i="12"/>
  <c r="D903" i="12"/>
  <c r="D904" i="12"/>
  <c r="D905" i="12"/>
  <c r="D906" i="12"/>
  <c r="D907" i="12"/>
  <c r="D908" i="12"/>
  <c r="D909" i="12"/>
  <c r="D910" i="12"/>
  <c r="D911" i="12"/>
  <c r="D912" i="12"/>
  <c r="D913" i="12"/>
  <c r="D914" i="12"/>
  <c r="D915" i="12"/>
  <c r="D916" i="12"/>
  <c r="D917" i="12"/>
  <c r="D918" i="12"/>
  <c r="D919" i="12"/>
  <c r="D920" i="12"/>
  <c r="D921" i="12"/>
  <c r="D922" i="12"/>
  <c r="D923" i="12"/>
  <c r="D924" i="12"/>
  <c r="D925" i="12"/>
  <c r="D926" i="12"/>
  <c r="D927" i="12"/>
  <c r="D928" i="12"/>
  <c r="D929" i="12"/>
  <c r="D930" i="12"/>
  <c r="D931" i="12"/>
  <c r="D932" i="12"/>
  <c r="D933" i="12"/>
  <c r="D934" i="12"/>
  <c r="D935" i="12"/>
  <c r="D936" i="12"/>
  <c r="D937" i="12"/>
  <c r="D938" i="12"/>
  <c r="D939" i="12"/>
  <c r="D940" i="12"/>
  <c r="D941" i="12"/>
  <c r="D942" i="12"/>
  <c r="D943" i="12"/>
  <c r="D944" i="12"/>
  <c r="D945" i="12"/>
  <c r="D946" i="12"/>
  <c r="D947" i="12"/>
  <c r="D948" i="12"/>
  <c r="D949" i="12"/>
  <c r="D950" i="12"/>
  <c r="D951" i="12"/>
  <c r="D952" i="12"/>
  <c r="D953" i="12"/>
  <c r="D954" i="12"/>
  <c r="D955" i="12"/>
  <c r="D956" i="12"/>
  <c r="D957" i="12"/>
  <c r="D958" i="12"/>
  <c r="D959" i="12"/>
  <c r="D960" i="12"/>
  <c r="D961" i="12"/>
  <c r="D962" i="12"/>
  <c r="D963" i="12"/>
  <c r="D964" i="12"/>
  <c r="D965" i="12"/>
  <c r="D966" i="12"/>
  <c r="D967" i="12"/>
  <c r="D968" i="12"/>
  <c r="D969" i="12"/>
  <c r="D970" i="12"/>
  <c r="D971" i="12"/>
  <c r="D972" i="12"/>
  <c r="D973" i="12"/>
  <c r="D974" i="12"/>
  <c r="D975" i="12"/>
  <c r="D976" i="12"/>
  <c r="D977" i="12"/>
  <c r="D978" i="12"/>
  <c r="D979" i="12"/>
  <c r="D980" i="12"/>
  <c r="D981" i="12"/>
  <c r="D982" i="12"/>
  <c r="D983" i="12"/>
  <c r="D984" i="12"/>
  <c r="D985" i="12"/>
  <c r="D986" i="12"/>
  <c r="D987" i="12"/>
  <c r="D988" i="12"/>
  <c r="D989" i="12"/>
  <c r="D990" i="12"/>
  <c r="D991" i="12"/>
  <c r="D992" i="12"/>
  <c r="D993" i="12"/>
  <c r="D994" i="12"/>
  <c r="D995" i="12"/>
  <c r="D996" i="12"/>
  <c r="D997" i="12"/>
  <c r="D998" i="12"/>
  <c r="D999" i="12"/>
  <c r="G55" i="12"/>
  <c r="G87" i="12"/>
  <c r="G119" i="12"/>
  <c r="G151" i="12"/>
  <c r="G183" i="12"/>
  <c r="G204" i="12"/>
  <c r="G220" i="12"/>
  <c r="G236" i="12"/>
  <c r="G252" i="12"/>
  <c r="G268" i="12"/>
  <c r="G284" i="12"/>
  <c r="G300" i="12"/>
  <c r="G316" i="12"/>
  <c r="G332" i="12"/>
  <c r="G348" i="12"/>
  <c r="G364" i="12"/>
  <c r="G380" i="12"/>
  <c r="G396" i="12"/>
  <c r="G412" i="12"/>
  <c r="G428" i="12"/>
  <c r="G444" i="12"/>
  <c r="G454" i="12"/>
  <c r="G462" i="12"/>
  <c r="G470" i="12"/>
  <c r="G478" i="12"/>
  <c r="G486" i="12"/>
  <c r="G494" i="12"/>
  <c r="G502" i="12"/>
  <c r="G510" i="12"/>
  <c r="G518" i="12"/>
  <c r="G526" i="12"/>
  <c r="G534" i="12"/>
  <c r="G542" i="12"/>
  <c r="G550" i="12"/>
  <c r="G558" i="12"/>
  <c r="G566" i="12"/>
  <c r="G574" i="12"/>
  <c r="G582" i="12"/>
  <c r="G590" i="12"/>
  <c r="G598" i="12"/>
  <c r="G606" i="12"/>
  <c r="G614" i="12"/>
  <c r="G622" i="12"/>
  <c r="G630" i="12"/>
  <c r="G638" i="12"/>
  <c r="G646" i="12"/>
  <c r="G654" i="12"/>
  <c r="G662" i="12"/>
  <c r="G670" i="12"/>
  <c r="G678" i="12"/>
  <c r="G686" i="12"/>
  <c r="G694" i="12"/>
  <c r="G702" i="12"/>
  <c r="G710" i="12"/>
  <c r="G718" i="12"/>
  <c r="G726" i="12"/>
  <c r="G734" i="12"/>
  <c r="G742" i="12"/>
  <c r="G750" i="12"/>
  <c r="G758" i="12"/>
  <c r="G766" i="12"/>
  <c r="G774" i="12"/>
  <c r="G782" i="12"/>
  <c r="G790" i="12"/>
  <c r="G798" i="12"/>
  <c r="G806" i="12"/>
  <c r="G814" i="12"/>
  <c r="G822" i="12"/>
  <c r="G830" i="12"/>
  <c r="G838" i="12"/>
  <c r="D26" i="12"/>
  <c r="D30" i="12"/>
  <c r="D34" i="12"/>
  <c r="D38" i="12"/>
  <c r="D42" i="12"/>
  <c r="D46" i="12"/>
  <c r="D50" i="12"/>
  <c r="D54" i="12"/>
  <c r="D58" i="12"/>
  <c r="D62" i="12"/>
  <c r="D66" i="12"/>
  <c r="D70" i="12"/>
  <c r="D74" i="12"/>
  <c r="D78" i="12"/>
  <c r="D82" i="12"/>
  <c r="C85" i="12"/>
  <c r="C89" i="12"/>
  <c r="C93" i="12"/>
  <c r="C97" i="12"/>
  <c r="C101" i="12"/>
  <c r="C105" i="12"/>
  <c r="C109" i="12"/>
  <c r="C113" i="12"/>
  <c r="C117" i="12"/>
  <c r="C121" i="12"/>
  <c r="C125" i="12"/>
  <c r="C129" i="12"/>
  <c r="C133" i="12"/>
  <c r="C137" i="12"/>
  <c r="C141" i="12"/>
  <c r="C145" i="12"/>
  <c r="C149" i="12"/>
  <c r="C153" i="12"/>
  <c r="C157" i="12"/>
  <c r="C161" i="12"/>
  <c r="C165" i="12"/>
  <c r="C169" i="12"/>
  <c r="C173" i="12"/>
  <c r="C177" i="12"/>
  <c r="C181" i="12"/>
  <c r="C185" i="12"/>
  <c r="C189" i="12"/>
  <c r="C193" i="12"/>
  <c r="C197" i="12"/>
  <c r="C201" i="12"/>
  <c r="C205" i="12"/>
  <c r="C209" i="12"/>
  <c r="C213" i="12"/>
  <c r="C217" i="12"/>
  <c r="C221" i="12"/>
  <c r="C225" i="12"/>
  <c r="C229" i="12"/>
  <c r="C233" i="12"/>
  <c r="C237" i="12"/>
  <c r="C241" i="12"/>
  <c r="C245" i="12"/>
  <c r="C249" i="12"/>
  <c r="C253" i="12"/>
  <c r="C257" i="12"/>
  <c r="C261" i="12"/>
  <c r="C265" i="12"/>
  <c r="C269" i="12"/>
  <c r="C273" i="12"/>
  <c r="C277" i="12"/>
  <c r="C281" i="12"/>
  <c r="C285" i="12"/>
  <c r="C289" i="12"/>
  <c r="C293" i="12"/>
  <c r="C297" i="12"/>
  <c r="C301" i="12"/>
  <c r="C305" i="12"/>
  <c r="C309" i="12"/>
  <c r="C313" i="12"/>
  <c r="C317" i="12"/>
  <c r="C321" i="12"/>
  <c r="C325" i="12"/>
  <c r="C329" i="12"/>
  <c r="C333" i="12"/>
  <c r="C337" i="12"/>
  <c r="C341" i="12"/>
  <c r="C345" i="12"/>
  <c r="C349" i="12"/>
  <c r="C353" i="12"/>
  <c r="C357" i="12"/>
  <c r="C361" i="12"/>
  <c r="C365" i="12"/>
  <c r="C369" i="12"/>
  <c r="C373" i="12"/>
  <c r="C377" i="12"/>
  <c r="C381" i="12"/>
  <c r="C385" i="12"/>
  <c r="C389" i="12"/>
  <c r="C393" i="12"/>
  <c r="C397" i="12"/>
  <c r="C401" i="12"/>
  <c r="C405" i="12"/>
  <c r="C409" i="12"/>
  <c r="C413" i="12"/>
  <c r="C417" i="12"/>
  <c r="C421" i="12"/>
  <c r="C425" i="12"/>
  <c r="C429" i="12"/>
  <c r="C433" i="12"/>
  <c r="C437" i="12"/>
  <c r="C441" i="12"/>
  <c r="C445" i="12"/>
  <c r="C449" i="12"/>
  <c r="C453" i="12"/>
  <c r="C457" i="12"/>
  <c r="C461" i="12"/>
  <c r="C465" i="12"/>
  <c r="C469" i="12"/>
  <c r="C473" i="12"/>
  <c r="C477" i="12"/>
  <c r="C481" i="12"/>
  <c r="C485" i="12"/>
  <c r="C489" i="12"/>
  <c r="C493" i="12"/>
  <c r="C497" i="12"/>
  <c r="C501" i="12"/>
  <c r="C505" i="12"/>
  <c r="C509" i="12"/>
  <c r="C513" i="12"/>
  <c r="C517" i="12"/>
  <c r="C521" i="12"/>
  <c r="C525" i="12"/>
  <c r="C529" i="12"/>
  <c r="C533" i="12"/>
  <c r="C537" i="12"/>
  <c r="C541" i="12"/>
  <c r="C545" i="12"/>
  <c r="C549" i="12"/>
  <c r="C553" i="12"/>
  <c r="C557" i="12"/>
  <c r="C561" i="12"/>
  <c r="C565" i="12"/>
  <c r="C569" i="12"/>
  <c r="C573" i="12"/>
  <c r="C577" i="12"/>
  <c r="C581" i="12"/>
  <c r="C585" i="12"/>
  <c r="C589" i="12"/>
  <c r="C593" i="12"/>
  <c r="C596" i="12"/>
  <c r="C598" i="12"/>
  <c r="C600" i="12"/>
  <c r="C602" i="12"/>
  <c r="C604" i="12"/>
  <c r="C606" i="12"/>
  <c r="C608" i="12"/>
  <c r="C610" i="12"/>
  <c r="C612" i="12"/>
  <c r="C614" i="12"/>
  <c r="C616" i="12"/>
  <c r="C618" i="12"/>
  <c r="C620" i="12"/>
  <c r="C622" i="12"/>
  <c r="C624" i="12"/>
  <c r="C626" i="12"/>
  <c r="C628" i="12"/>
  <c r="C630" i="12"/>
  <c r="C632" i="12"/>
  <c r="C634" i="12"/>
  <c r="C636" i="12"/>
  <c r="C638" i="12"/>
  <c r="C640" i="12"/>
  <c r="C642" i="12"/>
  <c r="C644" i="12"/>
  <c r="C646" i="12"/>
  <c r="C648" i="12"/>
  <c r="C650" i="12"/>
  <c r="C652" i="12"/>
  <c r="C654" i="12"/>
  <c r="C656" i="12"/>
  <c r="C658" i="12"/>
  <c r="C660" i="12"/>
  <c r="C662" i="12"/>
  <c r="C664" i="12"/>
  <c r="C666" i="12"/>
  <c r="C668" i="12"/>
  <c r="C670" i="12"/>
  <c r="C672" i="12"/>
  <c r="C674" i="12"/>
  <c r="C676" i="12"/>
  <c r="C678" i="12"/>
  <c r="C87" i="12"/>
  <c r="C91" i="12"/>
  <c r="C95" i="12"/>
  <c r="C99" i="12"/>
  <c r="C103" i="12"/>
  <c r="C107" i="12"/>
  <c r="C111" i="12"/>
  <c r="C115" i="12"/>
  <c r="C119" i="12"/>
  <c r="C123" i="12"/>
  <c r="C127" i="12"/>
  <c r="C131" i="12"/>
  <c r="C135" i="12"/>
  <c r="C139" i="12"/>
  <c r="C143" i="12"/>
  <c r="C147" i="12"/>
  <c r="C151" i="12"/>
  <c r="C155" i="12"/>
  <c r="C159" i="12"/>
  <c r="C163" i="12"/>
  <c r="C167" i="12"/>
  <c r="C171" i="12"/>
  <c r="C175" i="12"/>
  <c r="C179" i="12"/>
  <c r="C183" i="12"/>
  <c r="C187" i="12"/>
  <c r="C191" i="12"/>
  <c r="C195" i="12"/>
  <c r="C199" i="12"/>
  <c r="C203" i="12"/>
  <c r="C207" i="12"/>
  <c r="C211" i="12"/>
  <c r="C215" i="12"/>
  <c r="C219" i="12"/>
  <c r="C223" i="12"/>
  <c r="C227" i="12"/>
  <c r="C231" i="12"/>
  <c r="C235" i="12"/>
  <c r="C239" i="12"/>
  <c r="C243" i="12"/>
  <c r="C247" i="12"/>
  <c r="C251" i="12"/>
  <c r="C255" i="12"/>
  <c r="C259" i="12"/>
  <c r="C263" i="12"/>
  <c r="C267" i="12"/>
  <c r="C271" i="12"/>
  <c r="C275" i="12"/>
  <c r="C279" i="12"/>
  <c r="C283" i="12"/>
  <c r="C287" i="12"/>
  <c r="C291" i="12"/>
  <c r="C295" i="12"/>
  <c r="C299" i="12"/>
  <c r="C303" i="12"/>
  <c r="C307" i="12"/>
  <c r="C311" i="12"/>
  <c r="C315" i="12"/>
  <c r="C319" i="12"/>
  <c r="C323" i="12"/>
  <c r="C327" i="12"/>
  <c r="C331" i="12"/>
  <c r="C335" i="12"/>
  <c r="C339" i="12"/>
  <c r="C343" i="12"/>
  <c r="C347" i="12"/>
  <c r="C351" i="12"/>
  <c r="C355" i="12"/>
  <c r="C359" i="12"/>
  <c r="C363" i="12"/>
  <c r="C367" i="12"/>
  <c r="C371" i="12"/>
  <c r="C375" i="12"/>
  <c r="C379" i="12"/>
  <c r="C383" i="12"/>
  <c r="C387" i="12"/>
  <c r="C391" i="12"/>
  <c r="C395" i="12"/>
  <c r="C399" i="12"/>
  <c r="C403" i="12"/>
  <c r="C407" i="12"/>
  <c r="C411" i="12"/>
  <c r="C415" i="12"/>
  <c r="C419" i="12"/>
  <c r="C423" i="12"/>
  <c r="C427" i="12"/>
  <c r="C431" i="12"/>
  <c r="C435" i="12"/>
  <c r="C439" i="12"/>
  <c r="C443" i="12"/>
  <c r="C447" i="12"/>
  <c r="C451" i="12"/>
  <c r="C455" i="12"/>
  <c r="C459" i="12"/>
  <c r="C463" i="12"/>
  <c r="C467" i="12"/>
  <c r="C471" i="12"/>
  <c r="C475" i="12"/>
  <c r="C479" i="12"/>
  <c r="C483" i="12"/>
  <c r="C487" i="12"/>
  <c r="C491" i="12"/>
  <c r="C495" i="12"/>
  <c r="C499" i="12"/>
  <c r="C503" i="12"/>
  <c r="C507" i="12"/>
  <c r="C511" i="12"/>
  <c r="C515" i="12"/>
  <c r="C519" i="12"/>
  <c r="C523" i="12"/>
  <c r="C527" i="12"/>
  <c r="C531" i="12"/>
  <c r="C535" i="12"/>
  <c r="C539" i="12"/>
  <c r="C543" i="12"/>
  <c r="C547" i="12"/>
  <c r="C551" i="12"/>
  <c r="C555" i="12"/>
  <c r="C559" i="12"/>
  <c r="C563" i="12"/>
  <c r="C567" i="12"/>
  <c r="C571" i="12"/>
  <c r="C575" i="12"/>
  <c r="C579" i="12"/>
  <c r="C583" i="12"/>
  <c r="C587" i="12"/>
  <c r="C591" i="12"/>
  <c r="C595" i="12"/>
  <c r="C597" i="12"/>
  <c r="C599" i="12"/>
  <c r="C601" i="12"/>
  <c r="C603" i="12"/>
  <c r="C605" i="12"/>
  <c r="C607" i="12"/>
  <c r="C609" i="12"/>
  <c r="C611" i="12"/>
  <c r="C613" i="12"/>
  <c r="C615" i="12"/>
  <c r="C617" i="12"/>
  <c r="C619" i="12"/>
  <c r="C621" i="12"/>
  <c r="C623" i="12"/>
  <c r="C625" i="12"/>
  <c r="C627" i="12"/>
  <c r="C629" i="12"/>
  <c r="C631" i="12"/>
  <c r="C633" i="12"/>
  <c r="C635" i="12"/>
  <c r="C637" i="12"/>
  <c r="C639" i="12"/>
  <c r="C641" i="12"/>
  <c r="C643" i="12"/>
  <c r="C645" i="12"/>
  <c r="C647" i="12"/>
  <c r="C649" i="12"/>
  <c r="C651" i="12"/>
  <c r="C653" i="12"/>
  <c r="C655" i="12"/>
  <c r="C657" i="12"/>
  <c r="C659" i="12"/>
  <c r="C661" i="12"/>
  <c r="C663" i="12"/>
  <c r="C665" i="12"/>
  <c r="C667" i="12"/>
  <c r="C669" i="12"/>
  <c r="C671" i="12"/>
  <c r="C673" i="12"/>
  <c r="C675" i="12"/>
  <c r="C677" i="12"/>
  <c r="C679" i="12"/>
  <c r="C999" i="12"/>
  <c r="C997" i="12"/>
  <c r="C995" i="12"/>
  <c r="C993" i="12"/>
  <c r="C991" i="12"/>
  <c r="C989" i="12"/>
  <c r="C987" i="12"/>
  <c r="C985" i="12"/>
  <c r="C983" i="12"/>
  <c r="C981" i="12"/>
  <c r="C979" i="12"/>
  <c r="C977" i="12"/>
  <c r="C975" i="12"/>
  <c r="C973" i="12"/>
  <c r="C971" i="12"/>
  <c r="C969" i="12"/>
  <c r="C967" i="12"/>
  <c r="C965" i="12"/>
  <c r="C963" i="12"/>
  <c r="C961" i="12"/>
  <c r="C959" i="12"/>
  <c r="C957" i="12"/>
  <c r="C955" i="12"/>
  <c r="C953" i="12"/>
  <c r="C951" i="12"/>
  <c r="C949" i="12"/>
  <c r="C947" i="12"/>
  <c r="C945" i="12"/>
  <c r="C943" i="12"/>
  <c r="C941" i="12"/>
  <c r="C939" i="12"/>
  <c r="C937" i="12"/>
  <c r="C935" i="12"/>
  <c r="C933" i="12"/>
  <c r="C931" i="12"/>
  <c r="C929" i="12"/>
  <c r="C927" i="12"/>
  <c r="C925" i="12"/>
  <c r="C923" i="12"/>
  <c r="C921" i="12"/>
  <c r="C919" i="12"/>
  <c r="C917" i="12"/>
  <c r="C915" i="12"/>
  <c r="C913" i="12"/>
  <c r="C911" i="12"/>
  <c r="C909" i="12"/>
  <c r="C907" i="12"/>
  <c r="C905" i="12"/>
  <c r="C903" i="12"/>
  <c r="C901" i="12"/>
  <c r="C899" i="12"/>
  <c r="C897" i="12"/>
  <c r="C895" i="12"/>
  <c r="C893" i="12"/>
  <c r="C891" i="12"/>
  <c r="C889" i="12"/>
  <c r="C887" i="12"/>
  <c r="C885" i="12"/>
  <c r="C883" i="12"/>
  <c r="C881" i="12"/>
  <c r="C879" i="12"/>
  <c r="C877" i="12"/>
  <c r="C875" i="12"/>
  <c r="C873" i="12"/>
  <c r="C871" i="12"/>
  <c r="C869" i="12"/>
  <c r="C867" i="12"/>
  <c r="C865" i="12"/>
  <c r="C863" i="12"/>
  <c r="C861" i="12"/>
  <c r="C859" i="12"/>
  <c r="C857" i="12"/>
  <c r="C855" i="12"/>
  <c r="C853" i="12"/>
  <c r="C851" i="12"/>
  <c r="C849" i="12"/>
  <c r="C847" i="12"/>
  <c r="C845" i="12"/>
  <c r="C843" i="12"/>
  <c r="C841" i="12"/>
  <c r="C839" i="12"/>
  <c r="C837" i="12"/>
  <c r="C835" i="12"/>
  <c r="C833" i="12"/>
  <c r="C831" i="12"/>
  <c r="C829" i="12"/>
  <c r="C827" i="12"/>
  <c r="C825" i="12"/>
  <c r="C823" i="12"/>
  <c r="C821" i="12"/>
  <c r="C819" i="12"/>
  <c r="C817" i="12"/>
  <c r="C815" i="12"/>
  <c r="C813" i="12"/>
  <c r="C811" i="12"/>
  <c r="C809" i="12"/>
  <c r="C807" i="12"/>
  <c r="C805" i="12"/>
  <c r="C803" i="12"/>
  <c r="C801" i="12"/>
  <c r="C799" i="12"/>
  <c r="C797" i="12"/>
  <c r="C795" i="12"/>
  <c r="C793" i="12"/>
  <c r="C791" i="12"/>
  <c r="C789" i="12"/>
  <c r="C787" i="12"/>
  <c r="C785" i="12"/>
  <c r="C783" i="12"/>
  <c r="C781" i="12"/>
  <c r="C779" i="12"/>
  <c r="C777" i="12"/>
  <c r="C775" i="12"/>
  <c r="C773" i="12"/>
  <c r="C771" i="12"/>
  <c r="C769" i="12"/>
  <c r="C767" i="12"/>
  <c r="C765" i="12"/>
  <c r="C763" i="12"/>
  <c r="C761" i="12"/>
  <c r="C759" i="12"/>
  <c r="C757" i="12"/>
  <c r="C755" i="12"/>
  <c r="C753" i="12"/>
  <c r="C751" i="12"/>
  <c r="C749" i="12"/>
  <c r="C747" i="12"/>
  <c r="C745" i="12"/>
  <c r="C743" i="12"/>
  <c r="C741" i="12"/>
  <c r="C739" i="12"/>
  <c r="C737" i="12"/>
  <c r="C735" i="12"/>
  <c r="C733" i="12"/>
  <c r="C731" i="12"/>
  <c r="C729" i="12"/>
  <c r="C727" i="12"/>
  <c r="C725" i="12"/>
  <c r="C723" i="12"/>
  <c r="C721" i="12"/>
  <c r="C719" i="12"/>
  <c r="C717" i="12"/>
  <c r="C715" i="12"/>
  <c r="C713" i="12"/>
  <c r="C711" i="12"/>
  <c r="C709" i="12"/>
  <c r="C707" i="12"/>
  <c r="C705" i="12"/>
  <c r="C703" i="12"/>
  <c r="C701" i="12"/>
  <c r="C699" i="12"/>
  <c r="C697" i="12"/>
  <c r="C695" i="12"/>
  <c r="C693" i="12"/>
  <c r="C691" i="12"/>
  <c r="C689" i="12"/>
  <c r="C687" i="12"/>
  <c r="C685" i="12"/>
  <c r="C683" i="12"/>
  <c r="C681" i="12"/>
  <c r="C23" i="12"/>
  <c r="C998" i="12"/>
  <c r="C996" i="12"/>
  <c r="C994" i="12"/>
  <c r="C992" i="12"/>
  <c r="C990" i="12"/>
  <c r="C988" i="12"/>
  <c r="C986" i="12"/>
  <c r="C984" i="12"/>
  <c r="C982" i="12"/>
  <c r="C980" i="12"/>
  <c r="C978" i="12"/>
  <c r="C976" i="12"/>
  <c r="C974" i="12"/>
  <c r="C972" i="12"/>
  <c r="C970" i="12"/>
  <c r="C968" i="12"/>
  <c r="C966" i="12"/>
  <c r="C964" i="12"/>
  <c r="C962" i="12"/>
  <c r="C960" i="12"/>
  <c r="C958" i="12"/>
  <c r="C956" i="12"/>
  <c r="C954" i="12"/>
  <c r="C952" i="12"/>
  <c r="C950" i="12"/>
  <c r="C948" i="12"/>
  <c r="C946" i="12"/>
  <c r="C944" i="12"/>
  <c r="C942" i="12"/>
  <c r="C940" i="12"/>
  <c r="C938" i="12"/>
  <c r="C936" i="12"/>
  <c r="C934" i="12"/>
  <c r="C932" i="12"/>
  <c r="C930" i="12"/>
  <c r="C928" i="12"/>
  <c r="C926" i="12"/>
  <c r="C924" i="12"/>
  <c r="C922" i="12"/>
  <c r="C920" i="12"/>
  <c r="C918" i="12"/>
  <c r="C916" i="12"/>
  <c r="C914" i="12"/>
  <c r="C912" i="12"/>
  <c r="C910" i="12"/>
  <c r="C908" i="12"/>
  <c r="C906" i="12"/>
  <c r="C904" i="12"/>
  <c r="C902" i="12"/>
  <c r="C900" i="12"/>
  <c r="C898" i="12"/>
  <c r="C896" i="12"/>
  <c r="C894" i="12"/>
  <c r="C892" i="12"/>
  <c r="C890" i="12"/>
  <c r="C888" i="12"/>
  <c r="C886" i="12"/>
  <c r="C884" i="12"/>
  <c r="C882" i="12"/>
  <c r="C880" i="12"/>
  <c r="C878" i="12"/>
  <c r="C876" i="12"/>
  <c r="C874" i="12"/>
  <c r="C872" i="12"/>
  <c r="C870" i="12"/>
  <c r="C868" i="12"/>
  <c r="C866" i="12"/>
  <c r="C864" i="12"/>
  <c r="C862" i="12"/>
  <c r="C860" i="12"/>
  <c r="C858" i="12"/>
  <c r="C856" i="12"/>
  <c r="C854" i="12"/>
  <c r="C852" i="12"/>
  <c r="C850" i="12"/>
  <c r="C848" i="12"/>
  <c r="C846" i="12"/>
  <c r="C844" i="12"/>
  <c r="C842" i="12"/>
  <c r="C840" i="12"/>
  <c r="C838" i="12"/>
  <c r="C836" i="12"/>
  <c r="C834" i="12"/>
  <c r="C832" i="12"/>
  <c r="C830" i="12"/>
  <c r="C828" i="12"/>
  <c r="C826" i="12"/>
  <c r="C824" i="12"/>
  <c r="C822" i="12"/>
  <c r="C820" i="12"/>
  <c r="C818" i="12"/>
  <c r="C816" i="12"/>
  <c r="C814" i="12"/>
  <c r="C812" i="12"/>
  <c r="C810" i="12"/>
  <c r="C808" i="12"/>
  <c r="C806" i="12"/>
  <c r="C804" i="12"/>
  <c r="C802" i="12"/>
  <c r="C800" i="12"/>
  <c r="C798" i="12"/>
  <c r="C796" i="12"/>
  <c r="C794" i="12"/>
  <c r="C792" i="12"/>
  <c r="C790" i="12"/>
  <c r="C788" i="12"/>
  <c r="C786" i="12"/>
  <c r="C784" i="12"/>
  <c r="C782" i="12"/>
  <c r="C780" i="12"/>
  <c r="C778" i="12"/>
  <c r="C776" i="12"/>
  <c r="C774" i="12"/>
  <c r="C772" i="12"/>
  <c r="C770" i="12"/>
  <c r="C768" i="12"/>
  <c r="C766" i="12"/>
  <c r="C764" i="12"/>
  <c r="C762" i="12"/>
  <c r="C760" i="12"/>
  <c r="C758" i="12"/>
  <c r="C756" i="12"/>
  <c r="C754" i="12"/>
  <c r="C752" i="12"/>
  <c r="C750" i="12"/>
  <c r="C748" i="12"/>
  <c r="C746" i="12"/>
  <c r="C744" i="12"/>
  <c r="C742" i="12"/>
  <c r="C740" i="12"/>
  <c r="C738" i="12"/>
  <c r="C736" i="12"/>
  <c r="C734" i="12"/>
  <c r="C732" i="12"/>
  <c r="C730" i="12"/>
  <c r="C728" i="12"/>
  <c r="C726" i="12"/>
  <c r="C724" i="12"/>
  <c r="C722" i="12"/>
  <c r="C720" i="12"/>
  <c r="C718" i="12"/>
  <c r="C716" i="12"/>
  <c r="C714" i="12"/>
  <c r="C712" i="12"/>
  <c r="C710" i="12"/>
  <c r="C708" i="12"/>
  <c r="C706" i="12"/>
  <c r="C704" i="12"/>
  <c r="C702" i="12"/>
  <c r="C700" i="12"/>
  <c r="C698" i="12"/>
  <c r="C696" i="12"/>
  <c r="C694" i="12"/>
  <c r="C692" i="12"/>
  <c r="C690" i="12"/>
  <c r="C688" i="12"/>
  <c r="C686" i="12"/>
  <c r="C684" i="12"/>
  <c r="C682" i="12"/>
  <c r="C680" i="12"/>
  <c r="E15" i="10"/>
  <c r="C12" i="10"/>
  <c r="E12" i="27"/>
  <c r="P7" i="10"/>
  <c r="A2" i="25"/>
  <c r="A2" i="21"/>
  <c r="A2" i="14"/>
  <c r="E14" i="10"/>
  <c r="E12" i="10"/>
  <c r="G12" i="27"/>
  <c r="E10" i="10"/>
  <c r="G10" i="27" s="1"/>
  <c r="E8" i="10"/>
  <c r="G8" i="27"/>
  <c r="E6" i="10"/>
  <c r="G6" i="27" s="1"/>
  <c r="C10" i="10"/>
  <c r="O10" i="10" s="1"/>
  <c r="A2" i="15"/>
  <c r="A2" i="16"/>
  <c r="A2" i="24"/>
  <c r="D15" i="10"/>
  <c r="D8" i="10"/>
  <c r="F8" i="27" s="1"/>
  <c r="D6" i="10"/>
  <c r="F6" i="27" s="1"/>
  <c r="A2" i="20"/>
  <c r="A2" i="22"/>
  <c r="A2" i="19"/>
  <c r="A2" i="10"/>
  <c r="E13" i="10"/>
  <c r="G13" i="27" s="1"/>
  <c r="E11" i="10"/>
  <c r="G11" i="27" s="1"/>
  <c r="E9" i="10"/>
  <c r="G9" i="27" s="1"/>
  <c r="E7" i="10"/>
  <c r="G7" i="27"/>
  <c r="E163" i="34"/>
  <c r="E161" i="34"/>
  <c r="E159" i="34"/>
  <c r="E157" i="34"/>
  <c r="E155" i="34"/>
  <c r="E153" i="34"/>
  <c r="E151" i="34"/>
  <c r="E149" i="34"/>
  <c r="E147" i="34"/>
  <c r="E145" i="34"/>
  <c r="E143" i="34"/>
  <c r="E141" i="34"/>
  <c r="E139" i="34"/>
  <c r="E137" i="34"/>
  <c r="E135" i="34"/>
  <c r="E133" i="34"/>
  <c r="E131" i="34"/>
  <c r="E129" i="34"/>
  <c r="E127" i="34"/>
  <c r="E125" i="34"/>
  <c r="E123" i="34"/>
  <c r="E121" i="34"/>
  <c r="E119" i="34"/>
  <c r="E117" i="34"/>
  <c r="E115" i="34"/>
  <c r="E113" i="34"/>
  <c r="E111" i="34"/>
  <c r="E109" i="34"/>
  <c r="E107" i="34"/>
  <c r="E105" i="34"/>
  <c r="E103" i="34"/>
  <c r="E101" i="34"/>
  <c r="E99" i="34"/>
  <c r="E97" i="34"/>
  <c r="E95" i="34"/>
  <c r="E93" i="34"/>
  <c r="E91" i="34"/>
  <c r="E89" i="34"/>
  <c r="E87" i="34"/>
  <c r="E85" i="34"/>
  <c r="E83" i="34"/>
  <c r="E81" i="34"/>
  <c r="E79" i="34"/>
  <c r="E77" i="34"/>
  <c r="E75" i="34"/>
  <c r="E73" i="34"/>
  <c r="E71" i="34"/>
  <c r="E69" i="34"/>
  <c r="E67" i="34"/>
  <c r="E65" i="34"/>
  <c r="E164" i="34"/>
  <c r="E162" i="34"/>
  <c r="E160" i="34"/>
  <c r="E158" i="34"/>
  <c r="E156" i="34"/>
  <c r="E154" i="34"/>
  <c r="E152" i="34"/>
  <c r="E150" i="34"/>
  <c r="E148" i="34"/>
  <c r="E146" i="34"/>
  <c r="E144" i="34"/>
  <c r="E142" i="34"/>
  <c r="E140" i="34"/>
  <c r="E138" i="34"/>
  <c r="E136" i="34"/>
  <c r="E134" i="34"/>
  <c r="E132" i="34"/>
  <c r="E130" i="34"/>
  <c r="E128" i="34"/>
  <c r="E126" i="34"/>
  <c r="E124" i="34"/>
  <c r="E122" i="34"/>
  <c r="E120" i="34"/>
  <c r="E118" i="34"/>
  <c r="E116" i="34"/>
  <c r="E114" i="34"/>
  <c r="E112" i="34"/>
  <c r="E110" i="34"/>
  <c r="E108" i="34"/>
  <c r="E106" i="34"/>
  <c r="E104" i="34"/>
  <c r="E102" i="34"/>
  <c r="E100" i="34"/>
  <c r="E98" i="34"/>
  <c r="E96" i="34"/>
  <c r="E94" i="34"/>
  <c r="E92" i="34"/>
  <c r="E90" i="34"/>
  <c r="E88" i="34"/>
  <c r="E86" i="34"/>
  <c r="E84" i="34"/>
  <c r="E82" i="34"/>
  <c r="E80" i="34"/>
  <c r="E78" i="34"/>
  <c r="E76" i="34"/>
  <c r="E74" i="34"/>
  <c r="E72" i="34"/>
  <c r="E70" i="34"/>
  <c r="E68" i="34"/>
  <c r="E66" i="34"/>
  <c r="E64" i="34"/>
  <c r="Q6" i="10"/>
  <c r="Q14" i="10"/>
  <c r="Q15" i="10"/>
  <c r="Q10" i="10"/>
  <c r="Q11" i="10"/>
  <c r="P14" i="10"/>
  <c r="M7" i="27"/>
  <c r="Q7" i="10"/>
  <c r="F11" i="27"/>
  <c r="I6" i="27"/>
  <c r="P6" i="10"/>
  <c r="H11" i="27"/>
  <c r="P11" i="10"/>
  <c r="M9" i="27"/>
  <c r="Q9" i="10"/>
  <c r="P12" i="10"/>
  <c r="Q13" i="10"/>
  <c r="K8" i="27"/>
  <c r="P8" i="27" s="1"/>
  <c r="Q8" i="10"/>
  <c r="H9" i="27"/>
  <c r="P9" i="10"/>
  <c r="I10" i="27"/>
  <c r="P10" i="10"/>
  <c r="M12" i="27"/>
  <c r="Q12" i="10"/>
  <c r="F9" i="27"/>
  <c r="H8" i="27"/>
  <c r="O8" i="27" s="1"/>
  <c r="P8" i="10"/>
  <c r="O7" i="10"/>
  <c r="R7" i="10"/>
  <c r="S7" i="10" s="1"/>
  <c r="E10" i="27"/>
  <c r="O6" i="10"/>
  <c r="B696" i="12"/>
  <c r="B692" i="12"/>
  <c r="B688" i="12"/>
  <c r="B684" i="12"/>
  <c r="B678" i="12"/>
  <c r="B674" i="12"/>
  <c r="B672" i="12"/>
  <c r="B666" i="12"/>
  <c r="B658" i="12"/>
  <c r="B650" i="12"/>
  <c r="B638" i="12"/>
  <c r="B630" i="12"/>
  <c r="B622" i="12"/>
  <c r="B610" i="12"/>
  <c r="B328" i="12"/>
  <c r="B665" i="12"/>
  <c r="B659" i="12"/>
  <c r="B655" i="12"/>
  <c r="B651" i="12"/>
  <c r="B645" i="12"/>
  <c r="B641" i="12"/>
  <c r="B637" i="12"/>
  <c r="B631" i="12"/>
  <c r="B627" i="12"/>
  <c r="B623" i="12"/>
  <c r="B617" i="12"/>
  <c r="B613" i="12"/>
  <c r="B609" i="12"/>
  <c r="B603" i="12"/>
  <c r="B599" i="12"/>
  <c r="B593" i="12"/>
  <c r="B589" i="12"/>
  <c r="B585" i="12"/>
  <c r="B579" i="12"/>
  <c r="B574" i="12"/>
  <c r="B562" i="12"/>
  <c r="B554" i="12"/>
  <c r="B546" i="12"/>
  <c r="B534" i="12"/>
  <c r="B526" i="12"/>
  <c r="B514" i="12"/>
  <c r="B506" i="12"/>
  <c r="B494" i="12"/>
  <c r="B486" i="12"/>
  <c r="B474" i="12"/>
  <c r="B466" i="12"/>
  <c r="B458" i="12"/>
  <c r="B424" i="12"/>
  <c r="B384" i="12"/>
  <c r="B197" i="12"/>
  <c r="B84" i="12"/>
  <c r="B722" i="12"/>
  <c r="B720" i="12"/>
  <c r="B716" i="12"/>
  <c r="B712" i="12"/>
  <c r="B708" i="12"/>
  <c r="B704" i="12"/>
  <c r="B700" i="12"/>
  <c r="B698" i="12"/>
  <c r="B694" i="12"/>
  <c r="B690" i="12"/>
  <c r="B686" i="12"/>
  <c r="B682" i="12"/>
  <c r="B680" i="12"/>
  <c r="B676" i="12"/>
  <c r="B670" i="12"/>
  <c r="B668" i="12"/>
  <c r="B662" i="12"/>
  <c r="B654" i="12"/>
  <c r="B646" i="12"/>
  <c r="B642" i="12"/>
  <c r="B634" i="12"/>
  <c r="B626" i="12"/>
  <c r="B618" i="12"/>
  <c r="B614" i="12"/>
  <c r="B606" i="12"/>
  <c r="B602" i="12"/>
  <c r="B598" i="12"/>
  <c r="B594" i="12"/>
  <c r="B590" i="12"/>
  <c r="B586" i="12"/>
  <c r="B582" i="12"/>
  <c r="B578" i="12"/>
  <c r="B572" i="12"/>
  <c r="B564" i="12"/>
  <c r="B556" i="12"/>
  <c r="B548" i="12"/>
  <c r="B540" i="12"/>
  <c r="B532" i="12"/>
  <c r="B524" i="12"/>
  <c r="B516" i="12"/>
  <c r="B508" i="12"/>
  <c r="B500" i="12"/>
  <c r="B492" i="12"/>
  <c r="B484" i="12"/>
  <c r="B476" i="12"/>
  <c r="B468" i="12"/>
  <c r="B460" i="12"/>
  <c r="B447" i="12"/>
  <c r="B416" i="12"/>
  <c r="B368" i="12"/>
  <c r="B261" i="12"/>
  <c r="B663" i="12"/>
  <c r="B661" i="12"/>
  <c r="B657" i="12"/>
  <c r="B653" i="12"/>
  <c r="B649" i="12"/>
  <c r="B647" i="12"/>
  <c r="B643" i="12"/>
  <c r="B639" i="12"/>
  <c r="B635" i="12"/>
  <c r="B633" i="12"/>
  <c r="B629" i="12"/>
  <c r="B625" i="12"/>
  <c r="B621" i="12"/>
  <c r="B619" i="12"/>
  <c r="B615" i="12"/>
  <c r="B611" i="12"/>
  <c r="B607" i="12"/>
  <c r="B605" i="12"/>
  <c r="B601" i="12"/>
  <c r="B597" i="12"/>
  <c r="B595" i="12"/>
  <c r="B591" i="12"/>
  <c r="B587" i="12"/>
  <c r="B583" i="12"/>
  <c r="B581" i="12"/>
  <c r="B577" i="12"/>
  <c r="B570" i="12"/>
  <c r="B566" i="12"/>
  <c r="B558" i="12"/>
  <c r="B550" i="12"/>
  <c r="B542" i="12"/>
  <c r="B538" i="12"/>
  <c r="B530" i="12"/>
  <c r="B522" i="12"/>
  <c r="B518" i="12"/>
  <c r="B510" i="12"/>
  <c r="B502" i="12"/>
  <c r="B498" i="12"/>
  <c r="B490" i="12"/>
  <c r="B482" i="12"/>
  <c r="B478" i="12"/>
  <c r="B470" i="12"/>
  <c r="B462" i="12"/>
  <c r="B451" i="12"/>
  <c r="B440" i="12"/>
  <c r="B408" i="12"/>
  <c r="B352" i="12"/>
  <c r="B320" i="12"/>
  <c r="B360" i="12"/>
  <c r="B575" i="12"/>
  <c r="B571" i="12"/>
  <c r="B569" i="12"/>
  <c r="B565" i="12"/>
  <c r="B561" i="12"/>
  <c r="B557" i="12"/>
  <c r="B553" i="12"/>
  <c r="B549" i="12"/>
  <c r="B545" i="12"/>
  <c r="B543" i="12"/>
  <c r="B539" i="12"/>
  <c r="B535" i="12"/>
  <c r="B531" i="12"/>
  <c r="B527" i="12"/>
  <c r="B523" i="12"/>
  <c r="B519" i="12"/>
  <c r="B515" i="12"/>
  <c r="B511" i="12"/>
  <c r="B507" i="12"/>
  <c r="B505" i="12"/>
  <c r="B501" i="12"/>
  <c r="B497" i="12"/>
  <c r="B493" i="12"/>
  <c r="B489" i="12"/>
  <c r="B485" i="12"/>
  <c r="B481" i="12"/>
  <c r="B477" i="12"/>
  <c r="B473" i="12"/>
  <c r="B469" i="12"/>
  <c r="B465" i="12"/>
  <c r="B461" i="12"/>
  <c r="B457" i="12"/>
  <c r="B449" i="12"/>
  <c r="B436" i="12"/>
  <c r="B420" i="12"/>
  <c r="B404" i="12"/>
  <c r="B388" i="12"/>
  <c r="B372" i="12"/>
  <c r="B356" i="12"/>
  <c r="B340" i="12"/>
  <c r="B324" i="12"/>
  <c r="B277" i="12"/>
  <c r="B213" i="12"/>
  <c r="B148" i="12"/>
  <c r="B28" i="12"/>
  <c r="B376" i="12"/>
  <c r="B344" i="12"/>
  <c r="B293" i="12"/>
  <c r="B229" i="12"/>
  <c r="B573" i="12"/>
  <c r="B567" i="12"/>
  <c r="B563" i="12"/>
  <c r="B559" i="12"/>
  <c r="B555" i="12"/>
  <c r="B551" i="12"/>
  <c r="B547" i="12"/>
  <c r="B541" i="12"/>
  <c r="B537" i="12"/>
  <c r="B533" i="12"/>
  <c r="B529" i="12"/>
  <c r="B525" i="12"/>
  <c r="B521" i="12"/>
  <c r="B517" i="12"/>
  <c r="B513" i="12"/>
  <c r="B509" i="12"/>
  <c r="B503" i="12"/>
  <c r="B499" i="12"/>
  <c r="B495" i="12"/>
  <c r="B491" i="12"/>
  <c r="B487" i="12"/>
  <c r="B483" i="12"/>
  <c r="B479" i="12"/>
  <c r="B475" i="12"/>
  <c r="B471" i="12"/>
  <c r="B467" i="12"/>
  <c r="B463" i="12"/>
  <c r="B459" i="12"/>
  <c r="B453" i="12"/>
  <c r="B444" i="12"/>
  <c r="B428" i="12"/>
  <c r="B412" i="12"/>
  <c r="B396" i="12"/>
  <c r="B380" i="12"/>
  <c r="B364" i="12"/>
  <c r="B348" i="12"/>
  <c r="B332" i="12"/>
  <c r="B309" i="12"/>
  <c r="B245" i="12"/>
  <c r="B52" i="12"/>
  <c r="B456" i="12"/>
  <c r="B454" i="12"/>
  <c r="B452" i="12"/>
  <c r="B450" i="12"/>
  <c r="B448" i="12"/>
  <c r="B446" i="12"/>
  <c r="B442" i="12"/>
  <c r="B438" i="12"/>
  <c r="B434" i="12"/>
  <c r="B430" i="12"/>
  <c r="B426" i="12"/>
  <c r="B422" i="12"/>
  <c r="B418" i="12"/>
  <c r="B414" i="12"/>
  <c r="B410" i="12"/>
  <c r="B406" i="12"/>
  <c r="B402" i="12"/>
  <c r="B398" i="12"/>
  <c r="B394" i="12"/>
  <c r="B390" i="12"/>
  <c r="B386" i="12"/>
  <c r="B382" i="12"/>
  <c r="B378" i="12"/>
  <c r="B374" i="12"/>
  <c r="B370" i="12"/>
  <c r="B366" i="12"/>
  <c r="B362" i="12"/>
  <c r="B358" i="12"/>
  <c r="B354" i="12"/>
  <c r="B350" i="12"/>
  <c r="B346" i="12"/>
  <c r="B342" i="12"/>
  <c r="B338" i="12"/>
  <c r="B334" i="12"/>
  <c r="B330" i="12"/>
  <c r="B326" i="12"/>
  <c r="B322" i="12"/>
  <c r="B317" i="12"/>
  <c r="B301" i="12"/>
  <c r="B285" i="12"/>
  <c r="B269" i="12"/>
  <c r="B253" i="12"/>
  <c r="B237" i="12"/>
  <c r="B221" i="12"/>
  <c r="B205" i="12"/>
  <c r="B180" i="12"/>
  <c r="B116" i="12"/>
  <c r="B443" i="12"/>
  <c r="B439" i="12"/>
  <c r="B435" i="12"/>
  <c r="B429" i="12"/>
  <c r="B425" i="12"/>
  <c r="B421" i="12"/>
  <c r="B417" i="12"/>
  <c r="B411" i="12"/>
  <c r="B407" i="12"/>
  <c r="B403" i="12"/>
  <c r="B401" i="12"/>
  <c r="B395" i="12"/>
  <c r="B391" i="12"/>
  <c r="B387" i="12"/>
  <c r="B381" i="12"/>
  <c r="B377" i="12"/>
  <c r="B367" i="12"/>
  <c r="B363" i="12"/>
  <c r="B357" i="12"/>
  <c r="B353" i="12"/>
  <c r="B349" i="12"/>
  <c r="B343" i="12"/>
  <c r="B339" i="12"/>
  <c r="B335" i="12"/>
  <c r="B329" i="12"/>
  <c r="B325" i="12"/>
  <c r="B319" i="12"/>
  <c r="B305" i="12"/>
  <c r="B281" i="12"/>
  <c r="B265" i="12"/>
  <c r="B249" i="12"/>
  <c r="B225" i="12"/>
  <c r="B209" i="12"/>
  <c r="B164" i="12"/>
  <c r="B100" i="12"/>
  <c r="B68" i="12"/>
  <c r="B36" i="12"/>
  <c r="B445" i="12"/>
  <c r="B441" i="12"/>
  <c r="B437" i="12"/>
  <c r="B433" i="12"/>
  <c r="B431" i="12"/>
  <c r="B427" i="12"/>
  <c r="B423" i="12"/>
  <c r="B419" i="12"/>
  <c r="B415" i="12"/>
  <c r="B413" i="12"/>
  <c r="B409" i="12"/>
  <c r="B405" i="12"/>
  <c r="B399" i="12"/>
  <c r="B397" i="12"/>
  <c r="B393" i="12"/>
  <c r="B389" i="12"/>
  <c r="B385" i="12"/>
  <c r="B383" i="12"/>
  <c r="B379" i="12"/>
  <c r="B375" i="12"/>
  <c r="B373" i="12"/>
  <c r="B371" i="12"/>
  <c r="B369" i="12"/>
  <c r="B365" i="12"/>
  <c r="B361" i="12"/>
  <c r="B359" i="12"/>
  <c r="B355" i="12"/>
  <c r="B351" i="12"/>
  <c r="B347" i="12"/>
  <c r="B345" i="12"/>
  <c r="B341" i="12"/>
  <c r="B337" i="12"/>
  <c r="B333" i="12"/>
  <c r="B331" i="12"/>
  <c r="B327" i="12"/>
  <c r="B323" i="12"/>
  <c r="B321" i="12"/>
  <c r="B313" i="12"/>
  <c r="B297" i="12"/>
  <c r="B289" i="12"/>
  <c r="B273" i="12"/>
  <c r="B257" i="12"/>
  <c r="B241" i="12"/>
  <c r="B233" i="12"/>
  <c r="B217" i="12"/>
  <c r="B201" i="12"/>
  <c r="B193" i="12"/>
  <c r="B132" i="12"/>
  <c r="P13" i="10"/>
  <c r="B968" i="12"/>
  <c r="B904" i="12"/>
  <c r="B840" i="12"/>
  <c r="G113" i="12"/>
  <c r="G97" i="12"/>
  <c r="G77" i="12"/>
  <c r="G45" i="12"/>
  <c r="G184" i="12"/>
  <c r="G152" i="12"/>
  <c r="G120" i="12"/>
  <c r="G88" i="12"/>
  <c r="G56" i="12"/>
  <c r="B57" i="12"/>
  <c r="B123" i="12"/>
  <c r="B181" i="12"/>
  <c r="B75" i="12"/>
  <c r="B137" i="12"/>
  <c r="B178" i="12"/>
  <c r="B114" i="12"/>
  <c r="B50" i="12"/>
  <c r="B96" i="12"/>
  <c r="B290" i="12"/>
  <c r="B255" i="12"/>
  <c r="B228" i="12"/>
  <c r="B288" i="12"/>
  <c r="B464" i="12"/>
  <c r="B936" i="12"/>
  <c r="G121" i="12"/>
  <c r="G105" i="12"/>
  <c r="G89" i="12"/>
  <c r="G61" i="12"/>
  <c r="G29" i="12"/>
  <c r="G168" i="12"/>
  <c r="G136" i="12"/>
  <c r="G104" i="12"/>
  <c r="G72" i="12"/>
  <c r="G40" i="12"/>
  <c r="G24" i="12"/>
  <c r="B89" i="12"/>
  <c r="B155" i="12"/>
  <c r="B43" i="12"/>
  <c r="B107" i="12"/>
  <c r="B175" i="12"/>
  <c r="B146" i="12"/>
  <c r="B82" i="12"/>
  <c r="B32" i="12"/>
  <c r="B202" i="12"/>
  <c r="B234" i="12"/>
  <c r="B188" i="12"/>
  <c r="B24" i="12"/>
  <c r="B984" i="12"/>
  <c r="B952" i="12"/>
  <c r="B920" i="12"/>
  <c r="B872" i="12"/>
  <c r="B794" i="12"/>
  <c r="G164" i="12"/>
  <c r="G148" i="12"/>
  <c r="G132" i="12"/>
  <c r="G116" i="12"/>
  <c r="G100" i="12"/>
  <c r="G84" i="12"/>
  <c r="G68" i="12"/>
  <c r="G60" i="12"/>
  <c r="G44" i="12"/>
  <c r="G28" i="12"/>
  <c r="B49" i="12"/>
  <c r="B81" i="12"/>
  <c r="B113" i="12"/>
  <c r="B147" i="12"/>
  <c r="B171" i="12"/>
  <c r="B35" i="12"/>
  <c r="B67" i="12"/>
  <c r="B99" i="12"/>
  <c r="B129" i="12"/>
  <c r="B169" i="12"/>
  <c r="B186" i="12"/>
  <c r="B154" i="12"/>
  <c r="B122" i="12"/>
  <c r="B106" i="12"/>
  <c r="B74" i="12"/>
  <c r="B42" i="12"/>
  <c r="B48" i="12"/>
  <c r="B128" i="12"/>
  <c r="B210" i="12"/>
  <c r="B242" i="12"/>
  <c r="B306" i="12"/>
  <c r="B207" i="12"/>
  <c r="B271" i="12"/>
  <c r="B786" i="12"/>
  <c r="G188" i="12"/>
  <c r="G180" i="12"/>
  <c r="G172" i="12"/>
  <c r="G156" i="12"/>
  <c r="G140" i="12"/>
  <c r="G124" i="12"/>
  <c r="G108" i="12"/>
  <c r="G92" i="12"/>
  <c r="G76" i="12"/>
  <c r="G52" i="12"/>
  <c r="G36" i="12"/>
  <c r="B33" i="12"/>
  <c r="B65" i="12"/>
  <c r="B97" i="12"/>
  <c r="B131" i="12"/>
  <c r="B161" i="12"/>
  <c r="B189" i="12"/>
  <c r="B51" i="12"/>
  <c r="B83" i="12"/>
  <c r="B115" i="12"/>
  <c r="B145" i="12"/>
  <c r="B183" i="12"/>
  <c r="B170" i="12"/>
  <c r="B138" i="12"/>
  <c r="B90" i="12"/>
  <c r="B58" i="12"/>
  <c r="B26" i="12"/>
  <c r="B80" i="12"/>
  <c r="B191" i="12"/>
  <c r="B226" i="12"/>
  <c r="B272" i="12"/>
  <c r="B124" i="12"/>
  <c r="B239" i="12"/>
  <c r="B303" i="12"/>
  <c r="B152" i="12"/>
  <c r="B212" i="12"/>
  <c r="B244" i="12"/>
  <c r="B274" i="12"/>
  <c r="B304" i="12"/>
  <c r="B992" i="12"/>
  <c r="B976" i="12"/>
  <c r="B960" i="12"/>
  <c r="B944" i="12"/>
  <c r="B928" i="12"/>
  <c r="B912" i="12"/>
  <c r="B888" i="12"/>
  <c r="B856" i="12"/>
  <c r="G41" i="12"/>
  <c r="G25" i="12"/>
  <c r="G186" i="12"/>
  <c r="G178" i="12"/>
  <c r="G170" i="12"/>
  <c r="G162" i="12"/>
  <c r="G154" i="12"/>
  <c r="G146" i="12"/>
  <c r="G138" i="12"/>
  <c r="G130" i="12"/>
  <c r="G122" i="12"/>
  <c r="G114" i="12"/>
  <c r="G106" i="12"/>
  <c r="G98" i="12"/>
  <c r="G90" i="12"/>
  <c r="G82" i="12"/>
  <c r="G74" i="12"/>
  <c r="G62" i="12"/>
  <c r="G54" i="12"/>
  <c r="G46" i="12"/>
  <c r="G38" i="12"/>
  <c r="G30" i="12"/>
  <c r="B29" i="12"/>
  <c r="B45" i="12"/>
  <c r="B61" i="12"/>
  <c r="B77" i="12"/>
  <c r="B93" i="12"/>
  <c r="B101" i="12"/>
  <c r="B95" i="12"/>
  <c r="B117" i="12"/>
  <c r="B133" i="12"/>
  <c r="B149" i="12"/>
  <c r="B182" i="12"/>
  <c r="B142" i="12"/>
  <c r="B94" i="12"/>
  <c r="B54" i="12"/>
  <c r="B56" i="12"/>
  <c r="B196" i="12"/>
  <c r="B238" i="12"/>
  <c r="B92" i="12"/>
  <c r="B263" i="12"/>
  <c r="B204" i="12"/>
  <c r="B310" i="12"/>
  <c r="B721" i="12"/>
  <c r="G81" i="12"/>
  <c r="G73" i="12"/>
  <c r="G65" i="12"/>
  <c r="G57" i="12"/>
  <c r="G49" i="12"/>
  <c r="G33" i="12"/>
  <c r="G190" i="12"/>
  <c r="G182" i="12"/>
  <c r="G174" i="12"/>
  <c r="G166" i="12"/>
  <c r="G158" i="12"/>
  <c r="G150" i="12"/>
  <c r="G142" i="12"/>
  <c r="G134" i="12"/>
  <c r="G126" i="12"/>
  <c r="G118" i="12"/>
  <c r="G110" i="12"/>
  <c r="G102" i="12"/>
  <c r="G94" i="12"/>
  <c r="G86" i="12"/>
  <c r="G78" i="12"/>
  <c r="G70" i="12"/>
  <c r="G66" i="12"/>
  <c r="G58" i="12"/>
  <c r="G50" i="12"/>
  <c r="G42" i="12"/>
  <c r="G34" i="12"/>
  <c r="G26" i="12"/>
  <c r="B37" i="12"/>
  <c r="B53" i="12"/>
  <c r="B69" i="12"/>
  <c r="B85" i="12"/>
  <c r="B109" i="12"/>
  <c r="B119" i="12"/>
  <c r="B127" i="12"/>
  <c r="B135" i="12"/>
  <c r="B143" i="12"/>
  <c r="B151" i="12"/>
  <c r="B159" i="12"/>
  <c r="B163" i="12"/>
  <c r="B167" i="12"/>
  <c r="B177" i="12"/>
  <c r="B185" i="12"/>
  <c r="B25" i="12"/>
  <c r="B31" i="12"/>
  <c r="B39" i="12"/>
  <c r="B47" i="12"/>
  <c r="B55" i="12"/>
  <c r="B63" i="12"/>
  <c r="B71" i="12"/>
  <c r="B79" i="12"/>
  <c r="B87" i="12"/>
  <c r="B103" i="12"/>
  <c r="B111" i="12"/>
  <c r="B125" i="12"/>
  <c r="B141" i="12"/>
  <c r="B157" i="12"/>
  <c r="B173" i="12"/>
  <c r="B179" i="12"/>
  <c r="B187" i="12"/>
  <c r="B190" i="12"/>
  <c r="B174" i="12"/>
  <c r="B166" i="12"/>
  <c r="B158" i="12"/>
  <c r="B150" i="12"/>
  <c r="B134" i="12"/>
  <c r="B126" i="12"/>
  <c r="B118" i="12"/>
  <c r="B110" i="12"/>
  <c r="B102" i="12"/>
  <c r="B86" i="12"/>
  <c r="B78" i="12"/>
  <c r="B70" i="12"/>
  <c r="B62" i="12"/>
  <c r="B46" i="12"/>
  <c r="B38" i="12"/>
  <c r="B30" i="12"/>
  <c r="B23" i="12"/>
  <c r="B40" i="12"/>
  <c r="B72" i="12"/>
  <c r="B88" i="12"/>
  <c r="B112" i="12"/>
  <c r="B144" i="12"/>
  <c r="B176" i="12"/>
  <c r="B206" i="12"/>
  <c r="B214" i="12"/>
  <c r="B222" i="12"/>
  <c r="B230" i="12"/>
  <c r="B246" i="12"/>
  <c r="B264" i="12"/>
  <c r="B280" i="12"/>
  <c r="B298" i="12"/>
  <c r="B316" i="12"/>
  <c r="B156" i="12"/>
  <c r="B199" i="12"/>
  <c r="B215" i="12"/>
  <c r="B231" i="12"/>
  <c r="B247" i="12"/>
  <c r="B279" i="12"/>
  <c r="B295" i="12"/>
  <c r="B311" i="12"/>
  <c r="B120" i="12"/>
  <c r="B184" i="12"/>
  <c r="B220" i="12"/>
  <c r="B236" i="12"/>
  <c r="B250" i="12"/>
  <c r="B266" i="12"/>
  <c r="B282" i="12"/>
  <c r="B296" i="12"/>
  <c r="B996" i="12"/>
  <c r="B988" i="12"/>
  <c r="B980" i="12"/>
  <c r="B972" i="12"/>
  <c r="B964" i="12"/>
  <c r="B956" i="12"/>
  <c r="B948" i="12"/>
  <c r="B940" i="12"/>
  <c r="B932" i="12"/>
  <c r="B924" i="12"/>
  <c r="B916" i="12"/>
  <c r="B908" i="12"/>
  <c r="B896" i="12"/>
  <c r="B880" i="12"/>
  <c r="B864" i="12"/>
  <c r="B848" i="12"/>
  <c r="B824" i="12"/>
  <c r="B991" i="12"/>
  <c r="B979" i="12"/>
  <c r="B44" i="12"/>
  <c r="B211" i="12"/>
  <c r="B267" i="12"/>
  <c r="B315" i="12"/>
  <c r="B216" i="12"/>
  <c r="B270" i="12"/>
  <c r="B314" i="12"/>
  <c r="B994" i="12"/>
  <c r="B962" i="12"/>
  <c r="B930" i="12"/>
  <c r="B892" i="12"/>
  <c r="B810" i="12"/>
  <c r="B648" i="12"/>
  <c r="B252" i="12"/>
  <c r="B260" i="12"/>
  <c r="B268" i="12"/>
  <c r="B276" i="12"/>
  <c r="B286" i="12"/>
  <c r="B294" i="12"/>
  <c r="B302" i="12"/>
  <c r="B312" i="12"/>
  <c r="B76" i="12"/>
  <c r="B108" i="12"/>
  <c r="B140" i="12"/>
  <c r="B172" i="12"/>
  <c r="B195" i="12"/>
  <c r="B203" i="12"/>
  <c r="B219" i="12"/>
  <c r="B227" i="12"/>
  <c r="B235" i="12"/>
  <c r="B243" i="12"/>
  <c r="B251" i="12"/>
  <c r="B259" i="12"/>
  <c r="B275" i="12"/>
  <c r="B283" i="12"/>
  <c r="B291" i="12"/>
  <c r="B299" i="12"/>
  <c r="B307" i="12"/>
  <c r="B104" i="12"/>
  <c r="B136" i="12"/>
  <c r="B168" i="12"/>
  <c r="B194" i="12"/>
  <c r="B200" i="12"/>
  <c r="B208" i="12"/>
  <c r="B224" i="12"/>
  <c r="B232" i="12"/>
  <c r="B240" i="12"/>
  <c r="B248" i="12"/>
  <c r="B254" i="12"/>
  <c r="B262" i="12"/>
  <c r="B278" i="12"/>
  <c r="B284" i="12"/>
  <c r="B292" i="12"/>
  <c r="B300" i="12"/>
  <c r="B308" i="12"/>
  <c r="B998" i="12"/>
  <c r="B990" i="12"/>
  <c r="B986" i="12"/>
  <c r="B982" i="12"/>
  <c r="B978" i="12"/>
  <c r="B974" i="12"/>
  <c r="B970" i="12"/>
  <c r="B966" i="12"/>
  <c r="B958" i="12"/>
  <c r="B954" i="12"/>
  <c r="B950" i="12"/>
  <c r="B946" i="12"/>
  <c r="B942" i="12"/>
  <c r="B938" i="12"/>
  <c r="B934" i="12"/>
  <c r="B926" i="12"/>
  <c r="B922" i="12"/>
  <c r="B918" i="12"/>
  <c r="B914" i="12"/>
  <c r="B910" i="12"/>
  <c r="B906" i="12"/>
  <c r="B900" i="12"/>
  <c r="B884" i="12"/>
  <c r="B876" i="12"/>
  <c r="B868" i="12"/>
  <c r="B860" i="12"/>
  <c r="B852" i="12"/>
  <c r="B844" i="12"/>
  <c r="B832" i="12"/>
  <c r="B754" i="12"/>
  <c r="B967" i="12"/>
  <c r="B955" i="12"/>
  <c r="B943" i="12"/>
  <c r="B933" i="12"/>
  <c r="B921" i="12"/>
  <c r="B909" i="12"/>
  <c r="B886" i="12"/>
  <c r="B584" i="12"/>
  <c r="B999" i="12"/>
  <c r="B997" i="12"/>
  <c r="B995" i="12"/>
  <c r="B993" i="12"/>
  <c r="B989" i="12"/>
  <c r="B987" i="12"/>
  <c r="B985" i="12"/>
  <c r="B983" i="12"/>
  <c r="B981" i="12"/>
  <c r="B977" i="12"/>
  <c r="B975" i="12"/>
  <c r="B973" i="12"/>
  <c r="B971" i="12"/>
  <c r="B969" i="12"/>
  <c r="B965" i="12"/>
  <c r="B963" i="12"/>
  <c r="B961" i="12"/>
  <c r="B959" i="12"/>
  <c r="B957" i="12"/>
  <c r="B953" i="12"/>
  <c r="B951" i="12"/>
  <c r="B949" i="12"/>
  <c r="B947" i="12"/>
  <c r="B945" i="12"/>
  <c r="B941" i="12"/>
  <c r="B939" i="12"/>
  <c r="B937" i="12"/>
  <c r="B935" i="12"/>
  <c r="B931" i="12"/>
  <c r="B929" i="12"/>
  <c r="B927" i="12"/>
  <c r="B925" i="12"/>
  <c r="B923" i="12"/>
  <c r="B919" i="12"/>
  <c r="B917" i="12"/>
  <c r="B915" i="12"/>
  <c r="B913" i="12"/>
  <c r="B911" i="12"/>
  <c r="B907" i="12"/>
  <c r="B905" i="12"/>
  <c r="B902" i="12"/>
  <c r="B898" i="12"/>
  <c r="B894" i="12"/>
  <c r="B890" i="12"/>
  <c r="B882" i="12"/>
  <c r="B878" i="12"/>
  <c r="B874" i="12"/>
  <c r="B870" i="12"/>
  <c r="B866" i="12"/>
  <c r="B862" i="12"/>
  <c r="B858" i="12"/>
  <c r="B854" i="12"/>
  <c r="B850" i="12"/>
  <c r="B846" i="12"/>
  <c r="B842" i="12"/>
  <c r="B836" i="12"/>
  <c r="B828" i="12"/>
  <c r="B818" i="12"/>
  <c r="B802" i="12"/>
  <c r="B770" i="12"/>
  <c r="B738" i="12"/>
  <c r="B689" i="12"/>
  <c r="B778" i="12"/>
  <c r="B746" i="12"/>
  <c r="B705" i="12"/>
  <c r="B673" i="12"/>
  <c r="B528" i="12"/>
  <c r="B762" i="12"/>
  <c r="B730" i="12"/>
  <c r="B616" i="12"/>
  <c r="B834" i="12"/>
  <c r="B826" i="12"/>
  <c r="B814" i="12"/>
  <c r="B806" i="12"/>
  <c r="B790" i="12"/>
  <c r="B774" i="12"/>
  <c r="B758" i="12"/>
  <c r="B742" i="12"/>
  <c r="B726" i="12"/>
  <c r="B697" i="12"/>
  <c r="B664" i="12"/>
  <c r="B632" i="12"/>
  <c r="B560" i="12"/>
  <c r="B336" i="12"/>
  <c r="B838" i="12"/>
  <c r="B830" i="12"/>
  <c r="B822" i="12"/>
  <c r="B798" i="12"/>
  <c r="B782" i="12"/>
  <c r="B766" i="12"/>
  <c r="B750" i="12"/>
  <c r="B734" i="12"/>
  <c r="B713" i="12"/>
  <c r="B681" i="12"/>
  <c r="B600" i="12"/>
  <c r="B496" i="12"/>
  <c r="B392" i="12"/>
  <c r="B903" i="12"/>
  <c r="B901" i="12"/>
  <c r="B899" i="12"/>
  <c r="B897" i="12"/>
  <c r="B895" i="12"/>
  <c r="B893" i="12"/>
  <c r="B891" i="12"/>
  <c r="B889" i="12"/>
  <c r="B887" i="12"/>
  <c r="B885" i="12"/>
  <c r="B883" i="12"/>
  <c r="B881" i="12"/>
  <c r="B879" i="12"/>
  <c r="B877" i="12"/>
  <c r="B875" i="12"/>
  <c r="B873" i="12"/>
  <c r="B871" i="12"/>
  <c r="B869" i="12"/>
  <c r="B867" i="12"/>
  <c r="B865" i="12"/>
  <c r="B863" i="12"/>
  <c r="B861" i="12"/>
  <c r="B859" i="12"/>
  <c r="B857" i="12"/>
  <c r="B855" i="12"/>
  <c r="B853" i="12"/>
  <c r="B851" i="12"/>
  <c r="B849" i="12"/>
  <c r="B847" i="12"/>
  <c r="B845" i="12"/>
  <c r="B843" i="12"/>
  <c r="B841" i="12"/>
  <c r="B839" i="12"/>
  <c r="B837" i="12"/>
  <c r="B835" i="12"/>
  <c r="B833" i="12"/>
  <c r="B831" i="12"/>
  <c r="B829" i="12"/>
  <c r="B827" i="12"/>
  <c r="B825" i="12"/>
  <c r="B823" i="12"/>
  <c r="B820" i="12"/>
  <c r="B816" i="12"/>
  <c r="B812" i="12"/>
  <c r="B808" i="12"/>
  <c r="B804" i="12"/>
  <c r="B800" i="12"/>
  <c r="B796" i="12"/>
  <c r="B792" i="12"/>
  <c r="B788" i="12"/>
  <c r="B784" i="12"/>
  <c r="B780" i="12"/>
  <c r="B776" i="12"/>
  <c r="B772" i="12"/>
  <c r="B768" i="12"/>
  <c r="B764" i="12"/>
  <c r="B760" i="12"/>
  <c r="B756" i="12"/>
  <c r="B752" i="12"/>
  <c r="B748" i="12"/>
  <c r="B744" i="12"/>
  <c r="B740" i="12"/>
  <c r="B736" i="12"/>
  <c r="B732" i="12"/>
  <c r="B728" i="12"/>
  <c r="B724" i="12"/>
  <c r="B717" i="12"/>
  <c r="B709" i="12"/>
  <c r="B701" i="12"/>
  <c r="B693" i="12"/>
  <c r="B685" i="12"/>
  <c r="B677" i="12"/>
  <c r="B669" i="12"/>
  <c r="B656" i="12"/>
  <c r="B640" i="12"/>
  <c r="B624" i="12"/>
  <c r="B608" i="12"/>
  <c r="B592" i="12"/>
  <c r="B576" i="12"/>
  <c r="B544" i="12"/>
  <c r="B512" i="12"/>
  <c r="B480" i="12"/>
  <c r="B432" i="12"/>
  <c r="B702" i="12"/>
  <c r="B821" i="12"/>
  <c r="B819" i="12"/>
  <c r="B817" i="12"/>
  <c r="B815" i="12"/>
  <c r="B813" i="12"/>
  <c r="B811" i="12"/>
  <c r="B809" i="12"/>
  <c r="B807" i="12"/>
  <c r="B805" i="12"/>
  <c r="B803" i="12"/>
  <c r="B801" i="12"/>
  <c r="B799" i="12"/>
  <c r="B797" i="12"/>
  <c r="B795" i="12"/>
  <c r="B793" i="12"/>
  <c r="B791" i="12"/>
  <c r="B789" i="12"/>
  <c r="B787" i="12"/>
  <c r="B785" i="12"/>
  <c r="B783" i="12"/>
  <c r="B781" i="12"/>
  <c r="B779" i="12"/>
  <c r="B777" i="12"/>
  <c r="B775" i="12"/>
  <c r="B773" i="12"/>
  <c r="B771" i="12"/>
  <c r="B769" i="12"/>
  <c r="B767" i="12"/>
  <c r="B765" i="12"/>
  <c r="B763" i="12"/>
  <c r="B761" i="12"/>
  <c r="B759" i="12"/>
  <c r="B757" i="12"/>
  <c r="B755" i="12"/>
  <c r="B753" i="12"/>
  <c r="B751" i="12"/>
  <c r="B749" i="12"/>
  <c r="B747" i="12"/>
  <c r="B745" i="12"/>
  <c r="B743" i="12"/>
  <c r="B741" i="12"/>
  <c r="B739" i="12"/>
  <c r="B737" i="12"/>
  <c r="B735" i="12"/>
  <c r="B733" i="12"/>
  <c r="B731" i="12"/>
  <c r="B729" i="12"/>
  <c r="B727" i="12"/>
  <c r="B725" i="12"/>
  <c r="B723" i="12"/>
  <c r="B719" i="12"/>
  <c r="B715" i="12"/>
  <c r="B711" i="12"/>
  <c r="B707" i="12"/>
  <c r="B703" i="12"/>
  <c r="B699" i="12"/>
  <c r="B695" i="12"/>
  <c r="B691" i="12"/>
  <c r="B687" i="12"/>
  <c r="B683" i="12"/>
  <c r="B679" i="12"/>
  <c r="B675" i="12"/>
  <c r="B671" i="12"/>
  <c r="B667" i="12"/>
  <c r="B660" i="12"/>
  <c r="B652" i="12"/>
  <c r="B644" i="12"/>
  <c r="B636" i="12"/>
  <c r="B628" i="12"/>
  <c r="B620" i="12"/>
  <c r="B612" i="12"/>
  <c r="B604" i="12"/>
  <c r="B596" i="12"/>
  <c r="B588" i="12"/>
  <c r="B580" i="12"/>
  <c r="B568" i="12"/>
  <c r="B552" i="12"/>
  <c r="B536" i="12"/>
  <c r="B520" i="12"/>
  <c r="B504" i="12"/>
  <c r="B488" i="12"/>
  <c r="B472" i="12"/>
  <c r="B455" i="12"/>
  <c r="B400" i="12"/>
  <c r="B714" i="12"/>
  <c r="B706" i="12"/>
  <c r="B718" i="12"/>
  <c r="B710" i="12"/>
  <c r="A1" i="21"/>
  <c r="R10" i="10" l="1"/>
  <c r="S10" i="10" s="1"/>
  <c r="R6" i="10"/>
  <c r="S6" i="10" s="1"/>
  <c r="P7" i="27"/>
  <c r="A1" i="16"/>
  <c r="A1" i="22"/>
  <c r="A1" i="19"/>
  <c r="A1" i="18"/>
  <c r="A1" i="27"/>
  <c r="A1" i="10"/>
  <c r="A1" i="15"/>
  <c r="A1" i="20"/>
  <c r="A1" i="23"/>
  <c r="A1" i="24"/>
  <c r="A1" i="25"/>
  <c r="P15" i="10"/>
  <c r="O15" i="10"/>
  <c r="R15" i="10" s="1"/>
  <c r="S15" i="10" s="1"/>
  <c r="P10" i="27"/>
  <c r="N6" i="27"/>
  <c r="O10" i="27"/>
  <c r="E63" i="34"/>
  <c r="E60" i="34"/>
  <c r="E55" i="34"/>
  <c r="E52" i="34"/>
  <c r="E47" i="34"/>
  <c r="E44" i="34"/>
  <c r="E39" i="34"/>
  <c r="E36" i="34"/>
  <c r="E31" i="34"/>
  <c r="E28" i="34"/>
  <c r="E23" i="34"/>
  <c r="E20" i="34"/>
  <c r="E15" i="34"/>
  <c r="E12" i="34"/>
  <c r="O9" i="27"/>
  <c r="O12" i="27"/>
  <c r="E188" i="34"/>
  <c r="E185" i="34"/>
  <c r="E180" i="34"/>
  <c r="E177" i="34"/>
  <c r="E172" i="34"/>
  <c r="E169" i="34"/>
  <c r="O13" i="27"/>
  <c r="O14" i="10"/>
  <c r="R14" i="10" s="1"/>
  <c r="S14" i="10" s="1"/>
  <c r="P12" i="27"/>
  <c r="E190" i="34"/>
  <c r="E187" i="34"/>
  <c r="E182" i="34"/>
  <c r="E179" i="34"/>
  <c r="E174" i="34"/>
  <c r="E171" i="34"/>
  <c r="E166" i="34"/>
  <c r="P13" i="27"/>
  <c r="N8" i="27"/>
  <c r="E59" i="34"/>
  <c r="E51" i="34"/>
  <c r="E43" i="34"/>
  <c r="E35" i="34"/>
  <c r="E27" i="34"/>
  <c r="E19" i="34"/>
  <c r="O13" i="10"/>
  <c r="R13" i="10" s="1"/>
  <c r="S13" i="10" s="1"/>
  <c r="N12" i="27"/>
  <c r="N7" i="27"/>
  <c r="Q7" i="27" s="1"/>
  <c r="E189" i="34"/>
  <c r="E184" i="34"/>
  <c r="E181" i="34"/>
  <c r="E176" i="34"/>
  <c r="E173" i="34"/>
  <c r="E168" i="34"/>
  <c r="E165" i="34"/>
  <c r="G846" i="12"/>
  <c r="O9" i="10"/>
  <c r="R9" i="10" s="1"/>
  <c r="S9" i="10" s="1"/>
  <c r="A10" i="24" s="1"/>
  <c r="O12" i="10"/>
  <c r="R12" i="10" s="1"/>
  <c r="S12" i="10" s="1"/>
  <c r="A13" i="24" s="1"/>
  <c r="A2" i="23"/>
  <c r="P6" i="27"/>
  <c r="E61" i="34"/>
  <c r="E58" i="34"/>
  <c r="E53" i="34"/>
  <c r="E50" i="34"/>
  <c r="E45" i="34"/>
  <c r="E42" i="34"/>
  <c r="E37" i="34"/>
  <c r="E34" i="34"/>
  <c r="E29" i="34"/>
  <c r="E26" i="34"/>
  <c r="E21" i="34"/>
  <c r="E18" i="34"/>
  <c r="E13" i="34"/>
  <c r="B8" i="24"/>
  <c r="A8" i="24"/>
  <c r="R7" i="27"/>
  <c r="O6" i="27"/>
  <c r="N11" i="27"/>
  <c r="P9" i="27"/>
  <c r="A7" i="24"/>
  <c r="R6" i="27"/>
  <c r="B7" i="24"/>
  <c r="N9" i="27"/>
  <c r="N13" i="27"/>
  <c r="Q6" i="27"/>
  <c r="N10" i="27"/>
  <c r="Q10" i="27" s="1"/>
  <c r="Q8" i="27"/>
  <c r="Q12" i="27"/>
  <c r="P11" i="27"/>
  <c r="O11" i="27"/>
  <c r="A11" i="24"/>
  <c r="B11" i="24"/>
  <c r="R10" i="27"/>
  <c r="O11" i="10"/>
  <c r="R11" i="10" s="1"/>
  <c r="S11" i="10" s="1"/>
  <c r="G841" i="12"/>
  <c r="G869" i="12"/>
  <c r="G861" i="12"/>
  <c r="G853" i="12"/>
  <c r="G840" i="12"/>
  <c r="G868" i="12"/>
  <c r="G860" i="12"/>
  <c r="G852" i="12"/>
  <c r="G839" i="12"/>
  <c r="G867" i="12"/>
  <c r="G859" i="12"/>
  <c r="G851" i="12"/>
  <c r="G874" i="12"/>
  <c r="G866" i="12"/>
  <c r="G858" i="12"/>
  <c r="G850" i="12"/>
  <c r="O8" i="10"/>
  <c r="R8" i="10" s="1"/>
  <c r="S8" i="10" s="1"/>
  <c r="G845" i="12"/>
  <c r="G873" i="12"/>
  <c r="G865" i="12"/>
  <c r="G857" i="12"/>
  <c r="G849" i="12"/>
  <c r="G844" i="12"/>
  <c r="G872" i="12"/>
  <c r="G864" i="12"/>
  <c r="G856" i="12"/>
  <c r="G848" i="12"/>
  <c r="G843" i="12"/>
  <c r="G871" i="12"/>
  <c r="G863" i="12"/>
  <c r="G855" i="12"/>
  <c r="G847" i="12"/>
  <c r="G842" i="12"/>
  <c r="G870" i="12"/>
  <c r="G862" i="12"/>
  <c r="G854" i="12"/>
  <c r="Q13" i="27" l="1"/>
  <c r="B13" i="24"/>
  <c r="B10" i="24"/>
  <c r="R12" i="27"/>
  <c r="R9" i="27"/>
  <c r="R13" i="27"/>
  <c r="A14" i="24"/>
  <c r="B14" i="24"/>
  <c r="B12" i="24"/>
  <c r="A12" i="24"/>
  <c r="R11" i="27"/>
  <c r="Q11" i="27"/>
  <c r="B9" i="24"/>
  <c r="A9" i="24"/>
  <c r="R8" i="27"/>
  <c r="Q9" i="27"/>
</calcChain>
</file>

<file path=xl/comments1.xml><?xml version="1.0" encoding="utf-8"?>
<comments xmlns="http://schemas.openxmlformats.org/spreadsheetml/2006/main">
  <authors>
    <author>Hess</author>
  </authors>
  <commentList>
    <comment ref="C6" authorId="0" shapeId="0">
      <text>
        <r>
          <rPr>
            <b/>
            <sz val="8"/>
            <color indexed="81"/>
            <rFont val="Tahoma"/>
            <family val="2"/>
          </rPr>
          <t>Hess:</t>
        </r>
        <r>
          <rPr>
            <sz val="8"/>
            <color indexed="81"/>
            <rFont val="Tahoma"/>
            <family val="2"/>
          </rPr>
          <t xml:space="preserve">
Enter the number of errors (not the point deduction)</t>
        </r>
      </text>
    </comment>
  </commentList>
</comments>
</file>

<file path=xl/connections.xml><?xml version="1.0" encoding="utf-8"?>
<connections xmlns="http://schemas.openxmlformats.org/spreadsheetml/2006/main">
  <connection id="1" name="Verbindung" type="4" refreshedVersion="4" background="1" saveData="1">
    <webPr sourceData="1" parsePre="1" consecutive="1" textDates="1" xl2000="1" url="http://www.shrednow.com/rankings/pointscales.html" htmlTables="1">
      <tables count="1">
        <x v="7"/>
      </tables>
    </webPr>
  </connection>
  <connection id="2" name="Verbindung1" type="4" refreshedVersion="4" background="1" saveData="1">
    <webPr sourceData="1" parsePre="1" textDates="1" xl2000="1" url="http://koljah.de/freestylediscrankings/currentopen2.htm" htmlTables="1"/>
  </connection>
</connections>
</file>

<file path=xl/sharedStrings.xml><?xml version="1.0" encoding="utf-8"?>
<sst xmlns="http://schemas.openxmlformats.org/spreadsheetml/2006/main" count="4075" uniqueCount="1579">
  <si>
    <t>Rank</t>
  </si>
  <si>
    <t>Execution</t>
  </si>
  <si>
    <t>Artistic Impression</t>
  </si>
  <si>
    <t>Difficulty</t>
  </si>
  <si>
    <t>Total</t>
  </si>
  <si>
    <t>EX 1</t>
  </si>
  <si>
    <t>EX 2</t>
  </si>
  <si>
    <t>AI 1</t>
  </si>
  <si>
    <t>AI 2</t>
  </si>
  <si>
    <t>#</t>
  </si>
  <si>
    <t>Player 1</t>
  </si>
  <si>
    <t>Player 2</t>
  </si>
  <si>
    <t>Judges</t>
  </si>
  <si>
    <t>Division</t>
  </si>
  <si>
    <t>Round</t>
  </si>
  <si>
    <t>Player 3</t>
  </si>
  <si>
    <t>Team</t>
  </si>
  <si>
    <t>Intermediate Error</t>
  </si>
  <si>
    <t>Sum</t>
  </si>
  <si>
    <t>Score</t>
  </si>
  <si>
    <t>Teamwork</t>
  </si>
  <si>
    <t>Variety</t>
  </si>
  <si>
    <t>0.0 - 10.0</t>
  </si>
  <si>
    <t>1</t>
  </si>
  <si>
    <t>2</t>
  </si>
  <si>
    <t>3</t>
  </si>
  <si>
    <t>4</t>
  </si>
  <si>
    <t>5</t>
  </si>
  <si>
    <t>6</t>
  </si>
  <si>
    <t>7</t>
  </si>
  <si>
    <t>8</t>
  </si>
  <si>
    <t>9</t>
  </si>
  <si>
    <t>10</t>
  </si>
  <si>
    <t>11</t>
  </si>
  <si>
    <t>12</t>
  </si>
  <si>
    <t>13</t>
  </si>
  <si>
    <t>14</t>
  </si>
  <si>
    <t>15</t>
  </si>
  <si>
    <t>16</t>
  </si>
  <si>
    <t>17</t>
  </si>
  <si>
    <t>18</t>
  </si>
  <si>
    <t>19</t>
  </si>
  <si>
    <t>20</t>
  </si>
  <si>
    <t>4 min</t>
  </si>
  <si>
    <t>5 min</t>
  </si>
  <si>
    <t>3 min</t>
  </si>
  <si>
    <t>EX 3</t>
  </si>
  <si>
    <t>AI 3</t>
  </si>
  <si>
    <t>DIFF 3</t>
  </si>
  <si>
    <t>Date:</t>
  </si>
  <si>
    <t xml:space="preserve"> </t>
  </si>
  <si>
    <t>Dropped Mark</t>
  </si>
  <si>
    <t>Deductions</t>
  </si>
  <si>
    <t>Notes</t>
  </si>
  <si>
    <t>Minutes:</t>
  </si>
  <si>
    <t>Time Penalty</t>
  </si>
  <si>
    <t>Receive  Music</t>
  </si>
  <si>
    <t>Timecalls</t>
  </si>
  <si>
    <t>Judge</t>
  </si>
  <si>
    <t>Spalte1</t>
  </si>
  <si>
    <t>asdf</t>
  </si>
  <si>
    <t>se</t>
  </si>
  <si>
    <t>asdf5</t>
  </si>
  <si>
    <t>asdf6</t>
  </si>
  <si>
    <t>asdf7</t>
  </si>
  <si>
    <t>Spalte18</t>
  </si>
  <si>
    <t>asdf9</t>
  </si>
  <si>
    <t>Teams</t>
  </si>
  <si>
    <t>Time:</t>
  </si>
  <si>
    <t>turnovers</t>
  </si>
  <si>
    <t>tipping</t>
  </si>
  <si>
    <t>kicks</t>
  </si>
  <si>
    <t>against the spin</t>
  </si>
  <si>
    <t>control moves</t>
  </si>
  <si>
    <t>angle adjustments</t>
  </si>
  <si>
    <t>cuffs</t>
  </si>
  <si>
    <t>brushing</t>
  </si>
  <si>
    <t>deflections</t>
  </si>
  <si>
    <t>upside down</t>
  </si>
  <si>
    <t>rolls</t>
  </si>
  <si>
    <t>*</t>
  </si>
  <si>
    <t>DIF 1</t>
  </si>
  <si>
    <t>DIF 2</t>
  </si>
  <si>
    <t>DIF 3</t>
  </si>
  <si>
    <t>Settings</t>
  </si>
  <si>
    <t>Subtitle</t>
  </si>
  <si>
    <t>Name</t>
  </si>
  <si>
    <t>Prati, Marco</t>
  </si>
  <si>
    <t>ITA</t>
  </si>
  <si>
    <t>Cigna, Claudio</t>
  </si>
  <si>
    <t>Silvey, Randy</t>
  </si>
  <si>
    <t>USA</t>
  </si>
  <si>
    <t>Gauthier, Jake</t>
  </si>
  <si>
    <t>Leitner, Tom</t>
  </si>
  <si>
    <t>Collerà, Clay</t>
  </si>
  <si>
    <t>Major, Balu</t>
  </si>
  <si>
    <t>HUN</t>
  </si>
  <si>
    <t>Hess, Florian</t>
  </si>
  <si>
    <t>GER</t>
  </si>
  <si>
    <t>Lamred, Christian</t>
  </si>
  <si>
    <t>Cesari, Manuel</t>
  </si>
  <si>
    <t>Kenny, Paul</t>
  </si>
  <si>
    <t>Sanna, Fabio</t>
  </si>
  <si>
    <t>O'Neill, Daniel</t>
  </si>
  <si>
    <t>Arveskär, Joakim</t>
  </si>
  <si>
    <t>SWE</t>
  </si>
  <si>
    <t>Wiseman, James</t>
  </si>
  <si>
    <t>Imperiale, Larry</t>
  </si>
  <si>
    <t>Dini, Andrea</t>
  </si>
  <si>
    <t>Zimmerman, Reto</t>
  </si>
  <si>
    <t>SUI</t>
  </si>
  <si>
    <t>Baranyk, Pavel</t>
  </si>
  <si>
    <t>CZE</t>
  </si>
  <si>
    <t>Gauthier, Matt</t>
  </si>
  <si>
    <t>Coddington, Arthur</t>
  </si>
  <si>
    <t>Heim, Carsten</t>
  </si>
  <si>
    <t>Capellmann, Anton</t>
  </si>
  <si>
    <t>Wright, Bill</t>
  </si>
  <si>
    <t>Höhne, Sascha</t>
  </si>
  <si>
    <t>Leist, Alex</t>
  </si>
  <si>
    <t>Hosseinian, Mehrdad</t>
  </si>
  <si>
    <t>Skomroch, Harald</t>
  </si>
  <si>
    <t>Poli, Andrea</t>
  </si>
  <si>
    <t>Finner, Freddy</t>
  </si>
  <si>
    <t>Schreck, Jan</t>
  </si>
  <si>
    <t>Young, Ryan</t>
  </si>
  <si>
    <t>Hein, Markus</t>
  </si>
  <si>
    <t>Wunder, Woo</t>
  </si>
  <si>
    <t>Vogt, Heiko</t>
  </si>
  <si>
    <t>Krüger, Philipp</t>
  </si>
  <si>
    <t>Weissenberger, Dominique</t>
  </si>
  <si>
    <t>Goetz, Markus</t>
  </si>
  <si>
    <t>Doerr, Rainer</t>
  </si>
  <si>
    <t>Notzel, Thomas</t>
  </si>
  <si>
    <t>Occorsio, Valerio</t>
  </si>
  <si>
    <t>Strunz, Bianca</t>
  </si>
  <si>
    <t>Murphy, Dave</t>
  </si>
  <si>
    <t>Dittrich, Robert</t>
  </si>
  <si>
    <t>O'Brien, Jeff</t>
  </si>
  <si>
    <t>Künzel, Toby</t>
  </si>
  <si>
    <t>Lustiger, Dan</t>
  </si>
  <si>
    <t>ISR</t>
  </si>
  <si>
    <t>Nizzo, Fabio</t>
  </si>
  <si>
    <t>GBR</t>
  </si>
  <si>
    <t>PUR</t>
  </si>
  <si>
    <t>DEN</t>
  </si>
  <si>
    <t>JPN</t>
  </si>
  <si>
    <t>NOR</t>
  </si>
  <si>
    <t>NED</t>
  </si>
  <si>
    <t>CAN</t>
  </si>
  <si>
    <t>COL</t>
  </si>
  <si>
    <t>BRA</t>
  </si>
  <si>
    <t>POL</t>
  </si>
  <si>
    <t>Country</t>
  </si>
  <si>
    <t>City</t>
  </si>
  <si>
    <t>(optional) Depends on the number of Competitors of the tournament: &gt; 20 : Reg100 ; &gt;14 : Reg80; &gt;9: Reg65; &gt; 4: Reg60;</t>
  </si>
  <si>
    <t>Event Name</t>
  </si>
  <si>
    <t>Event Type</t>
  </si>
  <si>
    <t>Number of Teams</t>
  </si>
  <si>
    <t>Number of Judges</t>
  </si>
  <si>
    <t>Attention! This option should only be used by the Administrator. It enables the override protection of formulas!</t>
  </si>
  <si>
    <t>Here you can put the Location Info and/or the full name of the Event. i.e.: "European Freetyle Championships in Karlsruhe"</t>
  </si>
  <si>
    <t>Head Judge:</t>
  </si>
  <si>
    <t>Point Enter Method</t>
  </si>
  <si>
    <t>If you want to enter all single points and let the computer calculate the final results than choose "all Marks". If you want to enter only the results the judges had calculated, than choose "only Results". At this option you can edit the results table directly and don't fill every single category scoresheet.</t>
  </si>
  <si>
    <t>This function save the results as text file (to default users documents directory) for publishing on your website or for the worldranking system</t>
  </si>
  <si>
    <t>Florian Hess</t>
  </si>
  <si>
    <t>Scoresheet Contact</t>
  </si>
  <si>
    <t>+49 (0) 157 75744571</t>
  </si>
  <si>
    <t>Flo@freestylefrisbee.de</t>
  </si>
  <si>
    <t>Ranking Points</t>
  </si>
  <si>
    <t>Place</t>
  </si>
  <si>
    <t>Regular (100%)</t>
  </si>
  <si>
    <t>20+</t>
  </si>
  <si>
    <t>Entrants</t>
  </si>
  <si>
    <t>Regular (80%)</t>
  </si>
  <si>
    <t>15-19</t>
  </si>
  <si>
    <t>Regular (65%)</t>
  </si>
  <si>
    <t>10-14</t>
  </si>
  <si>
    <t>Regular (50%)</t>
  </si>
  <si>
    <t>4-9</t>
  </si>
  <si>
    <t>Pro (120%)</t>
  </si>
  <si>
    <t>FPAW (160%)</t>
  </si>
  <si>
    <t>Form</t>
  </si>
  <si>
    <t>Flow</t>
  </si>
  <si>
    <t>(Sum + Bonus) : Count-1) * 1,5 = Score</t>
  </si>
  <si>
    <t>Throws (0-2 points)</t>
  </si>
  <si>
    <t>Back hand</t>
  </si>
  <si>
    <t>Fore hand</t>
  </si>
  <si>
    <t>Over hand</t>
  </si>
  <si>
    <t>Under hand</t>
  </si>
  <si>
    <t>Helicopter</t>
  </si>
  <si>
    <t>Air bounce</t>
  </si>
  <si>
    <t>Macs, Subs</t>
  </si>
  <si>
    <t>Catches (0-2 points)</t>
  </si>
  <si>
    <t>Gitis, Flamingitis, Gitosis</t>
  </si>
  <si>
    <t>Flamingo, Flamingosis</t>
  </si>
  <si>
    <t>Behind the back/head</t>
  </si>
  <si>
    <t>Triple fake (behind the head)</t>
  </si>
  <si>
    <t>Phlaud, Chair</t>
  </si>
  <si>
    <t>Under the leg (different versions)</t>
  </si>
  <si>
    <t>Bad attitude, Olivia, Oliver</t>
  </si>
  <si>
    <t>Scare crow, Dragon</t>
  </si>
  <si>
    <t>Lacer, Indigenous, Extraneous</t>
  </si>
  <si>
    <t>Figure 4, Monster</t>
  </si>
  <si>
    <t>Flying catches (e.g. roots, gitis roll)</t>
  </si>
  <si>
    <t>Acrobatic catches (e.g. handstand, cartwheel)</t>
  </si>
  <si>
    <t>Disc handling (0-2 points)</t>
  </si>
  <si>
    <t>guides</t>
  </si>
  <si>
    <t>Styles of play (0-2 points)</t>
  </si>
  <si>
    <t>Parallel exercises</t>
  </si>
  <si>
    <t>Multiple disc</t>
  </si>
  <si>
    <t>Speed flow</t>
  </si>
  <si>
    <t>Juggling</t>
  </si>
  <si>
    <t>Twirling</t>
  </si>
  <si>
    <t>Padiddling</t>
  </si>
  <si>
    <t>Complex body movements</t>
  </si>
  <si>
    <t>Playing both spins (no, little, medium, much, fully)</t>
  </si>
  <si>
    <t xml:space="preserve">Guideline for points: </t>
  </si>
  <si>
    <t>1.5=high variety</t>
  </si>
  <si>
    <t>2=very high</t>
  </si>
  <si>
    <t>0.5=little variety</t>
  </si>
  <si>
    <t>0=very little variety</t>
  </si>
  <si>
    <t>0=using just one hand</t>
  </si>
  <si>
    <t>0.5=little use of second hand</t>
  </si>
  <si>
    <t>1.5=high use of second hand</t>
  </si>
  <si>
    <t>2=using both hands equally often</t>
  </si>
  <si>
    <t>0=using just one spin/hand</t>
  </si>
  <si>
    <t>0.5=little use of second spin/hand</t>
  </si>
  <si>
    <t>1.5=high use of second spin/hand</t>
  </si>
  <si>
    <t>Total Variety Points</t>
  </si>
  <si>
    <t>Upside down</t>
  </si>
  <si>
    <t>The number of Judges (Column count will be adjusted)</t>
  </si>
  <si>
    <t>Please help to improve this sheets and report all problems or bugs!</t>
  </si>
  <si>
    <t>If you have technical problems or questions, feel free to contact Flo!</t>
  </si>
  <si>
    <t>After enabling Makros save, close and reopen this file!</t>
  </si>
  <si>
    <t>Please Note:</t>
  </si>
  <si>
    <t>Prints all scoresheets! Please make sure that the Printer you want to use is set as "default printer" in your printersettings!</t>
  </si>
  <si>
    <t>The number of teams in this Round (Row count will be adjusted)</t>
  </si>
  <si>
    <t>The full functionnality is only available with an official Microsoft Office version on Windows computers!</t>
  </si>
  <si>
    <t>Always enable Makro!</t>
  </si>
  <si>
    <t>Team 1</t>
  </si>
  <si>
    <t>Team 2</t>
  </si>
  <si>
    <t>Team 3</t>
  </si>
  <si>
    <t>Team 4</t>
  </si>
  <si>
    <t>Team 5</t>
  </si>
  <si>
    <t>Team 6</t>
  </si>
  <si>
    <t>Team 7</t>
  </si>
  <si>
    <t>Team 8</t>
  </si>
  <si>
    <t>Team 9</t>
  </si>
  <si>
    <t>Team 10</t>
  </si>
  <si>
    <t>Required Features</t>
  </si>
  <si>
    <t>Mark lowes Mark in Diff sheet</t>
  </si>
  <si>
    <t>FIN</t>
  </si>
  <si>
    <t>Pool</t>
  </si>
  <si>
    <t>others________________________________</t>
  </si>
  <si>
    <t>Catches with extended/condensed bodypositions</t>
  </si>
  <si>
    <t>2=use both spins/hands equally often</t>
  </si>
  <si>
    <t>Music Choreographie</t>
  </si>
  <si>
    <t>Judging Committee:</t>
  </si>
  <si>
    <t>Consec. Bonus  Sum of Points</t>
  </si>
  <si>
    <t>Minor
Error</t>
  </si>
  <si>
    <t>Major
Error</t>
  </si>
  <si>
    <t>Severe
Error</t>
  </si>
  <si>
    <t>A</t>
  </si>
  <si>
    <t>Judge: _______________________</t>
  </si>
  <si>
    <t>Both Spins/Hand playing (0-2 points)</t>
  </si>
  <si>
    <t>Sortindex</t>
  </si>
  <si>
    <t>Division Director(s):</t>
  </si>
  <si>
    <t>10 - Deductions</t>
  </si>
  <si>
    <t>1=medium variety</t>
  </si>
  <si>
    <t>1=medium use of second hand</t>
  </si>
  <si>
    <t>1=medium use of second spin/hand</t>
  </si>
  <si>
    <t>Staker</t>
  </si>
  <si>
    <t>FRA</t>
  </si>
  <si>
    <t>81.25</t>
  </si>
  <si>
    <t>BEL</t>
  </si>
  <si>
    <t>29.25</t>
  </si>
  <si>
    <t>1.</t>
  </si>
  <si>
    <t>62.5</t>
  </si>
  <si>
    <t>2.</t>
  </si>
  <si>
    <t>3.</t>
  </si>
  <si>
    <t>4.</t>
  </si>
  <si>
    <t>45.5</t>
  </si>
  <si>
    <t>5.</t>
  </si>
  <si>
    <t>6.</t>
  </si>
  <si>
    <t>32.5</t>
  </si>
  <si>
    <t>7.</t>
  </si>
  <si>
    <t>22.5</t>
  </si>
  <si>
    <t>8.</t>
  </si>
  <si>
    <t>9.</t>
  </si>
  <si>
    <t>22.75</t>
  </si>
  <si>
    <t>17.5</t>
  </si>
  <si>
    <t>10.</t>
  </si>
  <si>
    <t>19.5</t>
  </si>
  <si>
    <t>11.</t>
  </si>
  <si>
    <t>20.8</t>
  </si>
  <si>
    <t>16.9</t>
  </si>
  <si>
    <t>31.2</t>
  </si>
  <si>
    <t>41.6</t>
  </si>
  <si>
    <t>12.</t>
  </si>
  <si>
    <t>17.6</t>
  </si>
  <si>
    <t>14.3</t>
  </si>
  <si>
    <t>26.4</t>
  </si>
  <si>
    <t>35.2</t>
  </si>
  <si>
    <t>13.</t>
  </si>
  <si>
    <t>14.</t>
  </si>
  <si>
    <t>14.4</t>
  </si>
  <si>
    <t>11.7</t>
  </si>
  <si>
    <t>21.6</t>
  </si>
  <si>
    <t>28.8</t>
  </si>
  <si>
    <t>15.</t>
  </si>
  <si>
    <t>12.8</t>
  </si>
  <si>
    <t>19.2</t>
  </si>
  <si>
    <t>25.6</t>
  </si>
  <si>
    <t>16.</t>
  </si>
  <si>
    <t>11.2</t>
  </si>
  <si>
    <t>16.8</t>
  </si>
  <si>
    <t>22.4</t>
  </si>
  <si>
    <t>17.</t>
  </si>
  <si>
    <t>10.4</t>
  </si>
  <si>
    <t>15.6</t>
  </si>
  <si>
    <t>18.</t>
  </si>
  <si>
    <t>9.6</t>
  </si>
  <si>
    <t>19.</t>
  </si>
  <si>
    <t>8.8</t>
  </si>
  <si>
    <t>13.2</t>
  </si>
  <si>
    <t>20.</t>
  </si>
  <si>
    <t>10.5</t>
  </si>
  <si>
    <t>12.6</t>
  </si>
  <si>
    <t>21.</t>
  </si>
  <si>
    <t>22.</t>
  </si>
  <si>
    <t>9.5</t>
  </si>
  <si>
    <t>11.4</t>
  </si>
  <si>
    <t>15.2</t>
  </si>
  <si>
    <t>23.</t>
  </si>
  <si>
    <t>10.8</t>
  </si>
  <si>
    <t>24.</t>
  </si>
  <si>
    <t>8.5</t>
  </si>
  <si>
    <t>10.2</t>
  </si>
  <si>
    <t>13.6</t>
  </si>
  <si>
    <t>25.</t>
  </si>
  <si>
    <t>26.</t>
  </si>
  <si>
    <t>7.75</t>
  </si>
  <si>
    <t>9.3</t>
  </si>
  <si>
    <t>12.4</t>
  </si>
  <si>
    <t>27.</t>
  </si>
  <si>
    <t>7.5</t>
  </si>
  <si>
    <t>28.</t>
  </si>
  <si>
    <t>7.25</t>
  </si>
  <si>
    <t>8.7</t>
  </si>
  <si>
    <t>11.6</t>
  </si>
  <si>
    <t>29.</t>
  </si>
  <si>
    <t>8.4</t>
  </si>
  <si>
    <t>30.</t>
  </si>
  <si>
    <t>6.75</t>
  </si>
  <si>
    <t>8.1</t>
  </si>
  <si>
    <t>31.</t>
  </si>
  <si>
    <t>6.5</t>
  </si>
  <si>
    <t>7.8</t>
  </si>
  <si>
    <t>32.</t>
  </si>
  <si>
    <t>6.25</t>
  </si>
  <si>
    <t>33.</t>
  </si>
  <si>
    <t>7.2</t>
  </si>
  <si>
    <t>34.</t>
  </si>
  <si>
    <t>5.75</t>
  </si>
  <si>
    <t>6.9</t>
  </si>
  <si>
    <t>9.2</t>
  </si>
  <si>
    <t>35.</t>
  </si>
  <si>
    <t>5.5</t>
  </si>
  <si>
    <t>6.6</t>
  </si>
  <si>
    <t>36.</t>
  </si>
  <si>
    <t>5.25</t>
  </si>
  <si>
    <t>6.3</t>
  </si>
  <si>
    <t>37.</t>
  </si>
  <si>
    <t>38.</t>
  </si>
  <si>
    <t>4.75</t>
  </si>
  <si>
    <t>5.7</t>
  </si>
  <si>
    <t>7.6</t>
  </si>
  <si>
    <t>39.</t>
  </si>
  <si>
    <t>4.5</t>
  </si>
  <si>
    <t>5.4</t>
  </si>
  <si>
    <t>40.</t>
  </si>
  <si>
    <t>4.25</t>
  </si>
  <si>
    <t>5.1</t>
  </si>
  <si>
    <t>6.8</t>
  </si>
  <si>
    <t>41.</t>
  </si>
  <si>
    <t>4.8</t>
  </si>
  <si>
    <t>6.4</t>
  </si>
  <si>
    <t>42.</t>
  </si>
  <si>
    <t>3.75</t>
  </si>
  <si>
    <t>43.</t>
  </si>
  <si>
    <t>3.5</t>
  </si>
  <si>
    <t>4.2</t>
  </si>
  <si>
    <t>5.6</t>
  </si>
  <si>
    <t>44.</t>
  </si>
  <si>
    <t>3.25</t>
  </si>
  <si>
    <t>3.9</t>
  </si>
  <si>
    <t>5.2</t>
  </si>
  <si>
    <t>45.</t>
  </si>
  <si>
    <t>3.6</t>
  </si>
  <si>
    <t>46.</t>
  </si>
  <si>
    <t>2.75</t>
  </si>
  <si>
    <t>3.3</t>
  </si>
  <si>
    <t>4.4</t>
  </si>
  <si>
    <t>47.</t>
  </si>
  <si>
    <t>2.5</t>
  </si>
  <si>
    <t>48.</t>
  </si>
  <si>
    <t>2.25</t>
  </si>
  <si>
    <t>2.7</t>
  </si>
  <si>
    <t>49.</t>
  </si>
  <si>
    <t>2.4</t>
  </si>
  <si>
    <t>3.2</t>
  </si>
  <si>
    <t>50.</t>
  </si>
  <si>
    <t>1.9</t>
  </si>
  <si>
    <t>2.28</t>
  </si>
  <si>
    <t>3.04</t>
  </si>
  <si>
    <t>51.</t>
  </si>
  <si>
    <t>1.8</t>
  </si>
  <si>
    <t>2.16</t>
  </si>
  <si>
    <t>2.88</t>
  </si>
  <si>
    <t>52.</t>
  </si>
  <si>
    <t>1.7</t>
  </si>
  <si>
    <t>2.04</t>
  </si>
  <si>
    <t>2.72</t>
  </si>
  <si>
    <t>53.</t>
  </si>
  <si>
    <t>1.6</t>
  </si>
  <si>
    <t>1.92</t>
  </si>
  <si>
    <t>2.56</t>
  </si>
  <si>
    <t>54.</t>
  </si>
  <si>
    <t>1.5</t>
  </si>
  <si>
    <t>55.</t>
  </si>
  <si>
    <t>1.4</t>
  </si>
  <si>
    <t>1.68</t>
  </si>
  <si>
    <t>2.24</t>
  </si>
  <si>
    <t>56.</t>
  </si>
  <si>
    <t>1.3</t>
  </si>
  <si>
    <t>1.56</t>
  </si>
  <si>
    <t>2.08</t>
  </si>
  <si>
    <t>57.</t>
  </si>
  <si>
    <t>1.2</t>
  </si>
  <si>
    <t>1.44</t>
  </si>
  <si>
    <t>58.</t>
  </si>
  <si>
    <t>1.1</t>
  </si>
  <si>
    <t>1.32</t>
  </si>
  <si>
    <t>1.76</t>
  </si>
  <si>
    <t>59.</t>
  </si>
  <si>
    <t>60.</t>
  </si>
  <si>
    <t>0.925</t>
  </si>
  <si>
    <t>1.11</t>
  </si>
  <si>
    <t>1.48</t>
  </si>
  <si>
    <t>61.</t>
  </si>
  <si>
    <t>0.85</t>
  </si>
  <si>
    <t>1.02</t>
  </si>
  <si>
    <t>1.36</t>
  </si>
  <si>
    <t>62.</t>
  </si>
  <si>
    <t>0.775</t>
  </si>
  <si>
    <t>0.93</t>
  </si>
  <si>
    <t>1.24</t>
  </si>
  <si>
    <t>63.</t>
  </si>
  <si>
    <t>0.7</t>
  </si>
  <si>
    <t>0.84</t>
  </si>
  <si>
    <t>1.12</t>
  </si>
  <si>
    <t>64.</t>
  </si>
  <si>
    <t>0.625</t>
  </si>
  <si>
    <t>0.75</t>
  </si>
  <si>
    <t>auto vervollstaendigen bei judges funktioniert nicht</t>
  </si>
  <si>
    <t>moeglichkeit fuer 4 judges, einer davon als trainee, also ohne berechnung aber mit anzeige und drucken</t>
  </si>
  <si>
    <t>zeiteingabe ist komisch mit 24h vs. 12h. very unhandy.</t>
  </si>
  <si>
    <t>pool creator</t>
  </si>
  <si>
    <t>display namen in eigene zellen zum kopieren in scoresheet</t>
  </si>
  <si>
    <t>Deckblatt für Ordner</t>
  </si>
  <si>
    <t>Chart auf eigener Seite</t>
  </si>
  <si>
    <t>Sortierung Chart</t>
  </si>
  <si>
    <t>Berechnung der Diff Formel</t>
  </si>
  <si>
    <t>Farben Chart</t>
  </si>
  <si>
    <t>Anouncer Info Judges bei weniger wie 8 Spielern</t>
  </si>
  <si>
    <t>General Impression</t>
  </si>
  <si>
    <t>Best 8 Results</t>
  </si>
  <si>
    <t># of Events</t>
  </si>
  <si>
    <t>Paul Kenny</t>
  </si>
  <si>
    <t>Jake Gauthier</t>
  </si>
  <si>
    <t>Arthur Coddington</t>
  </si>
  <si>
    <t>Matt Gauthier</t>
  </si>
  <si>
    <t>James Wiseman</t>
  </si>
  <si>
    <t>Randy Silvey</t>
  </si>
  <si>
    <t>Fabio Sanna</t>
  </si>
  <si>
    <t>Mehrdad Hosseinian</t>
  </si>
  <si>
    <t>Alex Leist</t>
  </si>
  <si>
    <t>Tom Leitner</t>
  </si>
  <si>
    <t>Ryan Young</t>
  </si>
  <si>
    <t>Marco Prati</t>
  </si>
  <si>
    <t>Philipp Krüger</t>
  </si>
  <si>
    <t>Larry Imperiale</t>
  </si>
  <si>
    <t>Daniel O'Neill</t>
  </si>
  <si>
    <t>Sascha Höhne</t>
  </si>
  <si>
    <t>Christian Lamred</t>
  </si>
  <si>
    <t>Fabio Nizzo</t>
  </si>
  <si>
    <t>Claudio Collerà</t>
  </si>
  <si>
    <t>Manuel Cesari</t>
  </si>
  <si>
    <t>Robert Dittrich</t>
  </si>
  <si>
    <t>Dave Murphy</t>
  </si>
  <si>
    <t>Balasz Major</t>
  </si>
  <si>
    <t>Jeff O'Brien</t>
  </si>
  <si>
    <t>Thomas Nötzel</t>
  </si>
  <si>
    <t>Bill Wright</t>
  </si>
  <si>
    <t>Dan Lustiger</t>
  </si>
  <si>
    <t>Emanuele Faustini</t>
  </si>
  <si>
    <t>Ilka Simon</t>
  </si>
  <si>
    <t>Dan Yarnell</t>
  </si>
  <si>
    <t>Irena Kulisanova</t>
  </si>
  <si>
    <t>Bianca Strunz</t>
  </si>
  <si>
    <t>Joakim Arveskär</t>
  </si>
  <si>
    <t>Jan Schreck</t>
  </si>
  <si>
    <t>Markus Hein</t>
  </si>
  <si>
    <t>Kolja Hannemann</t>
  </si>
  <si>
    <t>Antonio Piccione Cusmá</t>
  </si>
  <si>
    <t>Benjamin Edelmann</t>
  </si>
  <si>
    <t>Andrea Rimatori</t>
  </si>
  <si>
    <t>Toddy Brodeur</t>
  </si>
  <si>
    <t>Heiko Vogt</t>
  </si>
  <si>
    <t>Lisa Hunrichs</t>
  </si>
  <si>
    <t>Nico Schwarz</t>
  </si>
  <si>
    <t>Stefan Dünkel</t>
  </si>
  <si>
    <t>Dave Schiller</t>
  </si>
  <si>
    <t>Jay Moldenhauer</t>
  </si>
  <si>
    <t>Tom Goltz</t>
  </si>
  <si>
    <t>Andrea Dini</t>
  </si>
  <si>
    <t>Reto Zimmerman</t>
  </si>
  <si>
    <t>Waldemar Wagner</t>
  </si>
  <si>
    <t>Anton Capellmann</t>
  </si>
  <si>
    <t>Andrea Meola</t>
  </si>
  <si>
    <t>Pavel Baranyk</t>
  </si>
  <si>
    <t>Jan Soerensen</t>
  </si>
  <si>
    <t>Jan Zverina</t>
  </si>
  <si>
    <t>Sophie Wolf</t>
  </si>
  <si>
    <t>Emma Kahle</t>
  </si>
  <si>
    <t>Valerio Occorsio</t>
  </si>
  <si>
    <t>Marc Pestotnik</t>
  </si>
  <si>
    <t>Chuck Richard</t>
  </si>
  <si>
    <t>Jens Friebe</t>
  </si>
  <si>
    <t>Johanna Matthiä</t>
  </si>
  <si>
    <t>Carlos Lopez</t>
  </si>
  <si>
    <t>Fabian Dinklage</t>
  </si>
  <si>
    <t>Eleonora Imazio</t>
  </si>
  <si>
    <t>Jonathan Kriss</t>
  </si>
  <si>
    <t>Rainer Doerr</t>
  </si>
  <si>
    <t>Dominique Weissenberger</t>
  </si>
  <si>
    <t>Marco Fera</t>
  </si>
  <si>
    <t>Jonathan Willett</t>
  </si>
  <si>
    <t>Fabrizio Nicco</t>
  </si>
  <si>
    <t>Dario Marioni</t>
  </si>
  <si>
    <t>Markus Goetz</t>
  </si>
  <si>
    <t>Lori Daniels</t>
  </si>
  <si>
    <t>Andrea Sarti</t>
  </si>
  <si>
    <t>Edoardo Favorini</t>
  </si>
  <si>
    <t>Tony Pellicane</t>
  </si>
  <si>
    <t>Sascha Scherzinger</t>
  </si>
  <si>
    <t>Alessandro Damiano</t>
  </si>
  <si>
    <t>Gianluca Giglio</t>
  </si>
  <si>
    <t>Andrea Pecchiari</t>
  </si>
  <si>
    <t>Ryuichi Suzuki</t>
  </si>
  <si>
    <t>Andrea Poli</t>
  </si>
  <si>
    <t>Cindy St. Mary</t>
  </si>
  <si>
    <t>Greg Marter</t>
  </si>
  <si>
    <t>Rodney Sanchez</t>
  </si>
  <si>
    <t>Daniel Weinbruch</t>
  </si>
  <si>
    <t>Kimitoshi Murakami</t>
  </si>
  <si>
    <t>Michal Maciolek</t>
  </si>
  <si>
    <t>Matteo Feller</t>
  </si>
  <si>
    <t>Marco Chessa</t>
  </si>
  <si>
    <t>Andreas Jaderyd</t>
  </si>
  <si>
    <t>Steve Scannell</t>
  </si>
  <si>
    <t>Anna Bragagnolo</t>
  </si>
  <si>
    <t>Mike Galloupe</t>
  </si>
  <si>
    <t>Jens Velasquez</t>
  </si>
  <si>
    <t>Chris Bellaj</t>
  </si>
  <si>
    <t>Andrea Ludergnani</t>
  </si>
  <si>
    <t>Lorenzo Telo</t>
  </si>
  <si>
    <t>Udo Engeter</t>
  </si>
  <si>
    <t>Johnny Trevino</t>
  </si>
  <si>
    <t>John Titcomb</t>
  </si>
  <si>
    <t>Roberto Borghesi</t>
  </si>
  <si>
    <t>Rafael von der Grün</t>
  </si>
  <si>
    <t>Tobias Burzan</t>
  </si>
  <si>
    <t>Francesco Lucci</t>
  </si>
  <si>
    <t>Mike Beckman</t>
  </si>
  <si>
    <t>Lorenzo Modarelli</t>
  </si>
  <si>
    <t>Jakub Hosek</t>
  </si>
  <si>
    <t>Raphael Legrand</t>
  </si>
  <si>
    <t>Mikey Reid</t>
  </si>
  <si>
    <t>Pepyn Tavernier</t>
  </si>
  <si>
    <t>Pat Marron</t>
  </si>
  <si>
    <t>Philipp Luniak</t>
  </si>
  <si>
    <t>Raffaele Pilla</t>
  </si>
  <si>
    <t>Erwin Velasquez</t>
  </si>
  <si>
    <t>Jakub Matula</t>
  </si>
  <si>
    <t>Carsten Heim</t>
  </si>
  <si>
    <t>Andrea Marciano</t>
  </si>
  <si>
    <t>Fabio Caruso</t>
  </si>
  <si>
    <t>Fabiana Ciciriello</t>
  </si>
  <si>
    <t>Philipp Maubach</t>
  </si>
  <si>
    <t>Claudio Cigna</t>
  </si>
  <si>
    <t>Francesco Romeo</t>
  </si>
  <si>
    <t>Konrad Patris</t>
  </si>
  <si>
    <t>Gerry Geare</t>
  </si>
  <si>
    <t>Rob Fried</t>
  </si>
  <si>
    <t>Darryl Allen</t>
  </si>
  <si>
    <t>Masaki Hirashima</t>
  </si>
  <si>
    <t>Fabio Vinciguerra</t>
  </si>
  <si>
    <t>Jan Zahradnicek</t>
  </si>
  <si>
    <t>Lina Dittrich</t>
  </si>
  <si>
    <t>Harvey Brandt</t>
  </si>
  <si>
    <t>Jiri Weiss</t>
  </si>
  <si>
    <t>Claudio Massaro</t>
  </si>
  <si>
    <t>Yujiro Suzuki</t>
  </si>
  <si>
    <t>Paolo Mirabelli</t>
  </si>
  <si>
    <t>Randy Lahm</t>
  </si>
  <si>
    <t>Mattia Lambertini</t>
  </si>
  <si>
    <t>Mirco Zanchetta</t>
  </si>
  <si>
    <t>Jan Ekman</t>
  </si>
  <si>
    <t>Stefan Karlsson</t>
  </si>
  <si>
    <t>Andres Rivera</t>
  </si>
  <si>
    <t>Luca Mazzucato</t>
  </si>
  <si>
    <t>Judith Hess</t>
  </si>
  <si>
    <t>Harald Skomroch</t>
  </si>
  <si>
    <t>Tim Pattberg</t>
  </si>
  <si>
    <t>Fabrizio De Rossi</t>
  </si>
  <si>
    <t>Carl Dobson</t>
  </si>
  <si>
    <t>Rick Williams</t>
  </si>
  <si>
    <t>Takeru Okamura</t>
  </si>
  <si>
    <t>Tomoyuki Katakura</t>
  </si>
  <si>
    <t>Mayumi Suzuki</t>
  </si>
  <si>
    <t>Joel Rogers</t>
  </si>
  <si>
    <t>Daniele Circensi</t>
  </si>
  <si>
    <t>Conrad Damon</t>
  </si>
  <si>
    <t>Dave Hesselberth</t>
  </si>
  <si>
    <t>Niki Thoma</t>
  </si>
  <si>
    <t>David Tomiak</t>
  </si>
  <si>
    <t>Pablo Azul</t>
  </si>
  <si>
    <t>Serge Marconi</t>
  </si>
  <si>
    <t>Tobias Gebert</t>
  </si>
  <si>
    <t>Andrea Girodo</t>
  </si>
  <si>
    <t>Dave Zeff</t>
  </si>
  <si>
    <t>Steffen Verstichelen</t>
  </si>
  <si>
    <t>Santiago Sepulveda</t>
  </si>
  <si>
    <t>Jason Salkey</t>
  </si>
  <si>
    <t>Ian Schwarz</t>
  </si>
  <si>
    <t>Roger Meier</t>
  </si>
  <si>
    <t>Charlene Powell</t>
  </si>
  <si>
    <t>Tom Cole</t>
  </si>
  <si>
    <t>Boguslaw Bul</t>
  </si>
  <si>
    <t>Katrin Schmeisser</t>
  </si>
  <si>
    <t>Tomas Burvall</t>
  </si>
  <si>
    <t>Korneliusz Zagórski</t>
  </si>
  <si>
    <t>Carl Emerson</t>
  </si>
  <si>
    <t>Glen Whitlock</t>
  </si>
  <si>
    <t>Mike Esterbrook</t>
  </si>
  <si>
    <t>Jakub Kostel</t>
  </si>
  <si>
    <t>Tomas Olsson</t>
  </si>
  <si>
    <t>Per Persson</t>
  </si>
  <si>
    <t>Yohei Inoue</t>
  </si>
  <si>
    <t>Akito Ueda</t>
  </si>
  <si>
    <t>Lars Neumann</t>
  </si>
  <si>
    <t>Jack Cooksey</t>
  </si>
  <si>
    <t>Andrea Piemontese</t>
  </si>
  <si>
    <t>Niklas Bergehamn</t>
  </si>
  <si>
    <t>Dieter Johansson</t>
  </si>
  <si>
    <t>Matteo Gaddoni</t>
  </si>
  <si>
    <t>Juan Piercing</t>
  </si>
  <si>
    <t>Federico Iommi</t>
  </si>
  <si>
    <t>Alessandro Berra</t>
  </si>
  <si>
    <t>Gianluca Bertoncelli</t>
  </si>
  <si>
    <t>Amy Schiller</t>
  </si>
  <si>
    <t>Bob Boulware</t>
  </si>
  <si>
    <t>Syouri Oouchi</t>
  </si>
  <si>
    <t>Giovanni Coppo</t>
  </si>
  <si>
    <t>Nadine Klos</t>
  </si>
  <si>
    <t>Paolo Cipolloni</t>
  </si>
  <si>
    <t>Jonas Bengtsson</t>
  </si>
  <si>
    <t>Mauricio Mesa</t>
  </si>
  <si>
    <t>Andrea Izzo</t>
  </si>
  <si>
    <t>Kurt Walter</t>
  </si>
  <si>
    <t>Danny Cameranesi</t>
  </si>
  <si>
    <t>Doug Korns</t>
  </si>
  <si>
    <t>Daniel Nothaas</t>
  </si>
  <si>
    <t>Hayato Hikari</t>
  </si>
  <si>
    <t>Tomokazu Yamamoto</t>
  </si>
  <si>
    <t>Yutaka Harahsina</t>
  </si>
  <si>
    <t>Julia Schuster</t>
  </si>
  <si>
    <t>Philipp Ludwig</t>
  </si>
  <si>
    <t>Ondrej Kolega</t>
  </si>
  <si>
    <t>Daisuke Kuroda</t>
  </si>
  <si>
    <t>Bartek Dusowski</t>
  </si>
  <si>
    <t>Ayal Benin</t>
  </si>
  <si>
    <t>Josh Emerson</t>
  </si>
  <si>
    <t>Scott Weaver</t>
  </si>
  <si>
    <t>Francesco Paolacci</t>
  </si>
  <si>
    <t>Luca Sanso</t>
  </si>
  <si>
    <t>Sue Strait</t>
  </si>
  <si>
    <t>Gloria Alessandrini</t>
  </si>
  <si>
    <t>Mattias Nilsson</t>
  </si>
  <si>
    <t>Mark Regalbuti</t>
  </si>
  <si>
    <t>Mary Lowry</t>
  </si>
  <si>
    <t>Lukas Lacina</t>
  </si>
  <si>
    <t>Petri Isola</t>
  </si>
  <si>
    <t>Charles Logan</t>
  </si>
  <si>
    <t>Dario Giusti</t>
  </si>
  <si>
    <t>Rick Moody</t>
  </si>
  <si>
    <t>Craig Simon</t>
  </si>
  <si>
    <t>Lou Sumrall</t>
  </si>
  <si>
    <t>Gregory Lo-a-sjoe</t>
  </si>
  <si>
    <t>Anna Longoni</t>
  </si>
  <si>
    <t>Greyce Ayla D'avila Rosa</t>
  </si>
  <si>
    <t>Robert McLeod</t>
  </si>
  <si>
    <t>Rico Schneider</t>
  </si>
  <si>
    <t>Jeraume Fink</t>
  </si>
  <si>
    <t>Peter Henriksson</t>
  </si>
  <si>
    <t>Kei Kotani</t>
  </si>
  <si>
    <t>Mitsuru Udagawa</t>
  </si>
  <si>
    <t>Hunter Wootten</t>
  </si>
  <si>
    <t>Peter Karlsson</t>
  </si>
  <si>
    <t>Juan D. Ramirez</t>
  </si>
  <si>
    <t>Paul Klimek</t>
  </si>
  <si>
    <t>Hiroshi Yokota</t>
  </si>
  <si>
    <t>251T</t>
  </si>
  <si>
    <t>Hiroshi Oguri</t>
  </si>
  <si>
    <t>Hiroyuki Takeuchi</t>
  </si>
  <si>
    <t>Bob Cooksey</t>
  </si>
  <si>
    <t>Takahiko Yamamoto</t>
  </si>
  <si>
    <t>Edoardo Gargano</t>
  </si>
  <si>
    <t>Melanie Kranz</t>
  </si>
  <si>
    <t>Jochen Schleicher</t>
  </si>
  <si>
    <t>258T</t>
  </si>
  <si>
    <t>Masafumi Kanbe</t>
  </si>
  <si>
    <t>Peter Van Gool</t>
  </si>
  <si>
    <t>Alan Caplin</t>
  </si>
  <si>
    <t>Olmo Camarda</t>
  </si>
  <si>
    <t>Tom Lasher</t>
  </si>
  <si>
    <t>Naoki Maeda</t>
  </si>
  <si>
    <t>Tomoyuki Matsuki</t>
  </si>
  <si>
    <t>David Taylor</t>
  </si>
  <si>
    <t>Jakub Sedlak</t>
  </si>
  <si>
    <t>Marie Geare</t>
  </si>
  <si>
    <t>Manuel Viner</t>
  </si>
  <si>
    <t>273T</t>
  </si>
  <si>
    <t>Tito Andino</t>
  </si>
  <si>
    <t>Dave Steger</t>
  </si>
  <si>
    <t>Tim Mackey</t>
  </si>
  <si>
    <t>Don Wallace</t>
  </si>
  <si>
    <t>Scott Zimmerman</t>
  </si>
  <si>
    <t>Gohar Mossavar Rahmani</t>
  </si>
  <si>
    <t>Niloofar Mossavar Rahmani</t>
  </si>
  <si>
    <t>Stephan Stoll</t>
  </si>
  <si>
    <t>Matteo Ceresa</t>
  </si>
  <si>
    <t>Jhonatan Vanegas</t>
  </si>
  <si>
    <t>Florian Fessler</t>
  </si>
  <si>
    <t>Andrea Pietrangeli</t>
  </si>
  <si>
    <t>Lasse Schwarze</t>
  </si>
  <si>
    <t>Paul Brenner</t>
  </si>
  <si>
    <t>Koichi Hirano</t>
  </si>
  <si>
    <t>Seigo Suzuki</t>
  </si>
  <si>
    <t>Hiroyuki Takeno</t>
  </si>
  <si>
    <t>286T</t>
  </si>
  <si>
    <t>Andrea Stazi</t>
  </si>
  <si>
    <t>Danilo Torzolini</t>
  </si>
  <si>
    <t>Jason Urroz</t>
  </si>
  <si>
    <t>Yutaro Hirasawa</t>
  </si>
  <si>
    <t>Masatoshi Ishihara</t>
  </si>
  <si>
    <t>Keisuke Watanabe</t>
  </si>
  <si>
    <t>Stephanie Chan</t>
  </si>
  <si>
    <t>Alfonso Lopez Velez</t>
  </si>
  <si>
    <t>Iwan de Moor</t>
  </si>
  <si>
    <t>Urs Hardegger</t>
  </si>
  <si>
    <t>Magnus Gjerde Petersen</t>
  </si>
  <si>
    <t>Tobias Cole</t>
  </si>
  <si>
    <t>Chris Baker</t>
  </si>
  <si>
    <t>Enrique Ortiz</t>
  </si>
  <si>
    <t>Daisuke Shinkai</t>
  </si>
  <si>
    <t>Masahiro Takayama</t>
  </si>
  <si>
    <t>Kamil Calinski</t>
  </si>
  <si>
    <t>Maciek Grabowski</t>
  </si>
  <si>
    <t>Tomasz Hemerling</t>
  </si>
  <si>
    <t>Piotr Rasajewski</t>
  </si>
  <si>
    <t>Dan Schmitt</t>
  </si>
  <si>
    <t>Jean Marie Abel</t>
  </si>
  <si>
    <t>Geoff Gregory</t>
  </si>
  <si>
    <t>Megan Grilliot</t>
  </si>
  <si>
    <t>Jim Herrick</t>
  </si>
  <si>
    <t>Naim Megassabi</t>
  </si>
  <si>
    <t>Satoru Kondo</t>
  </si>
  <si>
    <t>Andreas Nogay</t>
  </si>
  <si>
    <t>Oliver Peters</t>
  </si>
  <si>
    <t>Kijo Yamashiro</t>
  </si>
  <si>
    <t>Jan Bäss</t>
  </si>
  <si>
    <t>Sven Köhn</t>
  </si>
  <si>
    <t>Andrew Lemann</t>
  </si>
  <si>
    <t>Julien Menetrat</t>
  </si>
  <si>
    <t>Jonathan Brandtberg</t>
  </si>
  <si>
    <t>Simone Nonnis</t>
  </si>
  <si>
    <t>Gery Németh</t>
  </si>
  <si>
    <t>Martina Biaglioli</t>
  </si>
  <si>
    <t>Bob Gossett</t>
  </si>
  <si>
    <t>Yousuke Suzuki</t>
  </si>
  <si>
    <t>Masao Yamaji</t>
  </si>
  <si>
    <t>John Weyand</t>
  </si>
  <si>
    <t>Radek Lenczewski</t>
  </si>
  <si>
    <t>Michal Roginski</t>
  </si>
  <si>
    <t>Peter Honzik</t>
  </si>
  <si>
    <t>Sam Kaye</t>
  </si>
  <si>
    <t>Jason McGlade</t>
  </si>
  <si>
    <t>Anna Merlo</t>
  </si>
  <si>
    <t>Hauke Raschen</t>
  </si>
  <si>
    <t>Jeff Shelton</t>
  </si>
  <si>
    <t>Jay Hinkle</t>
  </si>
  <si>
    <t>Mark Horn</t>
  </si>
  <si>
    <t>Santiago Cano</t>
  </si>
  <si>
    <t>Sebastian Cardenas</t>
  </si>
  <si>
    <t>Daniel Hernandez</t>
  </si>
  <si>
    <t>Andres Serna</t>
  </si>
  <si>
    <t>Bethany Sanchez</t>
  </si>
  <si>
    <t>Michael Clarke</t>
  </si>
  <si>
    <t>Chris Horn</t>
  </si>
  <si>
    <t>Katerina Pleskotova</t>
  </si>
  <si>
    <t>Drew Preiss</t>
  </si>
  <si>
    <t>Ken Reynolds</t>
  </si>
  <si>
    <t>Neil Toland</t>
  </si>
  <si>
    <t>Tita Ugalde</t>
  </si>
  <si>
    <t>Chris Koslowski</t>
  </si>
  <si>
    <t>Massimo Zampieri</t>
  </si>
  <si>
    <t>Dan Exelby</t>
  </si>
  <si>
    <t>Phoebe Lett</t>
  </si>
  <si>
    <t>John Elsner</t>
  </si>
  <si>
    <t>J Kaurt</t>
  </si>
  <si>
    <t>Rick Lebeau</t>
  </si>
  <si>
    <t>Jack Stanton</t>
  </si>
  <si>
    <t>Bryan Steffen</t>
  </si>
  <si>
    <t>Paul Thompson</t>
  </si>
  <si>
    <t>Ronnie Turner</t>
  </si>
  <si>
    <t>Philipp Stahl</t>
  </si>
  <si>
    <t>Michael Conger</t>
  </si>
  <si>
    <t>Thomas Jonasson</t>
  </si>
  <si>
    <t>Eduardo Suero</t>
  </si>
  <si>
    <t>Mikael Zewgren</t>
  </si>
  <si>
    <t>Jakub Zahradnicek</t>
  </si>
  <si>
    <t>Steve Stotter</t>
  </si>
  <si>
    <t>Paul Mondesire</t>
  </si>
  <si>
    <t>369T</t>
  </si>
  <si>
    <t>Lukas Prokop</t>
  </si>
  <si>
    <t>Dominik Raclavsky</t>
  </si>
  <si>
    <t>Jon Freedman</t>
  </si>
  <si>
    <t>Jack Herrick</t>
  </si>
  <si>
    <t>Spencer Herrick</t>
  </si>
  <si>
    <t>Jay Koonts</t>
  </si>
  <si>
    <t>Kalina Kisiliewska</t>
  </si>
  <si>
    <t>Luke Smalanskas</t>
  </si>
  <si>
    <t>Susie Horn</t>
  </si>
  <si>
    <t>Davis Johnson</t>
  </si>
  <si>
    <t>Christian Voigt</t>
  </si>
  <si>
    <t>Evan Wallberg</t>
  </si>
  <si>
    <t>Sandro Zanchetta</t>
  </si>
  <si>
    <t>Sören Dietrich</t>
  </si>
  <si>
    <t>Raj Mistry</t>
  </si>
  <si>
    <t>Brian Boate</t>
  </si>
  <si>
    <t>Tim Sahlit</t>
  </si>
  <si>
    <t>Tom Sahlit</t>
  </si>
  <si>
    <t>Jeff Korns</t>
  </si>
  <si>
    <t>Will Spaziani</t>
  </si>
  <si>
    <t>Katie Smith</t>
  </si>
  <si>
    <t>Andrea Festi</t>
  </si>
  <si>
    <t>Ziv Lavy</t>
  </si>
  <si>
    <t>Ermanno Mantovani</t>
  </si>
  <si>
    <t>Lukas Zimovcak</t>
  </si>
  <si>
    <t>Alice Tommazzini</t>
  </si>
  <si>
    <t>Martina Solarova</t>
  </si>
  <si>
    <t>Bernie Murray</t>
  </si>
  <si>
    <t>Tam Wolfe</t>
  </si>
  <si>
    <t xml:space="preserve"> (John - Amsterjam 2006)</t>
  </si>
  <si>
    <t>Fathi Abdelli</t>
  </si>
  <si>
    <t>TUN</t>
  </si>
  <si>
    <t>Hazma Abdelli</t>
  </si>
  <si>
    <t>Ofek Agmon</t>
  </si>
  <si>
    <t>Randy Aiu</t>
  </si>
  <si>
    <t>Alexander Alexandrov</t>
  </si>
  <si>
    <t>RUS</t>
  </si>
  <si>
    <t>Pablo Andres Mosquer</t>
  </si>
  <si>
    <t>Valerio Annarino</t>
  </si>
  <si>
    <t>Romeo Antonino</t>
  </si>
  <si>
    <t>Lorenzo Apriani</t>
  </si>
  <si>
    <t>Ilaria Aprile</t>
  </si>
  <si>
    <t>Mes Ardagna</t>
  </si>
  <si>
    <t>Andrea Arfilli</t>
  </si>
  <si>
    <t>Keith Armstrong</t>
  </si>
  <si>
    <t>Sergio Arrighi</t>
  </si>
  <si>
    <t>Antonio Attanasio</t>
  </si>
  <si>
    <t>Gary Auerbach</t>
  </si>
  <si>
    <t>Heinz Auferodt</t>
  </si>
  <si>
    <t>Arnon Avitzur</t>
  </si>
  <si>
    <t>Davide Bacco</t>
  </si>
  <si>
    <t>Johannes Bachauer</t>
  </si>
  <si>
    <t>Oliver Baczko</t>
  </si>
  <si>
    <t>Adrian Baer</t>
  </si>
  <si>
    <t>Dave Bailey</t>
  </si>
  <si>
    <t>Donny Baker</t>
  </si>
  <si>
    <t>Vanes Baldazzi</t>
  </si>
  <si>
    <t>Alberto Baldelli</t>
  </si>
  <si>
    <t>Edgardo Balzac</t>
  </si>
  <si>
    <t>Enrico Barsanti</t>
  </si>
  <si>
    <t>John Barsky</t>
  </si>
  <si>
    <t>Jacopo Battaglino</t>
  </si>
  <si>
    <t>Benedigt Becker</t>
  </si>
  <si>
    <t>Chip Bell</t>
  </si>
  <si>
    <t>Stefano Bellucci Sessa</t>
  </si>
  <si>
    <t>Sarah Bergman</t>
  </si>
  <si>
    <t>Annalisa Bergonzoni</t>
  </si>
  <si>
    <t>Carlotta Berini</t>
  </si>
  <si>
    <t>Jörg Berkel</t>
  </si>
  <si>
    <t>Dan Berman</t>
  </si>
  <si>
    <t>Nico Bernold</t>
  </si>
  <si>
    <t>Davide Bianchi</t>
  </si>
  <si>
    <t>Wayne Biever</t>
  </si>
  <si>
    <t>Brad Bishop</t>
  </si>
  <si>
    <t>Dennis Black</t>
  </si>
  <si>
    <t>Tom Blockhuys</t>
  </si>
  <si>
    <t>Rob Bochenek</t>
  </si>
  <si>
    <t>Luca Boehler</t>
  </si>
  <si>
    <t>Yannic Bofah</t>
  </si>
  <si>
    <t>Dave Bogenhagen</t>
  </si>
  <si>
    <t>Heather Bogenhagen</t>
  </si>
  <si>
    <t>Terry Bogenhagen</t>
  </si>
  <si>
    <t>Dave Bolyard</t>
  </si>
  <si>
    <t>Austin Borcherding</t>
  </si>
  <si>
    <t>Yaren Borcow</t>
  </si>
  <si>
    <t>Fernando Botrugno</t>
  </si>
  <si>
    <t>Riccardo Bovicelli</t>
  </si>
  <si>
    <t>Christoph Brack</t>
  </si>
  <si>
    <t>Paolo Braico</t>
  </si>
  <si>
    <t>Stefano Brancaleoni</t>
  </si>
  <si>
    <t>Sebastian Brandtberg</t>
  </si>
  <si>
    <t>Sabine Brehmer</t>
  </si>
  <si>
    <t>Tara Brenner</t>
  </si>
  <si>
    <t>Matt Brock</t>
  </si>
  <si>
    <t>Dan Burke</t>
  </si>
  <si>
    <t>Scott Burtard</t>
  </si>
  <si>
    <t>Kristina Cahojova</t>
  </si>
  <si>
    <t>Amy Campbell</t>
  </si>
  <si>
    <t>Ilaria Capobianco</t>
  </si>
  <si>
    <t>Antonio Caporale</t>
  </si>
  <si>
    <t>Phil Cappa</t>
  </si>
  <si>
    <t>Silvia Caruso</t>
  </si>
  <si>
    <t>Michele Casadei</t>
  </si>
  <si>
    <t>Filippo Cavalca</t>
  </si>
  <si>
    <t>Delia Centonze</t>
  </si>
  <si>
    <t>Jamie Chantiles</t>
  </si>
  <si>
    <t>Joel Charles</t>
  </si>
  <si>
    <t>Bill Chetel</t>
  </si>
  <si>
    <t>Francesca Chierici</t>
  </si>
  <si>
    <t>Sara Cintura</t>
  </si>
  <si>
    <t>Guy Clemente</t>
  </si>
  <si>
    <t>Tom Coffin</t>
  </si>
  <si>
    <t>Eddie Cohn</t>
  </si>
  <si>
    <t>Tim Cohn</t>
  </si>
  <si>
    <t>Hampus Colbrand</t>
  </si>
  <si>
    <t>Roger Cole</t>
  </si>
  <si>
    <t>Bob Coleman</t>
  </si>
  <si>
    <t>Jake Coleman</t>
  </si>
  <si>
    <t>Alessandro Collerá</t>
  </si>
  <si>
    <t>Sara Cordero</t>
  </si>
  <si>
    <t>Andrea Corizzo</t>
  </si>
  <si>
    <t>John Coxhead</t>
  </si>
  <si>
    <t>Dale Crawford</t>
  </si>
  <si>
    <t>Liliana Cruz</t>
  </si>
  <si>
    <t>Jacob Cuba</t>
  </si>
  <si>
    <t>Elena Dal Gesso</t>
  </si>
  <si>
    <t>Nicoló D'Ardia</t>
  </si>
  <si>
    <t>Ali Dastrandj</t>
  </si>
  <si>
    <t>AUT</t>
  </si>
  <si>
    <t>Marco De Lucia</t>
  </si>
  <si>
    <t>Justus Degener</t>
  </si>
  <si>
    <t>Janis Degenhardt</t>
  </si>
  <si>
    <t>Filippo Del Trappeto</t>
  </si>
  <si>
    <t>Caleb DePaola</t>
  </si>
  <si>
    <t>Charlotte DePaola</t>
  </si>
  <si>
    <t>Chris DePaola</t>
  </si>
  <si>
    <t>Merrill Detwiler</t>
  </si>
  <si>
    <t>Tobias Doehner</t>
  </si>
  <si>
    <t>Renae Donaldson</t>
  </si>
  <si>
    <t>Tristan Doshier</t>
  </si>
  <si>
    <t>Nate Doss</t>
  </si>
  <si>
    <t>Rik Downs</t>
  </si>
  <si>
    <t>Erik Drummond</t>
  </si>
  <si>
    <t>Roman Dubovsky</t>
  </si>
  <si>
    <t>Chris Dunaway</t>
  </si>
  <si>
    <t>John Dunaway</t>
  </si>
  <si>
    <t>MIlan Durkovic</t>
  </si>
  <si>
    <t>SLO</t>
  </si>
  <si>
    <t>Gary Edge</t>
  </si>
  <si>
    <t>Simon Emmerich</t>
  </si>
  <si>
    <t>Maurice Eugene</t>
  </si>
  <si>
    <t>Shawn Fallon</t>
  </si>
  <si>
    <t>Enrique Faria</t>
  </si>
  <si>
    <t>Mark Farrar</t>
  </si>
  <si>
    <t>Guglielmo Feis</t>
  </si>
  <si>
    <t>Jeff Fiedler</t>
  </si>
  <si>
    <t>Joe Fiedt</t>
  </si>
  <si>
    <t>Thorsten Fleissner</t>
  </si>
  <si>
    <t>Alessandro Fogazzi</t>
  </si>
  <si>
    <t>Tom Ford</t>
  </si>
  <si>
    <t>Davide Fortunati</t>
  </si>
  <si>
    <t>Martin Fransson</t>
  </si>
  <si>
    <t>Martina Frosini</t>
  </si>
  <si>
    <t>Kenshin Fujii</t>
  </si>
  <si>
    <t>Andrea Furlan</t>
  </si>
  <si>
    <t>Itay Gal</t>
  </si>
  <si>
    <t>Ramon Galliani</t>
  </si>
  <si>
    <t>Ivano Gallo</t>
  </si>
  <si>
    <t>Andrea Gallotti</t>
  </si>
  <si>
    <t>Felix Geipel</t>
  </si>
  <si>
    <t>Thomas Gereben</t>
  </si>
  <si>
    <t>Eric Gibbons</t>
  </si>
  <si>
    <t>Angela Goeller</t>
  </si>
  <si>
    <t>Anne Goh</t>
  </si>
  <si>
    <t>Fabrizio Gori</t>
  </si>
  <si>
    <t>Akihito Goto</t>
  </si>
  <si>
    <t>Christian Grau</t>
  </si>
  <si>
    <t>Dave Griffin</t>
  </si>
  <si>
    <t>Jen Griffin</t>
  </si>
  <si>
    <t>Oscar Grundström</t>
  </si>
  <si>
    <t>Hanna Gustafsson</t>
  </si>
  <si>
    <t>Sara Gustafsson</t>
  </si>
  <si>
    <t>Ricardo Guzman</t>
  </si>
  <si>
    <t>Karolina Hagenbjörk</t>
  </si>
  <si>
    <t>Tami Hamler</t>
  </si>
  <si>
    <t>Steve Hanes</t>
  </si>
  <si>
    <t>Marty Hapner</t>
  </si>
  <si>
    <t>Jesse Hawkins</t>
  </si>
  <si>
    <t>Steve Hays</t>
  </si>
  <si>
    <t>Blake Herrschaft</t>
  </si>
  <si>
    <t>Elke Herwick</t>
  </si>
  <si>
    <t>Mike Hettich</t>
  </si>
  <si>
    <t>Chris Hill</t>
  </si>
  <si>
    <t>Holger Hill</t>
  </si>
  <si>
    <t>André Hillman</t>
  </si>
  <si>
    <t>Larry Hinkle</t>
  </si>
  <si>
    <t>Motohiro Hirabayashi</t>
  </si>
  <si>
    <t>Oliver Hocker</t>
  </si>
  <si>
    <t>Ryan Hornickel</t>
  </si>
  <si>
    <t>Gregg Hosfeld</t>
  </si>
  <si>
    <t>Marek Hroch</t>
  </si>
  <si>
    <t>Carolyn Hubbard</t>
  </si>
  <si>
    <t>Steve Hubbard</t>
  </si>
  <si>
    <t>Joey Hudoklin</t>
  </si>
  <si>
    <t>Mike Hughes</t>
  </si>
  <si>
    <t>Matt Hull</t>
  </si>
  <si>
    <t>Jacqueline Hummel</t>
  </si>
  <si>
    <t>Alex Humphreys</t>
  </si>
  <si>
    <t>Jan Huybrechts</t>
  </si>
  <si>
    <t>Francesca Iasenzio</t>
  </si>
  <si>
    <t>Simone Italiano</t>
  </si>
  <si>
    <t>Phillip Jahnke</t>
  </si>
  <si>
    <t>Skippy Jammer</t>
  </si>
  <si>
    <t>Avery Jenkins</t>
  </si>
  <si>
    <t>Steve Jennings</t>
  </si>
  <si>
    <t>Lyle Jensen</t>
  </si>
  <si>
    <t>Ann-Charlotte Johansson</t>
  </si>
  <si>
    <t>Anders Johnsson</t>
  </si>
  <si>
    <t>Fady Kalo</t>
  </si>
  <si>
    <t>Billy Kaplan</t>
  </si>
  <si>
    <t>Bobbo Karlsson</t>
  </si>
  <si>
    <t>Roland Karlsson</t>
  </si>
  <si>
    <t>Charly Katzenmaier</t>
  </si>
  <si>
    <t>Brad Keller</t>
  </si>
  <si>
    <t>Jammer Mom Kenny</t>
  </si>
  <si>
    <t>Dave Kessler</t>
  </si>
  <si>
    <t>Micah Kiehl</t>
  </si>
  <si>
    <t>Cody Kirkland</t>
  </si>
  <si>
    <t>John Kirkland</t>
  </si>
  <si>
    <t>Henrik Klein</t>
  </si>
  <si>
    <t>Ari Kloke</t>
  </si>
  <si>
    <t>Martin Klopfer</t>
  </si>
  <si>
    <t>Stefanie Klos</t>
  </si>
  <si>
    <t>Rob Knapik</t>
  </si>
  <si>
    <t>Ronny Koch</t>
  </si>
  <si>
    <t>Kevin Konsorr</t>
  </si>
  <si>
    <t>Matej Kostel</t>
  </si>
  <si>
    <t>Dennis Kretschmer</t>
  </si>
  <si>
    <t>Silvia Kronmuller</t>
  </si>
  <si>
    <t>Jeff Kruger</t>
  </si>
  <si>
    <t>Krystian Krysinski</t>
  </si>
  <si>
    <t>Dave Kuettner</t>
  </si>
  <si>
    <t>Paul Kuffel</t>
  </si>
  <si>
    <t>Fabrizio La Mura</t>
  </si>
  <si>
    <t>Toufik Lamred</t>
  </si>
  <si>
    <t>Stuart Landsee</t>
  </si>
  <si>
    <t>John Langan</t>
  </si>
  <si>
    <t>Peter Laubert</t>
  </si>
  <si>
    <t>Christophe Legendre</t>
  </si>
  <si>
    <t>Zeno Legner</t>
  </si>
  <si>
    <t>Florian Leist</t>
  </si>
  <si>
    <t>Frank Lejeune</t>
  </si>
  <si>
    <t>Birgit Lenger</t>
  </si>
  <si>
    <t>Dave Lewis</t>
  </si>
  <si>
    <t>Davide Livi</t>
  </si>
  <si>
    <t>Simone Lo Giudice</t>
  </si>
  <si>
    <t>Bart Lodewijk</t>
  </si>
  <si>
    <t>Ot Loetlam</t>
  </si>
  <si>
    <t>THA</t>
  </si>
  <si>
    <t>Gino Lucia</t>
  </si>
  <si>
    <t>Andrea Lugli</t>
  </si>
  <si>
    <t>Carlo Lupin</t>
  </si>
  <si>
    <t>Bram Maassen</t>
  </si>
  <si>
    <t>Ricardo Macari</t>
  </si>
  <si>
    <t>Dan Magallanes</t>
  </si>
  <si>
    <t>Paolo Magni</t>
  </si>
  <si>
    <t>Lilla Major</t>
  </si>
  <si>
    <t>Zuzana Mala</t>
  </si>
  <si>
    <t>Daniele Malaguzzi</t>
  </si>
  <si>
    <t>Angelo Mancarella</t>
  </si>
  <si>
    <t>Claudio Marana</t>
  </si>
  <si>
    <t>Stefano Maroli</t>
  </si>
  <si>
    <t>Alan Martinez</t>
  </si>
  <si>
    <t>Stepan Materna</t>
  </si>
  <si>
    <t>Mat'o Kalnik</t>
  </si>
  <si>
    <t>Yuki Matsushita-Gebert</t>
  </si>
  <si>
    <t>Mario Mayer</t>
  </si>
  <si>
    <t>Joe McCrave</t>
  </si>
  <si>
    <t>Curran McCrory</t>
  </si>
  <si>
    <t>Luca Medri</t>
  </si>
  <si>
    <t>Mauro Mercuri</t>
  </si>
  <si>
    <t>Oren Meron</t>
  </si>
  <si>
    <t>Jan Mertens</t>
  </si>
  <si>
    <t>Laurent Mess</t>
  </si>
  <si>
    <t>Gabriele Micciola</t>
  </si>
  <si>
    <t>Cotter Michaels</t>
  </si>
  <si>
    <t>Alexander Michnewitsch</t>
  </si>
  <si>
    <t>Terry Miller</t>
  </si>
  <si>
    <t>Henrik Montin</t>
  </si>
  <si>
    <t>Russell Moore</t>
  </si>
  <si>
    <t>Riccardo Morelli</t>
  </si>
  <si>
    <t>Valerio Morossi</t>
  </si>
  <si>
    <t>Marie Murphy</t>
  </si>
  <si>
    <t>Zach Murphy</t>
  </si>
  <si>
    <t>Sammy Neilson</t>
  </si>
  <si>
    <t>Cristina Nicolardi</t>
  </si>
  <si>
    <t>Syunnichi Noda</t>
  </si>
  <si>
    <t>Ted Oberhaus</t>
  </si>
  <si>
    <t>Otto Oehring</t>
  </si>
  <si>
    <t>Hiroshi Okano</t>
  </si>
  <si>
    <t>Regina Olnils</t>
  </si>
  <si>
    <t>John O'Malley</t>
  </si>
  <si>
    <t>Ferenc Orosz</t>
  </si>
  <si>
    <t>Michel Otte</t>
  </si>
  <si>
    <t>Victor Ouzoonian</t>
  </si>
  <si>
    <t>Bruce Page</t>
  </si>
  <si>
    <t>Jeff Palmieri</t>
  </si>
  <si>
    <t>Jim Palmieri</t>
  </si>
  <si>
    <t>Kevin Palmieri</t>
  </si>
  <si>
    <t>Cosmi Palmisano</t>
  </si>
  <si>
    <t>Paolo Papini</t>
  </si>
  <si>
    <t>Renee Pardo</t>
  </si>
  <si>
    <t>Konstantin Patsalides</t>
  </si>
  <si>
    <t>Hans Peeters</t>
  </si>
  <si>
    <t>Fabio Percario</t>
  </si>
  <si>
    <t>Carlo Perrone</t>
  </si>
  <si>
    <t>Stina Persson</t>
  </si>
  <si>
    <t>Ryan Peterson</t>
  </si>
  <si>
    <t>Claudio Petro</t>
  </si>
  <si>
    <t>Stefano Pieroni</t>
  </si>
  <si>
    <t>Claudio Pietranelli</t>
  </si>
  <si>
    <t>Roberto Pizzi</t>
  </si>
  <si>
    <t>Lucie Plevova</t>
  </si>
  <si>
    <t>Dean Porter</t>
  </si>
  <si>
    <t>Massimo Possenti</t>
  </si>
  <si>
    <t>Emidio Prosperi</t>
  </si>
  <si>
    <t>Alessandro Provitali</t>
  </si>
  <si>
    <t>Andrew Quinn</t>
  </si>
  <si>
    <t>Pat Rabdau</t>
  </si>
  <si>
    <t>Noah Reckhard</t>
  </si>
  <si>
    <t>Daniel Reichert</t>
  </si>
  <si>
    <t>Chris Reynolds</t>
  </si>
  <si>
    <t>Walter Reynolds</t>
  </si>
  <si>
    <t>Greg Riley</t>
  </si>
  <si>
    <t>Scott Riley</t>
  </si>
  <si>
    <t>Giuseppe Rizzo</t>
  </si>
  <si>
    <t>Judy Robbins</t>
  </si>
  <si>
    <t>Tom Robideau</t>
  </si>
  <si>
    <t>Dan Roddick</t>
  </si>
  <si>
    <t>Omer Rosenbaum</t>
  </si>
  <si>
    <t>Peter Rujan</t>
  </si>
  <si>
    <t>Mike Ruzicka</t>
  </si>
  <si>
    <t>Chris Ryan</t>
  </si>
  <si>
    <t>Peter Ryan</t>
  </si>
  <si>
    <t>Rick Sader</t>
  </si>
  <si>
    <t>Pavel Safar</t>
  </si>
  <si>
    <t>Fred Salaz</t>
  </si>
  <si>
    <t>Jon Salchert</t>
  </si>
  <si>
    <t>Daniele Sancini</t>
  </si>
  <si>
    <t>Johan Sandell</t>
  </si>
  <si>
    <t>Mattias Sandkvist</t>
  </si>
  <si>
    <t>Dvir Sanela</t>
  </si>
  <si>
    <t>Davide Sanna</t>
  </si>
  <si>
    <t>Marco Sanna</t>
  </si>
  <si>
    <t>Riccardo Sanna</t>
  </si>
  <si>
    <t>Rabah Sbitani</t>
  </si>
  <si>
    <t>Dario Scaramucci</t>
  </si>
  <si>
    <t>Jonas Schaefers</t>
  </si>
  <si>
    <t>Victoria Schätzle</t>
  </si>
  <si>
    <t>John Schiller</t>
  </si>
  <si>
    <t>Max Schmidt</t>
  </si>
  <si>
    <t>Wolfgang Schöffel</t>
  </si>
  <si>
    <t>Corina Schusfer</t>
  </si>
  <si>
    <t>Ennio Scrimieri</t>
  </si>
  <si>
    <t>Massimo Segale</t>
  </si>
  <si>
    <t>Monika Selecka</t>
  </si>
  <si>
    <t>Davide Serlenga</t>
  </si>
  <si>
    <t>Lorenzo Sforza</t>
  </si>
  <si>
    <t>Mattie Shelton</t>
  </si>
  <si>
    <t>Chris Sieben</t>
  </si>
  <si>
    <t>Paul Siefert</t>
  </si>
  <si>
    <t>Stefan Siegert</t>
  </si>
  <si>
    <t>Vico Silano</t>
  </si>
  <si>
    <t>Doug Simon</t>
  </si>
  <si>
    <t>Benni Sing</t>
  </si>
  <si>
    <t>Ben Singer</t>
  </si>
  <si>
    <t>Paul Smith</t>
  </si>
  <si>
    <t>Yuriko Sobue</t>
  </si>
  <si>
    <t>Pete Sontag</t>
  </si>
  <si>
    <t>Daniel Sorgatz</t>
  </si>
  <si>
    <t>Holger Sorgatz</t>
  </si>
  <si>
    <t>Marygrace Sorrentino</t>
  </si>
  <si>
    <t>Jim Spencer</t>
  </si>
  <si>
    <t>Martin Stadler</t>
  </si>
  <si>
    <t>Scott Starr</t>
  </si>
  <si>
    <t>Katie Stauss</t>
  </si>
  <si>
    <t>Fabrizio Stefano</t>
  </si>
  <si>
    <t>Cedrik Stevens</t>
  </si>
  <si>
    <t>Anna Strait</t>
  </si>
  <si>
    <t>Jan Struz</t>
  </si>
  <si>
    <t>Sten Sturefeldt</t>
  </si>
  <si>
    <t>Roberto Suffanti</t>
  </si>
  <si>
    <t>Iva Svrchokrylova</t>
  </si>
  <si>
    <t>Luigina Tasini</t>
  </si>
  <si>
    <t>Yumiko Tauchi</t>
  </si>
  <si>
    <t>Ryan Taygan</t>
  </si>
  <si>
    <t>Joe Teronde</t>
  </si>
  <si>
    <t>Will Thoren</t>
  </si>
  <si>
    <t>Bjorn Tiggis</t>
  </si>
  <si>
    <t>Rohre Titcomb</t>
  </si>
  <si>
    <t>Vehro Titcomb</t>
  </si>
  <si>
    <t>Xtehn Titcomb</t>
  </si>
  <si>
    <t>Zahlen Titcomb</t>
  </si>
  <si>
    <t>Tommaso Tondo</t>
  </si>
  <si>
    <t>Linda Torngren</t>
  </si>
  <si>
    <t>Felipe Torres</t>
  </si>
  <si>
    <t>Melissa Trail</t>
  </si>
  <si>
    <t>Kevin Traver</t>
  </si>
  <si>
    <t>Alexander Trenner</t>
  </si>
  <si>
    <t>Luca Trotta</t>
  </si>
  <si>
    <t>Mark Trout</t>
  </si>
  <si>
    <t>Juro Turan</t>
  </si>
  <si>
    <t>SVK</t>
  </si>
  <si>
    <t>Marc Uhlig</t>
  </si>
  <si>
    <t>Kerstin Ulrich</t>
  </si>
  <si>
    <t>Fabrizio Valenti</t>
  </si>
  <si>
    <t>Andrew Van Lanen</t>
  </si>
  <si>
    <t>Jim Van Lanen</t>
  </si>
  <si>
    <t>Todd Van Osdol</t>
  </si>
  <si>
    <t>Jozef Vanco</t>
  </si>
  <si>
    <t>Jason Varvaro</t>
  </si>
  <si>
    <t>Alessandro Vinciguerra</t>
  </si>
  <si>
    <t>Ron Vingerelli</t>
  </si>
  <si>
    <t>Ryan Vinoski</t>
  </si>
  <si>
    <t>Steve Vinoski</t>
  </si>
  <si>
    <t>Monika Vogt</t>
  </si>
  <si>
    <t>Alena Vojtekova</t>
  </si>
  <si>
    <t>Mirko Vosen</t>
  </si>
  <si>
    <t>Diana Vrbic</t>
  </si>
  <si>
    <t>Philipp Wacholz</t>
  </si>
  <si>
    <t>Mathias Wagner</t>
  </si>
  <si>
    <t>Hartmut Wahrmann</t>
  </si>
  <si>
    <t>Adrian Wainwright</t>
  </si>
  <si>
    <t>Josh Walton</t>
  </si>
  <si>
    <t>Matt Watenpoole</t>
  </si>
  <si>
    <t>Ross Weatherbee</t>
  </si>
  <si>
    <t>Dominik Weber</t>
  </si>
  <si>
    <t>Stefan Weinreich</t>
  </si>
  <si>
    <t>Pontus Welin</t>
  </si>
  <si>
    <t>Brad Wendt</t>
  </si>
  <si>
    <t>Sune Wentzel</t>
  </si>
  <si>
    <t>David Werner</t>
  </si>
  <si>
    <t>Willeye Williams</t>
  </si>
  <si>
    <t>Merle Witvoet</t>
  </si>
  <si>
    <t>Jascha Wollman</t>
  </si>
  <si>
    <t>Eric Wootten</t>
  </si>
  <si>
    <t>Randy Wylot</t>
  </si>
  <si>
    <t>Kana Yamamoto</t>
  </si>
  <si>
    <t>Dori Yaniv</t>
  </si>
  <si>
    <t>Kaili Young</t>
  </si>
  <si>
    <t>Manuel Zach</t>
  </si>
  <si>
    <t>Eugenio Zaffarano</t>
  </si>
  <si>
    <t>Adam Zambo</t>
  </si>
  <si>
    <t>Adrian Zeitner</t>
  </si>
  <si>
    <t>Alena Zemanova</t>
  </si>
  <si>
    <t>Sarah Ziegler</t>
  </si>
  <si>
    <t>Leander Zimmerman</t>
  </si>
  <si>
    <t>Emilia Zoila</t>
  </si>
  <si>
    <t>Mary Zurn</t>
  </si>
  <si>
    <t>Mindy Ahler</t>
  </si>
  <si>
    <t>Connie Bond</t>
  </si>
  <si>
    <t>Marygrace Clark</t>
  </si>
  <si>
    <t>Louie Cohn</t>
  </si>
  <si>
    <t>Diana Elsner</t>
  </si>
  <si>
    <t>Heather Gray</t>
  </si>
  <si>
    <t>Aya Ichikawa</t>
  </si>
  <si>
    <t>Yukari Komatsu</t>
  </si>
  <si>
    <t>Juliana Korver</t>
  </si>
  <si>
    <t>Christina Kunze</t>
  </si>
  <si>
    <t>Jeannette Ortiz</t>
  </si>
  <si>
    <t>Art Viger</t>
  </si>
  <si>
    <t>Alejandra Estrada</t>
  </si>
  <si>
    <t>Jessica Ladoé</t>
  </si>
  <si>
    <t>Beth Verish</t>
  </si>
  <si>
    <t>Mark bonus  for consecutivity with + in the first row</t>
  </si>
  <si>
    <t>Sum / 6</t>
  </si>
  <si>
    <t>Freddy Finner</t>
  </si>
  <si>
    <t>Toby Künzel</t>
  </si>
  <si>
    <t>Jörg Wunder</t>
  </si>
  <si>
    <t>Björn Ahlström</t>
  </si>
  <si>
    <t>Andrea Mizzi</t>
  </si>
  <si>
    <t>Allan Clark</t>
  </si>
  <si>
    <t>Eitan Labinaz</t>
  </si>
  <si>
    <t>Federico Bianchini</t>
  </si>
  <si>
    <t>Federico Bon</t>
  </si>
  <si>
    <t>325T</t>
  </si>
  <si>
    <t>350T</t>
  </si>
  <si>
    <t>359T</t>
  </si>
  <si>
    <t>Kate Gester</t>
  </si>
  <si>
    <t>0.0 - 60.0</t>
  </si>
  <si>
    <t>Alexander Wegner (Enhuber?)</t>
  </si>
  <si>
    <t>Jim Elsner</t>
  </si>
  <si>
    <t>224T</t>
  </si>
  <si>
    <t>Don Hunkel</t>
  </si>
  <si>
    <t>253T</t>
  </si>
  <si>
    <t>Joao Veiga</t>
  </si>
  <si>
    <t>POR</t>
  </si>
  <si>
    <t>Andreas Bochmann</t>
  </si>
  <si>
    <t>Lauren Braaksma</t>
  </si>
  <si>
    <t>Barrett White</t>
  </si>
  <si>
    <t>Birger Schmidt</t>
  </si>
  <si>
    <t>288T</t>
  </si>
  <si>
    <t>290T</t>
  </si>
  <si>
    <t>299T</t>
  </si>
  <si>
    <t>292T</t>
  </si>
  <si>
    <t>Adam Perry</t>
  </si>
  <si>
    <t>Keith Kleiner</t>
  </si>
  <si>
    <t>315T</t>
  </si>
  <si>
    <t>Sophie Rickers</t>
  </si>
  <si>
    <t>Jaden Paul</t>
  </si>
  <si>
    <t>Stefan Frehland</t>
  </si>
  <si>
    <t>Tanja Ritterhaus</t>
  </si>
  <si>
    <t>Tom Carlos Schuster</t>
  </si>
  <si>
    <t>Dennis Vollmer</t>
  </si>
  <si>
    <t>Manuel Enders</t>
  </si>
  <si>
    <t>Theo Liegle</t>
  </si>
  <si>
    <t>Henrik Wahlman</t>
  </si>
  <si>
    <t>241T</t>
  </si>
  <si>
    <t>Rui Pires</t>
  </si>
  <si>
    <t>Lindsay Sweeten</t>
  </si>
  <si>
    <t>367T</t>
  </si>
  <si>
    <t>380T</t>
  </si>
  <si>
    <t>Fredrik Bodell</t>
  </si>
  <si>
    <t>Michael Hu</t>
  </si>
  <si>
    <t>TPE</t>
  </si>
  <si>
    <t>Johan Stensmar</t>
  </si>
  <si>
    <t>392T</t>
  </si>
  <si>
    <t>Albin Lindblad</t>
  </si>
  <si>
    <t>Fabian Lindblad</t>
  </si>
  <si>
    <t>Anton Kappling</t>
  </si>
  <si>
    <t>Randy Lahm jr.</t>
  </si>
  <si>
    <t>400T</t>
  </si>
  <si>
    <t>824T</t>
  </si>
  <si>
    <t>872T</t>
  </si>
  <si>
    <t>856T</t>
  </si>
  <si>
    <t>Anneli André</t>
  </si>
  <si>
    <t>Frida Högberg</t>
  </si>
  <si>
    <t>883T</t>
  </si>
  <si>
    <t>New Tournaments this month:</t>
  </si>
  <si>
    <t>2015 WFDF World Overall Flying Disc Championships - Women</t>
  </si>
  <si>
    <t>2015 WFDF World Overall Flying Disc Championships - Open Pairs, Juniors</t>
  </si>
  <si>
    <t>123Four Seasons Hat Tournament - Edition Summer 2015 - Random Open</t>
  </si>
  <si>
    <t>40th Annual Wisconsin State Overall Flying Disc Tournament - Open Pairs, Juniors</t>
  </si>
  <si>
    <t>Tournaments included:</t>
  </si>
  <si>
    <t>123four Seasons Hat Tournament - Edition Summer 2015 - Random Open</t>
  </si>
  <si>
    <t>2015 FPAW - Mixed Pairs</t>
  </si>
  <si>
    <t>2015 FPAW - Women Pairs</t>
  </si>
  <si>
    <t>2015 FPAW - Open Co-op</t>
  </si>
  <si>
    <t>2015 FPAW - Open Pairs</t>
  </si>
  <si>
    <t>2015 Bollenhut - Random Pairs</t>
  </si>
  <si>
    <t>2015 EFC - Women Pairs</t>
  </si>
  <si>
    <t>2015 EFC - Mixed Pairs</t>
  </si>
  <si>
    <t>2015 EFC - Pairs, Co-op</t>
  </si>
  <si>
    <t>2015 The Jammers - Mixed Pairs</t>
  </si>
  <si>
    <t>2015 The Jammers - Open</t>
  </si>
  <si>
    <t>2015 German Open - Mixed Pairs</t>
  </si>
  <si>
    <t>2015 German Open - Pairs, Co-op</t>
  </si>
  <si>
    <t>1234-Seasons Hat - Edition Spring 2015 - Random Co-op</t>
  </si>
  <si>
    <t>2015 Bibione - Italian Open Challenge - Mixed</t>
  </si>
  <si>
    <t>2015 Bibione - Italian Open Challenge - Pairs, Co-op</t>
  </si>
  <si>
    <t>2015 Jampionsleague - Open Pairs</t>
  </si>
  <si>
    <t>2015 Virginia States - Open</t>
  </si>
  <si>
    <t>2015 Paganello - Pairs, Co-op</t>
  </si>
  <si>
    <t>2015 Ocean Beach Wintershred - Pairs</t>
  </si>
  <si>
    <t>2015 Frisbeer Cup - Mixed</t>
  </si>
  <si>
    <t>2015 Frisbeer Cup - Open Pairs, Co-op</t>
  </si>
  <si>
    <t>2015 Berlin Hat - Winter Edition - Random Open Pairs</t>
  </si>
  <si>
    <t>2014 Lazzaroni - Open Pairs, Co-op</t>
  </si>
  <si>
    <t>2014 American Freestyle Championship - Women</t>
  </si>
  <si>
    <t>2014 American Freestyle Championship - Mixed</t>
  </si>
  <si>
    <t>2014 American Freestyle Championship - Pairs, Co-op</t>
  </si>
  <si>
    <t>Ilkas Birthday Hat - Random Open Pairs</t>
  </si>
  <si>
    <t>2014 Anzio Jam - Open Pairs</t>
  </si>
  <si>
    <t>2014 Berlin Hat - Fall Edition - Random Open Pairs</t>
  </si>
  <si>
    <t>2014 Torino Street Style - Open Pairs, Co-op</t>
  </si>
  <si>
    <t>2014 Sandslash - Open Pairs, Co-op</t>
  </si>
  <si>
    <t>2014 Japan Overall - Open Pairs, Challenge (Amateurs)</t>
  </si>
  <si>
    <t>2014 Butch Cassidy Cup - Open Pairs</t>
  </si>
  <si>
    <t>2014 FPA Worlds - Women</t>
  </si>
  <si>
    <t>2014 FPA Worlds - Mixed</t>
  </si>
  <si>
    <t>2014 FPA Worlds - Co-op</t>
  </si>
  <si>
    <t>2014 FPA Worlds - Pairs</t>
  </si>
  <si>
    <t>2014 US Open Overall  - Women</t>
  </si>
  <si>
    <t>2014 US Open Overall  - Open</t>
  </si>
  <si>
    <t>123 Four Seasons Hat - Summer 2014 Edition - Hat</t>
  </si>
  <si>
    <t>2014 Potlatch - Open Pairs</t>
  </si>
  <si>
    <t>2014 Amsterjam - Open Pairs</t>
  </si>
  <si>
    <t>2014 Mountain Alternative Open - Pairs, Co-op</t>
  </si>
  <si>
    <t>2014 Jammers - Mixed</t>
  </si>
  <si>
    <t>2014 Jammers - Open</t>
  </si>
  <si>
    <t>2014 German Championships - Mixed</t>
  </si>
  <si>
    <t>2014 German Championships - Pairs, Co-op</t>
  </si>
  <si>
    <t>2014 EFC - Rome - Women</t>
  </si>
  <si>
    <t>2014 EFC - Rome - Mixed</t>
  </si>
  <si>
    <t>2014 EFC - Rome - Pairs, Co-op</t>
  </si>
  <si>
    <t>123 Four Seasons Hat Spring 2014 Edition - Hat</t>
  </si>
  <si>
    <t>2014 Bibione</t>
  </si>
  <si>
    <t>Jampionsleague 4.0 - Open Pairs</t>
  </si>
  <si>
    <t>2014 Paganello - Mixed</t>
  </si>
  <si>
    <t>2014 Paganello - Pairs, Co-op</t>
  </si>
  <si>
    <t>2014 Virginia States - Open</t>
  </si>
  <si>
    <t>123 Four Seasons Hat - Winter 2014 Edition - Random Pairs</t>
  </si>
  <si>
    <t>2014 Frisbeer - Mixed</t>
  </si>
  <si>
    <t>2014 Frisbeer - Pairs, Co-op</t>
  </si>
  <si>
    <t>2013 JikJam - Open Pairs</t>
  </si>
  <si>
    <t>2013 Ocean Beach Turboshred - December - Turboshred</t>
  </si>
  <si>
    <t>Aichi Flying Disc Tournament 2013 - Mixed</t>
  </si>
  <si>
    <t>Aichi Flying Disc Tournament 2013 - Open, Intermediate</t>
  </si>
  <si>
    <t>2013 Sonoma Shred and Turboshred - Turboshred</t>
  </si>
  <si>
    <t>2013 Lazzaroni - Pairs, Co-op</t>
  </si>
  <si>
    <t>2013 Beach Stylers - Women's Turboshred</t>
  </si>
  <si>
    <t>2013 Beach Stylers - Pairs, Turboshred</t>
  </si>
  <si>
    <t>2013 Arizona States</t>
  </si>
  <si>
    <t>1234 Seasons Hat - Autumn 2013 Edition - Hat</t>
  </si>
  <si>
    <t>Anzio Hat Tournament - Hat</t>
  </si>
  <si>
    <t>2013 Oktoberfest Turnament "Wies'n Jam" - Hat</t>
  </si>
  <si>
    <t>Spiritcamp 2013 - Mixed</t>
  </si>
  <si>
    <t>Spiritcamp 2013 - Pairs, Co-op</t>
  </si>
  <si>
    <t>2013 Butch Cassidy Cup - Pairs</t>
  </si>
  <si>
    <t>2013 Sandslash - Pairs</t>
  </si>
  <si>
    <t>Old Tournaments no longer counted:</t>
  </si>
  <si>
    <t>2013 WFDF - Women</t>
  </si>
  <si>
    <t>2013 WFDF - Pairs</t>
  </si>
  <si>
    <t>2013 Japan Overall Championships - Pairs</t>
  </si>
  <si>
    <t>124 Four Seasons Hat - Summer 2013 Edition - Hat</t>
  </si>
  <si>
    <t>Sportfestival Turnament 2013 - Hat</t>
  </si>
  <si>
    <t>2013 Potlatch - Pairs</t>
  </si>
  <si>
    <t>2013 Swedish Freestyle Championships - Pairs</t>
  </si>
  <si>
    <t>Reg100</t>
  </si>
  <si>
    <t>Scoresheet Version: 2.10</t>
  </si>
  <si>
    <t>This Month</t>
  </si>
  <si>
    <t>Last Month</t>
  </si>
  <si>
    <t>133T</t>
  </si>
  <si>
    <t>132T</t>
  </si>
  <si>
    <t>140T</t>
  </si>
  <si>
    <t>222T</t>
  </si>
  <si>
    <t>145T</t>
  </si>
  <si>
    <t>141T</t>
  </si>
  <si>
    <t>168T</t>
  </si>
  <si>
    <t>191T</t>
  </si>
  <si>
    <t>204T</t>
  </si>
  <si>
    <t>182T</t>
  </si>
  <si>
    <t>171T</t>
  </si>
  <si>
    <t>293T</t>
  </si>
  <si>
    <t>Simon Lühring</t>
  </si>
  <si>
    <t>Felix Schwarzbach</t>
  </si>
  <si>
    <t>Simon Faber</t>
  </si>
  <si>
    <t>Philipp Schellworth</t>
  </si>
  <si>
    <t>223T</t>
  </si>
  <si>
    <t>296T</t>
  </si>
  <si>
    <t>249T</t>
  </si>
  <si>
    <t>232T</t>
  </si>
  <si>
    <t>235T</t>
  </si>
  <si>
    <t>227T</t>
  </si>
  <si>
    <t>238T</t>
  </si>
  <si>
    <t>233T</t>
  </si>
  <si>
    <t>Mateusz Gajewski</t>
  </si>
  <si>
    <t>236T</t>
  </si>
  <si>
    <t>Robert Bross</t>
  </si>
  <si>
    <t>246T</t>
  </si>
  <si>
    <t>Robbin Flößen</t>
  </si>
  <si>
    <t>255T</t>
  </si>
  <si>
    <t>260T</t>
  </si>
  <si>
    <t>397T</t>
  </si>
  <si>
    <t>265T</t>
  </si>
  <si>
    <t>261T</t>
  </si>
  <si>
    <t>Paula Willin</t>
  </si>
  <si>
    <t>276T</t>
  </si>
  <si>
    <t>278T</t>
  </si>
  <si>
    <t>275T</t>
  </si>
  <si>
    <t>283T</t>
  </si>
  <si>
    <t>Jim Dodelson</t>
  </si>
  <si>
    <t>295T</t>
  </si>
  <si>
    <t>Gordy Brown</t>
  </si>
  <si>
    <t>308T</t>
  </si>
  <si>
    <t>304T</t>
  </si>
  <si>
    <t>311T</t>
  </si>
  <si>
    <t>Luca Muntan</t>
  </si>
  <si>
    <t>Dylan Rocha Pires</t>
  </si>
  <si>
    <t>322T</t>
  </si>
  <si>
    <t>319T</t>
  </si>
  <si>
    <t>Angelo Trevino</t>
  </si>
  <si>
    <t>885T</t>
  </si>
  <si>
    <t>336T</t>
  </si>
  <si>
    <t>330T</t>
  </si>
  <si>
    <t>342T</t>
  </si>
  <si>
    <t>Danny Miles</t>
  </si>
  <si>
    <t>351T</t>
  </si>
  <si>
    <t>Mikey Callaghan</t>
  </si>
  <si>
    <t>344T</t>
  </si>
  <si>
    <t>Steve Rhodes</t>
  </si>
  <si>
    <t>Emiliano Verrino</t>
  </si>
  <si>
    <t>348T</t>
  </si>
  <si>
    <t>361T</t>
  </si>
  <si>
    <t>Marcin Dusowski</t>
  </si>
  <si>
    <t>358T</t>
  </si>
  <si>
    <t>373T</t>
  </si>
  <si>
    <t>Billy Caplin</t>
  </si>
  <si>
    <t>378T</t>
  </si>
  <si>
    <t>365T</t>
  </si>
  <si>
    <t>386T</t>
  </si>
  <si>
    <t>390T</t>
  </si>
  <si>
    <t>377T</t>
  </si>
  <si>
    <t>393T</t>
  </si>
  <si>
    <t>Henning Worm</t>
  </si>
  <si>
    <t>Zé Luis</t>
  </si>
  <si>
    <t>402T</t>
  </si>
  <si>
    <t>389T</t>
  </si>
  <si>
    <t>405T</t>
  </si>
  <si>
    <t>409T</t>
  </si>
  <si>
    <t>882T</t>
  </si>
  <si>
    <t>873T</t>
  </si>
  <si>
    <t>Mickeala Galloupe</t>
  </si>
  <si>
    <t>New Tournaments this Month</t>
  </si>
  <si>
    <t>2015 Beachstylers - Open, Turboshred</t>
  </si>
  <si>
    <t>1234 Seasons Hat - Edition Fall 2015 - Random Co-op</t>
  </si>
  <si>
    <t>2015 Anzio Jam - Open Pairs</t>
  </si>
  <si>
    <t>Tournaments included</t>
  </si>
  <si>
    <t>2015 Spiritcamp - Open Pairs</t>
  </si>
  <si>
    <t>2015 Butch Cassidy Cup - Open</t>
  </si>
  <si>
    <t>2015 Sandslash - Open</t>
  </si>
  <si>
    <t>2015 American Freestyle Championships - Mixed Pairs</t>
  </si>
  <si>
    <t>2015 American Freestyle Championships - Women Pairs</t>
  </si>
  <si>
    <t>2015 American Freestyle Championships - Open Pairs, Open Co-op</t>
  </si>
  <si>
    <t>Old Tournaments no longer counted</t>
  </si>
  <si>
    <t>The Name of the Event with year. Please use short term. i.e.: "FPAW 2015"</t>
  </si>
  <si>
    <t>My Test Tournament</t>
  </si>
  <si>
    <t>Ryan's House</t>
  </si>
  <si>
    <t>Coop</t>
  </si>
  <si>
    <t>Semifinals</t>
  </si>
  <si>
    <t>1/1/0001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</si>
</sst>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_€_-;\-* #,##0.00\ _€_-;_-* &quot;-&quot;??\ _€_-;_-@_-"/>
    <numFmt numFmtId="165" formatCode="0.0"/>
    <numFmt numFmtId="166" formatCode="?&quot;.&quot;"/>
    <numFmt numFmtId="167" formatCode="h:mm;@"/>
  </numFmts>
  <fonts count="41" x14ac:knownFonts="1">
    <font>
      <sz val="11"/>
      <color theme="1"/>
      <name val="Calibri"/>
      <family val="2"/>
      <scheme val="minor"/>
    </font>
    <font>
      <b/>
      <sz val="18"/>
      <color indexed="8"/>
      <name val="Calibri"/>
      <family val="2"/>
    </font>
    <font>
      <sz val="11"/>
      <color indexed="56"/>
      <name val="Calibri"/>
      <family val="2"/>
    </font>
    <font>
      <sz val="11"/>
      <name val="Calibri"/>
      <family val="2"/>
    </font>
    <font>
      <b/>
      <sz val="18"/>
      <name val="Calibri"/>
      <family val="2"/>
    </font>
    <font>
      <sz val="12"/>
      <name val="Calibri"/>
      <family val="2"/>
    </font>
    <font>
      <sz val="16"/>
      <name val="Calibri"/>
      <family val="2"/>
    </font>
    <font>
      <sz val="10"/>
      <name val="Calibri"/>
      <family val="2"/>
    </font>
    <font>
      <sz val="14"/>
      <name val="Calibri"/>
      <family val="2"/>
    </font>
    <font>
      <b/>
      <sz val="16"/>
      <name val="Calibri"/>
      <family val="2"/>
    </font>
    <font>
      <b/>
      <sz val="14"/>
      <name val="Calibri"/>
      <family val="2"/>
    </font>
    <font>
      <b/>
      <sz val="12"/>
      <name val="Calibri"/>
      <family val="2"/>
    </font>
    <font>
      <b/>
      <sz val="26"/>
      <name val="Calibri"/>
      <family val="2"/>
    </font>
    <font>
      <sz val="11"/>
      <color indexed="8"/>
      <name val="Calibri"/>
      <family val="2"/>
    </font>
    <font>
      <b/>
      <sz val="11"/>
      <color indexed="8"/>
      <name val="Calibri"/>
      <family val="2"/>
    </font>
    <font>
      <u/>
      <sz val="11"/>
      <color indexed="12"/>
      <name val="Calibri"/>
      <family val="2"/>
    </font>
    <font>
      <b/>
      <sz val="11"/>
      <name val="Calibri"/>
      <family val="2"/>
    </font>
    <font>
      <b/>
      <sz val="10"/>
      <name val="Calibri"/>
      <family val="2"/>
    </font>
    <font>
      <sz val="8"/>
      <name val="Calibri"/>
      <family val="2"/>
    </font>
    <font>
      <sz val="8"/>
      <color indexed="81"/>
      <name val="Tahoma"/>
      <family val="2"/>
    </font>
    <font>
      <b/>
      <sz val="8"/>
      <color indexed="81"/>
      <name val="Tahoma"/>
      <family val="2"/>
    </font>
    <font>
      <b/>
      <sz val="16"/>
      <name val="Calibri"/>
      <family val="2"/>
    </font>
    <font>
      <b/>
      <sz val="11"/>
      <color indexed="8"/>
      <name val="Calibri"/>
      <family val="2"/>
    </font>
    <font>
      <i/>
      <sz val="14"/>
      <color indexed="8"/>
      <name val="Calibri"/>
      <family val="2"/>
    </font>
    <font>
      <b/>
      <sz val="12"/>
      <color indexed="8"/>
      <name val="Calibri"/>
      <family val="2"/>
    </font>
    <font>
      <sz val="12"/>
      <color indexed="8"/>
      <name val="Calibri"/>
      <family val="2"/>
    </font>
    <font>
      <i/>
      <sz val="9"/>
      <color indexed="8"/>
      <name val="Calibri"/>
      <family val="2"/>
    </font>
    <font>
      <sz val="11"/>
      <color indexed="10"/>
      <name val="Calibri"/>
      <family val="2"/>
    </font>
    <font>
      <b/>
      <sz val="11"/>
      <color indexed="10"/>
      <name val="Calibri"/>
      <family val="2"/>
    </font>
    <font>
      <b/>
      <sz val="14"/>
      <color indexed="8"/>
      <name val="Calibri"/>
      <family val="2"/>
    </font>
    <font>
      <sz val="14"/>
      <color indexed="10"/>
      <name val="Calibri"/>
      <family val="2"/>
    </font>
    <font>
      <sz val="5"/>
      <name val="Arial"/>
      <family val="2"/>
    </font>
    <font>
      <sz val="11"/>
      <color theme="1"/>
      <name val="Calibri"/>
      <family val="2"/>
      <scheme val="minor"/>
    </font>
    <font>
      <b/>
      <sz val="11"/>
      <color theme="1"/>
      <name val="Calibri"/>
      <family val="2"/>
      <scheme val="minor"/>
    </font>
    <font>
      <b/>
      <i/>
      <sz val="9"/>
      <color rgb="FFFF0000"/>
      <name val="Calibri"/>
      <family val="2"/>
    </font>
    <font>
      <sz val="7"/>
      <color theme="1"/>
      <name val="Calibri"/>
      <family val="2"/>
      <scheme val="minor"/>
    </font>
    <font>
      <sz val="14"/>
      <color theme="1"/>
      <name val="Calibri"/>
      <family val="2"/>
      <scheme val="minor"/>
    </font>
    <font>
      <b/>
      <sz val="14"/>
      <color theme="1"/>
      <name val="Calibri"/>
      <family val="2"/>
      <scheme val="minor"/>
    </font>
    <font>
      <b/>
      <sz val="18"/>
      <color theme="1"/>
      <name val="Calibri"/>
      <family val="2"/>
    </font>
    <font>
      <b/>
      <sz val="16"/>
      <color theme="1"/>
      <name val="Calibri"/>
      <family val="2"/>
      <scheme val="minor"/>
    </font>
    <font>
      <sz val="8"/>
      <color theme="0" tint="-0.499984740745262"/>
      <name val="Calibri"/>
      <family val="2"/>
    </font>
  </fonts>
  <fills count="7">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solid">
        <fgColor indexed="42"/>
        <bgColor indexed="64"/>
      </patternFill>
    </fill>
    <fill>
      <patternFill patternType="solid">
        <fgColor indexed="47"/>
        <bgColor indexed="64"/>
      </patternFill>
    </fill>
    <fill>
      <patternFill patternType="solid">
        <fgColor theme="6" tint="0.79998168889431442"/>
        <bgColor indexed="64"/>
      </patternFill>
    </fill>
  </fills>
  <borders count="65">
    <border>
      <left/>
      <right/>
      <top/>
      <bottom/>
      <diagonal/>
    </border>
    <border>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dotted">
        <color indexed="64"/>
      </right>
      <top style="medium">
        <color indexed="64"/>
      </top>
      <bottom style="medium">
        <color indexed="64"/>
      </bottom>
      <diagonal/>
    </border>
    <border>
      <left style="thick">
        <color indexed="64"/>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ck">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hair">
        <color indexed="64"/>
      </top>
      <bottom style="hair">
        <color indexed="64"/>
      </bottom>
      <diagonal/>
    </border>
    <border>
      <left style="medium">
        <color indexed="64"/>
      </left>
      <right style="thin">
        <color indexed="64"/>
      </right>
      <top style="medium">
        <color indexed="64"/>
      </top>
      <bottom/>
      <diagonal/>
    </border>
    <border>
      <left style="thick">
        <color indexed="64"/>
      </left>
      <right style="medium">
        <color indexed="64"/>
      </right>
      <top style="medium">
        <color indexed="64"/>
      </top>
      <bottom/>
      <diagonal/>
    </border>
    <border>
      <left style="thick">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ck">
        <color indexed="64"/>
      </left>
      <right style="thin">
        <color indexed="64"/>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ck">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bottom/>
      <diagonal/>
    </border>
    <border>
      <left style="thin">
        <color indexed="64"/>
      </left>
      <right/>
      <top style="medium">
        <color indexed="64"/>
      </top>
      <bottom/>
      <diagonal/>
    </border>
    <border>
      <left style="medium">
        <color indexed="64"/>
      </left>
      <right style="thick">
        <color indexed="64"/>
      </right>
      <top style="medium">
        <color indexed="64"/>
      </top>
      <bottom/>
      <diagonal/>
    </border>
    <border>
      <left/>
      <right style="thin">
        <color indexed="64"/>
      </right>
      <top style="thin">
        <color indexed="64"/>
      </top>
      <bottom/>
      <diagonal/>
    </border>
    <border>
      <left/>
      <right style="thin">
        <color indexed="64"/>
      </right>
      <top/>
      <bottom/>
      <diagonal/>
    </border>
    <border>
      <left style="thick">
        <color indexed="64"/>
      </left>
      <right style="hair">
        <color indexed="64"/>
      </right>
      <top style="medium">
        <color indexed="64"/>
      </top>
      <bottom/>
      <diagonal/>
    </border>
    <border>
      <left style="thick">
        <color indexed="64"/>
      </left>
      <right style="hair">
        <color indexed="64"/>
      </right>
      <top style="medium">
        <color indexed="64"/>
      </top>
      <bottom style="medium">
        <color indexed="64"/>
      </bottom>
      <diagonal/>
    </border>
    <border>
      <left style="medium">
        <color indexed="64"/>
      </left>
      <right style="hair">
        <color indexed="64"/>
      </right>
      <top style="medium">
        <color indexed="64"/>
      </top>
      <bottom/>
      <diagonal/>
    </border>
    <border>
      <left style="medium">
        <color indexed="64"/>
      </left>
      <right style="hair">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thick">
        <color indexed="64"/>
      </right>
      <top/>
      <bottom/>
      <diagonal/>
    </border>
    <border>
      <left style="medium">
        <color indexed="64"/>
      </left>
      <right style="thick">
        <color indexed="64"/>
      </right>
      <top/>
      <bottom style="medium">
        <color indexed="64"/>
      </bottom>
      <diagonal/>
    </border>
    <border>
      <left/>
      <right style="thin">
        <color indexed="64"/>
      </right>
      <top style="hair">
        <color indexed="64"/>
      </top>
      <bottom style="hair">
        <color indexed="64"/>
      </bottom>
      <diagonal/>
    </border>
    <border>
      <left/>
      <right style="thin">
        <color indexed="64"/>
      </right>
      <top/>
      <bottom style="hair">
        <color indexed="64"/>
      </bottom>
      <diagonal/>
    </border>
    <border>
      <left style="thick">
        <color indexed="64"/>
      </left>
      <right/>
      <top style="medium">
        <color indexed="64"/>
      </top>
      <bottom style="medium">
        <color indexed="64"/>
      </bottom>
      <diagonal/>
    </border>
    <border>
      <left style="thick">
        <color indexed="64"/>
      </left>
      <right/>
      <top style="medium">
        <color indexed="64"/>
      </top>
      <bottom/>
      <diagonal/>
    </border>
    <border>
      <left style="thick">
        <color indexed="64"/>
      </left>
      <right style="thick">
        <color indexed="64"/>
      </right>
      <top style="medium">
        <color indexed="64"/>
      </top>
      <bottom style="medium">
        <color indexed="64"/>
      </bottom>
      <diagonal/>
    </border>
    <border>
      <left style="thick">
        <color indexed="64"/>
      </left>
      <right style="thick">
        <color indexed="64"/>
      </right>
      <top style="medium">
        <color indexed="64"/>
      </top>
      <bottom/>
      <diagonal/>
    </border>
    <border>
      <left style="medium">
        <color indexed="64"/>
      </left>
      <right/>
      <top/>
      <bottom/>
      <diagonal/>
    </border>
    <border>
      <left style="thick">
        <color indexed="64"/>
      </left>
      <right style="medium">
        <color indexed="64"/>
      </right>
      <top/>
      <bottom/>
      <diagonal/>
    </border>
    <border>
      <left style="thick">
        <color indexed="64"/>
      </left>
      <right style="hair">
        <color indexed="64"/>
      </right>
      <top/>
      <bottom style="medium">
        <color indexed="64"/>
      </bottom>
      <diagonal/>
    </border>
    <border>
      <left style="medium">
        <color indexed="64"/>
      </left>
      <right style="hair">
        <color indexed="64"/>
      </right>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ck">
        <color indexed="64"/>
      </left>
      <right style="medium">
        <color indexed="64"/>
      </right>
      <top style="medium">
        <color indexed="64"/>
      </top>
      <bottom style="thin">
        <color indexed="64"/>
      </bottom>
      <diagonal/>
    </border>
    <border>
      <left/>
      <right/>
      <top style="medium">
        <color indexed="64"/>
      </top>
      <bottom style="medium">
        <color indexed="64"/>
      </bottom>
      <diagonal/>
    </border>
    <border>
      <left style="thick">
        <color indexed="64"/>
      </left>
      <right style="medium">
        <color indexed="64"/>
      </right>
      <top style="medium">
        <color indexed="64"/>
      </top>
      <bottom style="thick">
        <color indexed="64"/>
      </bottom>
      <diagonal/>
    </border>
    <border>
      <left/>
      <right/>
      <top style="medium">
        <color indexed="64"/>
      </top>
      <bottom/>
      <diagonal/>
    </border>
  </borders>
  <cellStyleXfs count="3">
    <xf numFmtId="0" fontId="0" fillId="0" borderId="0"/>
    <xf numFmtId="164" fontId="13" fillId="0" borderId="0" applyFont="0" applyFill="0" applyBorder="0" applyAlignment="0" applyProtection="0"/>
    <xf numFmtId="0" fontId="15" fillId="0" borderId="0" applyNumberFormat="0" applyFill="0" applyBorder="0" applyAlignment="0" applyProtection="0">
      <alignment vertical="top"/>
      <protection locked="0"/>
    </xf>
  </cellStyleXfs>
  <cellXfs count="295">
    <xf numFmtId="0" fontId="0" fillId="0" borderId="0" xfId="0"/>
    <xf numFmtId="0" fontId="0" fillId="0" borderId="0" xfId="0" applyAlignment="1">
      <alignment textRotation="60"/>
    </xf>
    <xf numFmtId="0" fontId="0" fillId="0" borderId="0" xfId="0" applyAlignment="1">
      <alignment textRotation="75"/>
    </xf>
    <xf numFmtId="0" fontId="0" fillId="0" borderId="0" xfId="0" applyAlignment="1"/>
    <xf numFmtId="0" fontId="1" fillId="0" borderId="0" xfId="0" applyFont="1" applyAlignment="1">
      <alignment horizontal="left"/>
    </xf>
    <xf numFmtId="0" fontId="2" fillId="0" borderId="0" xfId="0" applyFont="1" applyBorder="1"/>
    <xf numFmtId="0" fontId="2" fillId="0" borderId="0" xfId="0" applyFont="1" applyBorder="1" applyAlignment="1">
      <alignment textRotation="60"/>
    </xf>
    <xf numFmtId="0" fontId="2" fillId="0" borderId="0" xfId="0" applyFont="1" applyBorder="1" applyAlignment="1">
      <alignment textRotation="75"/>
    </xf>
    <xf numFmtId="0" fontId="3" fillId="0" borderId="0" xfId="0" applyFont="1" applyBorder="1" applyAlignment="1">
      <alignment textRotation="60"/>
    </xf>
    <xf numFmtId="0" fontId="4" fillId="0" borderId="0" xfId="0" applyFont="1" applyBorder="1" applyAlignment="1">
      <alignment horizontal="left"/>
    </xf>
    <xf numFmtId="0" fontId="3" fillId="0" borderId="0" xfId="0" applyFont="1" applyAlignment="1">
      <alignment textRotation="60"/>
    </xf>
    <xf numFmtId="0" fontId="3" fillId="0" borderId="0" xfId="0" applyFont="1" applyBorder="1" applyAlignment="1">
      <alignment textRotation="75"/>
    </xf>
    <xf numFmtId="0" fontId="4" fillId="0" borderId="0" xfId="0" applyFont="1" applyBorder="1"/>
    <xf numFmtId="0" fontId="3" fillId="0" borderId="0" xfId="0" applyFont="1" applyBorder="1"/>
    <xf numFmtId="0" fontId="5" fillId="0" borderId="1" xfId="0" applyFont="1" applyBorder="1" applyAlignment="1">
      <alignment horizontal="center" textRotation="45" wrapText="1"/>
    </xf>
    <xf numFmtId="0" fontId="5" fillId="0" borderId="2" xfId="0" applyFont="1" applyBorder="1" applyAlignment="1">
      <alignment wrapText="1"/>
    </xf>
    <xf numFmtId="0" fontId="5" fillId="0" borderId="3" xfId="0" applyFont="1" applyBorder="1" applyAlignment="1">
      <alignment wrapText="1"/>
    </xf>
    <xf numFmtId="0" fontId="3" fillId="0" borderId="3" xfId="0" applyFont="1" applyBorder="1" applyAlignment="1"/>
    <xf numFmtId="0" fontId="5" fillId="0" borderId="4" xfId="0" applyFont="1" applyBorder="1" applyAlignment="1">
      <alignment horizontal="center" wrapText="1"/>
    </xf>
    <xf numFmtId="0" fontId="6" fillId="0" borderId="5" xfId="0" applyFont="1" applyBorder="1" applyAlignment="1">
      <alignment horizontal="center"/>
    </xf>
    <xf numFmtId="0" fontId="6" fillId="0" borderId="4" xfId="0" applyFont="1" applyBorder="1" applyAlignment="1">
      <alignment horizontal="center"/>
    </xf>
    <xf numFmtId="49" fontId="7" fillId="0" borderId="4" xfId="0" applyNumberFormat="1" applyFont="1" applyBorder="1" applyAlignment="1">
      <alignment horizontal="center"/>
    </xf>
    <xf numFmtId="49" fontId="7" fillId="0" borderId="6" xfId="0" applyNumberFormat="1" applyFont="1" applyBorder="1" applyAlignment="1">
      <alignment horizontal="center"/>
    </xf>
    <xf numFmtId="49" fontId="7" fillId="0" borderId="7" xfId="0" applyNumberFormat="1" applyFont="1" applyBorder="1" applyAlignment="1">
      <alignment horizontal="center"/>
    </xf>
    <xf numFmtId="0" fontId="3" fillId="0" borderId="0" xfId="0" applyFont="1"/>
    <xf numFmtId="0" fontId="3" fillId="0" borderId="4" xfId="0" applyFont="1" applyBorder="1" applyAlignment="1">
      <alignment horizontal="center"/>
    </xf>
    <xf numFmtId="0" fontId="3" fillId="0" borderId="5" xfId="0" applyFont="1" applyBorder="1" applyAlignment="1">
      <alignment horizontal="center"/>
    </xf>
    <xf numFmtId="49" fontId="7" fillId="0" borderId="8" xfId="0" applyNumberFormat="1" applyFont="1" applyBorder="1" applyAlignment="1">
      <alignment horizontal="center"/>
    </xf>
    <xf numFmtId="0" fontId="5" fillId="0" borderId="9" xfId="0" applyFont="1" applyBorder="1" applyAlignment="1">
      <alignment horizontal="center"/>
    </xf>
    <xf numFmtId="0" fontId="3" fillId="0" borderId="0" xfId="0" applyFont="1" applyBorder="1" applyAlignment="1"/>
    <xf numFmtId="0" fontId="10" fillId="0" borderId="0" xfId="0" applyFont="1" applyBorder="1"/>
    <xf numFmtId="0" fontId="3" fillId="0" borderId="0" xfId="0" applyFont="1" applyAlignment="1">
      <alignment textRotation="75"/>
    </xf>
    <xf numFmtId="0" fontId="4" fillId="0" borderId="0" xfId="0" applyFont="1" applyAlignment="1">
      <alignment horizontal="left"/>
    </xf>
    <xf numFmtId="20" fontId="3" fillId="0" borderId="0" xfId="0" applyNumberFormat="1" applyFont="1" applyBorder="1"/>
    <xf numFmtId="0" fontId="12" fillId="0" borderId="0" xfId="0" applyFont="1" applyBorder="1" applyAlignment="1">
      <alignment horizontal="left"/>
    </xf>
    <xf numFmtId="0" fontId="3" fillId="0" borderId="10" xfId="0" applyFont="1" applyBorder="1"/>
    <xf numFmtId="0" fontId="3" fillId="0" borderId="11" xfId="0" applyFont="1" applyBorder="1"/>
    <xf numFmtId="0" fontId="3" fillId="0" borderId="12" xfId="0" applyFont="1" applyBorder="1" applyAlignment="1">
      <alignment horizontal="center"/>
    </xf>
    <xf numFmtId="0" fontId="3" fillId="0" borderId="2" xfId="0" applyFont="1" applyBorder="1" applyAlignment="1">
      <alignment horizontal="center"/>
    </xf>
    <xf numFmtId="0" fontId="5" fillId="0" borderId="13" xfId="0" applyFont="1" applyBorder="1" applyAlignment="1">
      <alignment horizontal="center"/>
    </xf>
    <xf numFmtId="0" fontId="5" fillId="0" borderId="0" xfId="0" applyFont="1"/>
    <xf numFmtId="0" fontId="5" fillId="0" borderId="0" xfId="0" applyFont="1" applyAlignment="1">
      <alignment vertical="center"/>
    </xf>
    <xf numFmtId="49" fontId="7" fillId="0" borderId="4" xfId="0" applyNumberFormat="1" applyFont="1" applyBorder="1" applyAlignment="1">
      <alignment horizontal="center" vertical="center" wrapText="1"/>
    </xf>
    <xf numFmtId="0" fontId="5" fillId="0" borderId="4" xfId="0" applyFont="1" applyBorder="1" applyAlignment="1">
      <alignment horizontal="center" vertical="center" wrapText="1"/>
    </xf>
    <xf numFmtId="0" fontId="5" fillId="0" borderId="5" xfId="0" applyFont="1" applyBorder="1" applyAlignment="1">
      <alignment horizontal="center" vertical="center" wrapText="1"/>
    </xf>
    <xf numFmtId="0" fontId="10" fillId="0" borderId="0" xfId="0" applyFont="1" applyBorder="1" applyAlignment="1"/>
    <xf numFmtId="0" fontId="11" fillId="0" borderId="14" xfId="0" applyFont="1" applyBorder="1"/>
    <xf numFmtId="0" fontId="11" fillId="0" borderId="15" xfId="0" applyFont="1" applyBorder="1" applyAlignment="1"/>
    <xf numFmtId="0" fontId="11" fillId="0" borderId="10" xfId="0" applyFont="1" applyBorder="1" applyAlignment="1">
      <alignment horizontal="right"/>
    </xf>
    <xf numFmtId="0" fontId="6" fillId="0" borderId="16" xfId="0" applyFont="1" applyBorder="1" applyAlignment="1">
      <alignment horizontal="center" vertical="center" wrapText="1"/>
    </xf>
    <xf numFmtId="49" fontId="3" fillId="0" borderId="0" xfId="0" applyNumberFormat="1" applyFont="1" applyBorder="1"/>
    <xf numFmtId="49" fontId="0" fillId="0" borderId="0" xfId="0" applyNumberFormat="1"/>
    <xf numFmtId="49" fontId="5" fillId="0" borderId="17" xfId="0" applyNumberFormat="1" applyFont="1" applyBorder="1" applyAlignment="1">
      <alignment vertical="center" wrapText="1"/>
    </xf>
    <xf numFmtId="165" fontId="4" fillId="2" borderId="18" xfId="0" applyNumberFormat="1" applyFont="1" applyFill="1" applyBorder="1" applyAlignment="1">
      <alignment horizontal="center" vertical="center"/>
    </xf>
    <xf numFmtId="165" fontId="8" fillId="0" borderId="19" xfId="0" applyNumberFormat="1" applyFont="1" applyBorder="1" applyAlignment="1">
      <alignment horizontal="center" vertical="center"/>
    </xf>
    <xf numFmtId="165" fontId="6" fillId="0" borderId="20" xfId="0" applyNumberFormat="1" applyFont="1" applyBorder="1" applyAlignment="1">
      <alignment horizontal="center" vertical="center"/>
    </xf>
    <xf numFmtId="0" fontId="16" fillId="0" borderId="0" xfId="0" applyFont="1"/>
    <xf numFmtId="0" fontId="3" fillId="3" borderId="4" xfId="0" applyNumberFormat="1" applyFont="1" applyFill="1" applyBorder="1" applyAlignment="1">
      <alignment horizontal="center"/>
    </xf>
    <xf numFmtId="0" fontId="17" fillId="0" borderId="21" xfId="0" applyFont="1" applyFill="1" applyBorder="1" applyAlignment="1">
      <alignment horizontal="left" textRotation="60" wrapText="1"/>
    </xf>
    <xf numFmtId="0" fontId="17" fillId="0" borderId="22" xfId="0" applyFont="1" applyFill="1" applyBorder="1" applyAlignment="1">
      <alignment horizontal="left" textRotation="60" wrapText="1"/>
    </xf>
    <xf numFmtId="0" fontId="3" fillId="3" borderId="5" xfId="0" applyNumberFormat="1" applyFont="1" applyFill="1" applyBorder="1" applyAlignment="1">
      <alignment horizontal="center"/>
    </xf>
    <xf numFmtId="0" fontId="3" fillId="4" borderId="5" xfId="0" applyNumberFormat="1" applyFont="1" applyFill="1" applyBorder="1" applyAlignment="1">
      <alignment horizontal="center"/>
    </xf>
    <xf numFmtId="0" fontId="3" fillId="5" borderId="9" xfId="0" applyNumberFormat="1" applyFont="1" applyFill="1" applyBorder="1" applyAlignment="1">
      <alignment horizontal="center"/>
    </xf>
    <xf numFmtId="0" fontId="3" fillId="5" borderId="5" xfId="0" applyNumberFormat="1" applyFont="1" applyFill="1" applyBorder="1" applyAlignment="1">
      <alignment horizontal="center"/>
    </xf>
    <xf numFmtId="0" fontId="11" fillId="0" borderId="20" xfId="0" applyFont="1" applyFill="1" applyBorder="1" applyAlignment="1">
      <alignment horizontal="center" textRotation="60" wrapText="1"/>
    </xf>
    <xf numFmtId="0" fontId="11" fillId="0" borderId="23" xfId="0" applyFont="1" applyFill="1" applyBorder="1" applyAlignment="1">
      <alignment horizontal="center" textRotation="60" wrapText="1"/>
    </xf>
    <xf numFmtId="0" fontId="11" fillId="0" borderId="24" xfId="0" applyFont="1" applyFill="1" applyBorder="1" applyAlignment="1">
      <alignment horizontal="center" textRotation="60" wrapText="1"/>
    </xf>
    <xf numFmtId="0" fontId="16" fillId="3" borderId="4" xfId="0" applyNumberFormat="1" applyFont="1" applyFill="1" applyBorder="1" applyAlignment="1">
      <alignment horizontal="center"/>
    </xf>
    <xf numFmtId="0" fontId="16" fillId="3" borderId="5" xfId="0" applyNumberFormat="1" applyFont="1" applyFill="1" applyBorder="1" applyAlignment="1">
      <alignment horizontal="center"/>
    </xf>
    <xf numFmtId="0" fontId="16" fillId="4" borderId="9" xfId="0" applyNumberFormat="1" applyFont="1" applyFill="1" applyBorder="1" applyAlignment="1">
      <alignment horizontal="center"/>
    </xf>
    <xf numFmtId="0" fontId="16" fillId="4" borderId="5" xfId="0" applyNumberFormat="1" applyFont="1" applyFill="1" applyBorder="1" applyAlignment="1">
      <alignment horizontal="center"/>
    </xf>
    <xf numFmtId="0" fontId="16" fillId="5" borderId="9" xfId="0" applyNumberFormat="1" applyFont="1" applyFill="1" applyBorder="1" applyAlignment="1">
      <alignment horizontal="center"/>
    </xf>
    <xf numFmtId="0" fontId="16" fillId="5" borderId="5" xfId="0" applyNumberFormat="1" applyFont="1" applyFill="1" applyBorder="1" applyAlignment="1">
      <alignment horizontal="center"/>
    </xf>
    <xf numFmtId="0" fontId="14" fillId="0" borderId="0" xfId="0" applyNumberFormat="1" applyFont="1"/>
    <xf numFmtId="0" fontId="10" fillId="0" borderId="5" xfId="0" applyNumberFormat="1" applyFont="1" applyFill="1" applyBorder="1" applyAlignment="1">
      <alignment horizontal="center" wrapText="1"/>
    </xf>
    <xf numFmtId="0" fontId="16" fillId="0" borderId="0" xfId="0" applyFont="1" applyFill="1" applyBorder="1"/>
    <xf numFmtId="49" fontId="16" fillId="0" borderId="4" xfId="0" applyNumberFormat="1" applyFont="1" applyFill="1" applyBorder="1" applyAlignment="1">
      <alignment horizontal="center"/>
    </xf>
    <xf numFmtId="0" fontId="6" fillId="0" borderId="7" xfId="0" applyNumberFormat="1" applyFont="1" applyBorder="1" applyAlignment="1">
      <alignment horizontal="center"/>
    </xf>
    <xf numFmtId="0" fontId="8" fillId="0" borderId="4" xfId="0" applyNumberFormat="1" applyFont="1" applyBorder="1" applyAlignment="1">
      <alignment horizontal="center" wrapText="1"/>
    </xf>
    <xf numFmtId="49" fontId="17" fillId="0" borderId="21" xfId="0" applyNumberFormat="1" applyFont="1" applyFill="1" applyBorder="1" applyAlignment="1">
      <alignment horizontal="left" textRotation="60" wrapText="1"/>
    </xf>
    <xf numFmtId="0" fontId="17" fillId="0" borderId="21" xfId="0" applyNumberFormat="1" applyFont="1" applyFill="1" applyBorder="1" applyAlignment="1">
      <alignment horizontal="left" textRotation="60" wrapText="1"/>
    </xf>
    <xf numFmtId="0" fontId="3" fillId="5" borderId="6" xfId="0" applyNumberFormat="1" applyFont="1" applyFill="1" applyBorder="1" applyAlignment="1">
      <alignment horizontal="center"/>
    </xf>
    <xf numFmtId="0" fontId="11" fillId="3" borderId="20" xfId="0" applyFont="1" applyFill="1" applyBorder="1" applyAlignment="1">
      <alignment horizontal="center" textRotation="60" wrapText="1"/>
    </xf>
    <xf numFmtId="0" fontId="11" fillId="4" borderId="23" xfId="0" applyFont="1" applyFill="1" applyBorder="1" applyAlignment="1">
      <alignment horizontal="center" textRotation="60" wrapText="1"/>
    </xf>
    <xf numFmtId="0" fontId="11" fillId="5" borderId="24" xfId="0" applyFont="1" applyFill="1" applyBorder="1" applyAlignment="1">
      <alignment horizontal="center" textRotation="60" wrapText="1"/>
    </xf>
    <xf numFmtId="0" fontId="0" fillId="5" borderId="0" xfId="0" applyNumberFormat="1" applyFill="1"/>
    <xf numFmtId="0" fontId="0" fillId="3" borderId="25" xfId="0" applyNumberFormat="1" applyFill="1" applyBorder="1"/>
    <xf numFmtId="0" fontId="0" fillId="4" borderId="14" xfId="0" applyNumberFormat="1" applyFill="1" applyBorder="1"/>
    <xf numFmtId="0" fontId="3" fillId="0" borderId="26" xfId="0" applyFont="1" applyBorder="1" applyProtection="1">
      <protection locked="0"/>
    </xf>
    <xf numFmtId="0" fontId="3" fillId="0" borderId="27" xfId="0" applyFont="1" applyBorder="1" applyAlignment="1" applyProtection="1">
      <protection locked="0"/>
    </xf>
    <xf numFmtId="0" fontId="3" fillId="0" borderId="28" xfId="0" applyFont="1" applyBorder="1" applyProtection="1">
      <protection locked="0"/>
    </xf>
    <xf numFmtId="49" fontId="4" fillId="0" borderId="0" xfId="0" applyNumberFormat="1" applyFont="1" applyBorder="1" applyAlignment="1" applyProtection="1">
      <alignment horizontal="left"/>
      <protection locked="0"/>
    </xf>
    <xf numFmtId="165" fontId="4" fillId="2" borderId="16" xfId="0" applyNumberFormat="1" applyFont="1" applyFill="1" applyBorder="1" applyAlignment="1">
      <alignment horizontal="center" vertical="center"/>
    </xf>
    <xf numFmtId="165" fontId="6" fillId="2" borderId="24" xfId="0" applyNumberFormat="1" applyFont="1" applyFill="1" applyBorder="1" applyAlignment="1">
      <alignment horizontal="center" vertical="center"/>
    </xf>
    <xf numFmtId="0" fontId="4" fillId="2" borderId="29" xfId="0" applyNumberFormat="1" applyFont="1" applyFill="1" applyBorder="1" applyAlignment="1">
      <alignment horizontal="center" vertical="center"/>
    </xf>
    <xf numFmtId="165" fontId="6" fillId="2" borderId="20" xfId="0" applyNumberFormat="1" applyFont="1" applyFill="1" applyBorder="1" applyAlignment="1">
      <alignment horizontal="center" vertical="center"/>
    </xf>
    <xf numFmtId="165" fontId="6" fillId="2" borderId="23" xfId="0" applyNumberFormat="1" applyFont="1" applyFill="1" applyBorder="1" applyAlignment="1">
      <alignment horizontal="center" vertical="center"/>
    </xf>
    <xf numFmtId="0" fontId="6" fillId="2" borderId="16" xfId="0" applyFont="1" applyFill="1" applyBorder="1" applyAlignment="1">
      <alignment horizontal="center" vertical="center" wrapText="1"/>
    </xf>
    <xf numFmtId="0" fontId="6" fillId="0" borderId="19" xfId="0" applyFont="1" applyBorder="1" applyAlignment="1">
      <alignment horizontal="center" vertical="center" wrapText="1"/>
    </xf>
    <xf numFmtId="165" fontId="9" fillId="0" borderId="29" xfId="0" applyNumberFormat="1" applyFont="1" applyBorder="1" applyAlignment="1">
      <alignment horizontal="center" vertical="center"/>
    </xf>
    <xf numFmtId="165" fontId="6" fillId="0" borderId="19" xfId="0" applyNumberFormat="1" applyFont="1" applyBorder="1" applyAlignment="1">
      <alignment horizontal="center" vertical="center"/>
    </xf>
    <xf numFmtId="1" fontId="6" fillId="0" borderId="16" xfId="0" applyNumberFormat="1" applyFont="1" applyBorder="1" applyAlignment="1">
      <alignment horizontal="center" vertical="center"/>
    </xf>
    <xf numFmtId="1" fontId="6" fillId="0" borderId="16" xfId="0" applyNumberFormat="1" applyFont="1" applyBorder="1" applyAlignment="1" applyProtection="1">
      <alignment horizontal="center" vertical="center"/>
      <protection locked="0"/>
    </xf>
    <xf numFmtId="1" fontId="6" fillId="0" borderId="30" xfId="0" applyNumberFormat="1" applyFont="1" applyBorder="1" applyAlignment="1" applyProtection="1">
      <alignment horizontal="center" vertical="center"/>
      <protection locked="0"/>
    </xf>
    <xf numFmtId="165" fontId="6" fillId="0" borderId="16" xfId="0" applyNumberFormat="1" applyFont="1" applyBorder="1" applyAlignment="1" applyProtection="1">
      <alignment horizontal="center" vertical="center"/>
      <protection locked="0"/>
    </xf>
    <xf numFmtId="0" fontId="3" fillId="0" borderId="0" xfId="0" applyFont="1" applyBorder="1" applyProtection="1">
      <protection locked="0"/>
    </xf>
    <xf numFmtId="0" fontId="3" fillId="0" borderId="0" xfId="0" applyFont="1" applyBorder="1" applyAlignment="1" applyProtection="1">
      <alignment textRotation="75"/>
      <protection locked="0"/>
    </xf>
    <xf numFmtId="1" fontId="3" fillId="0" borderId="16" xfId="0" applyNumberFormat="1" applyFont="1" applyBorder="1" applyAlignment="1" applyProtection="1">
      <alignment vertical="center" wrapText="1"/>
      <protection locked="0"/>
    </xf>
    <xf numFmtId="0" fontId="2" fillId="0" borderId="0" xfId="0" applyFont="1" applyBorder="1" applyAlignment="1"/>
    <xf numFmtId="0" fontId="6" fillId="0" borderId="4" xfId="0" applyFont="1" applyBorder="1" applyAlignment="1">
      <alignment horizontal="center" vertical="center" wrapText="1"/>
    </xf>
    <xf numFmtId="165" fontId="6" fillId="2" borderId="31" xfId="0" applyNumberFormat="1" applyFont="1" applyFill="1" applyBorder="1" applyAlignment="1">
      <alignment horizontal="center" vertical="center"/>
    </xf>
    <xf numFmtId="165" fontId="6" fillId="2" borderId="32" xfId="0" applyNumberFormat="1" applyFont="1" applyFill="1" applyBorder="1" applyAlignment="1">
      <alignment horizontal="center" vertical="center"/>
    </xf>
    <xf numFmtId="165" fontId="6" fillId="2" borderId="33" xfId="0" applyNumberFormat="1" applyFont="1" applyFill="1" applyBorder="1" applyAlignment="1">
      <alignment horizontal="center" vertical="center"/>
    </xf>
    <xf numFmtId="165" fontId="4" fillId="2" borderId="4" xfId="0" applyNumberFormat="1" applyFont="1" applyFill="1" applyBorder="1" applyAlignment="1">
      <alignment horizontal="center" vertical="center"/>
    </xf>
    <xf numFmtId="0" fontId="4" fillId="2" borderId="7" xfId="0" applyNumberFormat="1" applyFont="1" applyFill="1" applyBorder="1" applyAlignment="1">
      <alignment horizontal="center" vertical="center"/>
    </xf>
    <xf numFmtId="165" fontId="6" fillId="0" borderId="4" xfId="0" applyNumberFormat="1" applyFont="1" applyBorder="1" applyAlignment="1" applyProtection="1">
      <alignment horizontal="center" vertical="center"/>
      <protection locked="0"/>
    </xf>
    <xf numFmtId="165" fontId="6" fillId="0" borderId="8" xfId="0" applyNumberFormat="1" applyFont="1" applyBorder="1" applyAlignment="1" applyProtection="1">
      <alignment horizontal="center" vertical="center"/>
      <protection locked="0"/>
    </xf>
    <xf numFmtId="165" fontId="9" fillId="0" borderId="7" xfId="0" applyNumberFormat="1" applyFont="1" applyBorder="1" applyAlignment="1">
      <alignment horizontal="center" vertical="center"/>
    </xf>
    <xf numFmtId="0" fontId="6" fillId="0" borderId="9" xfId="0" applyFont="1" applyBorder="1" applyAlignment="1">
      <alignment horizontal="center" vertical="center" wrapText="1"/>
    </xf>
    <xf numFmtId="1" fontId="6" fillId="0" borderId="4" xfId="0" applyNumberFormat="1" applyFont="1" applyBorder="1" applyAlignment="1" applyProtection="1">
      <alignment horizontal="center" vertical="center"/>
      <protection locked="0"/>
    </xf>
    <xf numFmtId="1" fontId="6" fillId="0" borderId="5" xfId="0" applyNumberFormat="1" applyFont="1" applyBorder="1" applyAlignment="1" applyProtection="1">
      <alignment horizontal="center" vertical="center"/>
      <protection locked="0"/>
    </xf>
    <xf numFmtId="165" fontId="6" fillId="0" borderId="9" xfId="0" applyNumberFormat="1" applyFont="1" applyBorder="1" applyAlignment="1">
      <alignment horizontal="center" vertical="center"/>
    </xf>
    <xf numFmtId="1" fontId="6" fillId="0" borderId="4" xfId="0" applyNumberFormat="1" applyFont="1" applyBorder="1" applyAlignment="1">
      <alignment horizontal="center" vertical="center"/>
    </xf>
    <xf numFmtId="1" fontId="3" fillId="0" borderId="16" xfId="0" applyNumberFormat="1" applyFont="1" applyBorder="1" applyAlignment="1" applyProtection="1">
      <alignment vertical="center" wrapText="1"/>
    </xf>
    <xf numFmtId="1" fontId="3" fillId="0" borderId="4" xfId="0" applyNumberFormat="1" applyFont="1" applyBorder="1" applyAlignment="1" applyProtection="1">
      <alignment vertical="center" wrapText="1"/>
    </xf>
    <xf numFmtId="0" fontId="7" fillId="0" borderId="4" xfId="0" applyFont="1" applyBorder="1" applyAlignment="1">
      <alignment horizontal="center"/>
    </xf>
    <xf numFmtId="49" fontId="16" fillId="0" borderId="7" xfId="0" applyNumberFormat="1" applyFont="1" applyFill="1" applyBorder="1" applyAlignment="1">
      <alignment horizontal="center"/>
    </xf>
    <xf numFmtId="49" fontId="5" fillId="0" borderId="34" xfId="0" applyNumberFormat="1" applyFont="1" applyBorder="1" applyAlignment="1">
      <alignment vertical="center" wrapText="1"/>
    </xf>
    <xf numFmtId="0" fontId="9" fillId="0" borderId="22" xfId="0" applyNumberFormat="1" applyFont="1" applyFill="1" applyBorder="1" applyAlignment="1">
      <alignment horizontal="center"/>
    </xf>
    <xf numFmtId="0" fontId="4" fillId="2" borderId="35" xfId="0" applyNumberFormat="1" applyFont="1" applyFill="1" applyBorder="1" applyAlignment="1">
      <alignment horizontal="center" vertical="center" wrapText="1"/>
    </xf>
    <xf numFmtId="0" fontId="0" fillId="0" borderId="28" xfId="0" applyBorder="1"/>
    <xf numFmtId="0" fontId="22" fillId="0" borderId="0" xfId="0" applyFont="1"/>
    <xf numFmtId="0" fontId="23" fillId="0" borderId="0" xfId="0" applyFont="1"/>
    <xf numFmtId="0" fontId="0" fillId="0" borderId="0" xfId="0" applyBorder="1"/>
    <xf numFmtId="14" fontId="3" fillId="0" borderId="0" xfId="0" applyNumberFormat="1" applyFont="1" applyAlignment="1">
      <alignment horizontal="left"/>
    </xf>
    <xf numFmtId="166" fontId="0" fillId="0" borderId="0" xfId="0" applyNumberFormat="1"/>
    <xf numFmtId="17" fontId="0" fillId="0" borderId="0" xfId="0" applyNumberFormat="1"/>
    <xf numFmtId="16" fontId="0" fillId="0" borderId="0" xfId="0" applyNumberFormat="1"/>
    <xf numFmtId="2" fontId="0" fillId="0" borderId="0" xfId="0" applyNumberFormat="1"/>
    <xf numFmtId="0" fontId="12" fillId="0" borderId="0" xfId="0" applyNumberFormat="1" applyFont="1" applyBorder="1" applyAlignment="1" applyProtection="1">
      <alignment horizontal="left"/>
      <protection locked="0"/>
    </xf>
    <xf numFmtId="49" fontId="3" fillId="0" borderId="0" xfId="0" applyNumberFormat="1" applyFont="1" applyBorder="1" applyAlignment="1">
      <alignment vertical="top"/>
    </xf>
    <xf numFmtId="0" fontId="24" fillId="0" borderId="0" xfId="0" applyFont="1"/>
    <xf numFmtId="0" fontId="25" fillId="0" borderId="0" xfId="0" applyFont="1"/>
    <xf numFmtId="0" fontId="26" fillId="0" borderId="0" xfId="0" applyFont="1"/>
    <xf numFmtId="0" fontId="26" fillId="0" borderId="0" xfId="0" applyFont="1" applyAlignment="1">
      <alignment wrapText="1"/>
    </xf>
    <xf numFmtId="0" fontId="25" fillId="0" borderId="0" xfId="0" applyFont="1" applyProtection="1">
      <protection locked="0"/>
    </xf>
    <xf numFmtId="0" fontId="0" fillId="0" borderId="0" xfId="0" applyProtection="1">
      <protection locked="0"/>
    </xf>
    <xf numFmtId="0" fontId="34" fillId="0" borderId="0" xfId="0" applyFont="1" applyAlignment="1">
      <alignment wrapText="1"/>
    </xf>
    <xf numFmtId="0" fontId="0" fillId="0" borderId="0" xfId="0" applyAlignment="1">
      <alignment horizontal="right"/>
    </xf>
    <xf numFmtId="165" fontId="8" fillId="0" borderId="16" xfId="0" applyNumberFormat="1" applyFont="1" applyFill="1" applyBorder="1" applyAlignment="1" applyProtection="1">
      <alignment horizontal="center" vertical="center"/>
    </xf>
    <xf numFmtId="165" fontId="8" fillId="2" borderId="16" xfId="0" applyNumberFormat="1" applyFont="1" applyFill="1" applyBorder="1" applyAlignment="1" applyProtection="1">
      <alignment horizontal="center" vertical="center"/>
    </xf>
    <xf numFmtId="165" fontId="8" fillId="2" borderId="36" xfId="0" applyNumberFormat="1" applyFont="1" applyFill="1" applyBorder="1" applyAlignment="1" applyProtection="1">
      <alignment horizontal="center" vertical="center"/>
    </xf>
    <xf numFmtId="165" fontId="8" fillId="2" borderId="19" xfId="0" applyNumberFormat="1" applyFont="1" applyFill="1" applyBorder="1" applyAlignment="1" applyProtection="1">
      <alignment horizontal="center" vertical="center"/>
    </xf>
    <xf numFmtId="165" fontId="8" fillId="0" borderId="4" xfId="0" applyNumberFormat="1" applyFont="1" applyFill="1" applyBorder="1" applyAlignment="1" applyProtection="1">
      <alignment horizontal="center" vertical="center"/>
    </xf>
    <xf numFmtId="165" fontId="8" fillId="2" borderId="4" xfId="0" applyNumberFormat="1" applyFont="1" applyFill="1" applyBorder="1" applyAlignment="1" applyProtection="1">
      <alignment horizontal="center" vertical="center"/>
    </xf>
    <xf numFmtId="165" fontId="8" fillId="2" borderId="6" xfId="0" applyNumberFormat="1" applyFont="1" applyFill="1" applyBorder="1" applyAlignment="1" applyProtection="1">
      <alignment horizontal="center" vertical="center"/>
    </xf>
    <xf numFmtId="165" fontId="8" fillId="2" borderId="9" xfId="0" applyNumberFormat="1" applyFont="1" applyFill="1" applyBorder="1" applyAlignment="1" applyProtection="1">
      <alignment horizontal="center" vertical="center"/>
    </xf>
    <xf numFmtId="0" fontId="14" fillId="0" borderId="0" xfId="0" applyFont="1"/>
    <xf numFmtId="0" fontId="15" fillId="0" borderId="0" xfId="2" applyAlignment="1" applyProtection="1"/>
    <xf numFmtId="2" fontId="3" fillId="0" borderId="0" xfId="0" applyNumberFormat="1" applyFont="1" applyBorder="1"/>
    <xf numFmtId="49" fontId="32" fillId="0" borderId="0" xfId="1" applyNumberFormat="1" applyFont="1"/>
    <xf numFmtId="0" fontId="0" fillId="0" borderId="0" xfId="0" applyFont="1" applyFill="1"/>
    <xf numFmtId="0" fontId="5" fillId="0" borderId="5" xfId="0" applyFont="1" applyBorder="1" applyAlignment="1">
      <alignment horizontal="center" wrapText="1"/>
    </xf>
    <xf numFmtId="49" fontId="18" fillId="0" borderId="4" xfId="0" applyNumberFormat="1" applyFont="1" applyBorder="1" applyAlignment="1">
      <alignment horizontal="center" vertical="center" wrapText="1"/>
    </xf>
    <xf numFmtId="0" fontId="14" fillId="0" borderId="0" xfId="0" applyFont="1" applyAlignment="1">
      <alignment horizontal="left"/>
    </xf>
    <xf numFmtId="0" fontId="0" fillId="0" borderId="0" xfId="0" applyFill="1"/>
    <xf numFmtId="0" fontId="28" fillId="0" borderId="0" xfId="0" applyFont="1" applyAlignment="1">
      <alignment vertical="top"/>
    </xf>
    <xf numFmtId="0" fontId="14" fillId="0" borderId="0" xfId="0" applyFont="1" applyAlignment="1">
      <alignment horizontal="left" wrapText="1"/>
    </xf>
    <xf numFmtId="0" fontId="27" fillId="0" borderId="0" xfId="0" applyFont="1" applyBorder="1"/>
    <xf numFmtId="0" fontId="0" fillId="0" borderId="4" xfId="0" applyBorder="1"/>
    <xf numFmtId="0" fontId="0" fillId="0" borderId="0" xfId="0" applyProtection="1"/>
    <xf numFmtId="3" fontId="0" fillId="0" borderId="0" xfId="0" applyNumberFormat="1" applyProtection="1"/>
    <xf numFmtId="0" fontId="0" fillId="0" borderId="0" xfId="0" applyAlignment="1">
      <alignment vertical="top"/>
    </xf>
    <xf numFmtId="0" fontId="35" fillId="0" borderId="0" xfId="0" applyFont="1" applyAlignment="1">
      <alignment wrapText="1"/>
    </xf>
    <xf numFmtId="49" fontId="17" fillId="0" borderId="5" xfId="0" applyNumberFormat="1" applyFont="1" applyFill="1" applyBorder="1" applyAlignment="1">
      <alignment horizontal="left" textRotation="60" wrapText="1"/>
    </xf>
    <xf numFmtId="49" fontId="17" fillId="0" borderId="7" xfId="0" applyNumberFormat="1" applyFont="1" applyFill="1" applyBorder="1" applyAlignment="1">
      <alignment horizontal="left" textRotation="60" wrapText="1"/>
    </xf>
    <xf numFmtId="0" fontId="3" fillId="4" borderId="3" xfId="0" applyNumberFormat="1" applyFont="1" applyFill="1" applyBorder="1" applyAlignment="1">
      <alignment horizontal="center"/>
    </xf>
    <xf numFmtId="0" fontId="11" fillId="0" borderId="37" xfId="0" applyFont="1" applyBorder="1" applyAlignment="1">
      <alignment vertical="top"/>
    </xf>
    <xf numFmtId="0" fontId="11" fillId="0" borderId="38" xfId="0" applyFont="1" applyBorder="1" applyAlignment="1">
      <alignment vertical="top"/>
    </xf>
    <xf numFmtId="0" fontId="11" fillId="0" borderId="10" xfId="0" applyFont="1" applyBorder="1" applyAlignment="1">
      <alignment vertical="top"/>
    </xf>
    <xf numFmtId="0" fontId="6" fillId="0" borderId="13" xfId="0" applyFont="1" applyBorder="1" applyAlignment="1">
      <alignment horizontal="center" vertical="center" wrapText="1"/>
    </xf>
    <xf numFmtId="0" fontId="6" fillId="0" borderId="12" xfId="0" applyFont="1" applyBorder="1" applyAlignment="1">
      <alignment horizontal="center" vertical="center" wrapText="1"/>
    </xf>
    <xf numFmtId="1" fontId="3" fillId="0" borderId="12" xfId="0" applyNumberFormat="1" applyFont="1" applyBorder="1" applyAlignment="1" applyProtection="1">
      <alignment vertical="center" wrapText="1"/>
    </xf>
    <xf numFmtId="165" fontId="8" fillId="2" borderId="39" xfId="0" applyNumberFormat="1" applyFont="1" applyFill="1" applyBorder="1" applyAlignment="1" applyProtection="1">
      <alignment horizontal="center" vertical="center"/>
    </xf>
    <xf numFmtId="165" fontId="8" fillId="2" borderId="40" xfId="0" applyNumberFormat="1" applyFont="1" applyFill="1" applyBorder="1" applyAlignment="1" applyProtection="1">
      <alignment horizontal="center" vertical="center"/>
    </xf>
    <xf numFmtId="165" fontId="8" fillId="2" borderId="41" xfId="0" applyNumberFormat="1" applyFont="1" applyFill="1" applyBorder="1" applyAlignment="1" applyProtection="1">
      <alignment horizontal="center" vertical="center"/>
    </xf>
    <xf numFmtId="165" fontId="8" fillId="2" borderId="42" xfId="0" applyNumberFormat="1" applyFont="1" applyFill="1" applyBorder="1" applyAlignment="1" applyProtection="1">
      <alignment horizontal="center" vertical="center"/>
    </xf>
    <xf numFmtId="0" fontId="6" fillId="0" borderId="43" xfId="0" applyFont="1" applyBorder="1" applyAlignment="1" applyProtection="1">
      <alignment horizontal="center" vertical="center"/>
      <protection locked="0"/>
    </xf>
    <xf numFmtId="0" fontId="6" fillId="0" borderId="34" xfId="0" applyFont="1" applyBorder="1" applyAlignment="1" applyProtection="1">
      <alignment horizontal="center" vertical="center"/>
      <protection locked="0"/>
    </xf>
    <xf numFmtId="0" fontId="6" fillId="0" borderId="44" xfId="0" applyFont="1" applyBorder="1" applyAlignment="1" applyProtection="1">
      <alignment horizontal="center" vertical="center"/>
      <protection locked="0"/>
    </xf>
    <xf numFmtId="0" fontId="6" fillId="0" borderId="12" xfId="0" applyFont="1" applyBorder="1" applyAlignment="1" applyProtection="1">
      <alignment horizontal="center" vertical="center"/>
      <protection locked="0"/>
    </xf>
    <xf numFmtId="0" fontId="6" fillId="0" borderId="1" xfId="0" applyFont="1" applyBorder="1" applyAlignment="1" applyProtection="1">
      <alignment horizontal="center" vertical="center"/>
      <protection locked="0"/>
    </xf>
    <xf numFmtId="0" fontId="6" fillId="0" borderId="45" xfId="0" applyFont="1" applyBorder="1" applyAlignment="1" applyProtection="1">
      <alignment horizontal="center" vertical="center"/>
      <protection locked="0"/>
    </xf>
    <xf numFmtId="0" fontId="6" fillId="0" borderId="13" xfId="0" applyFont="1" applyBorder="1" applyAlignment="1">
      <alignment horizontal="center" vertical="center"/>
    </xf>
    <xf numFmtId="1" fontId="3" fillId="0" borderId="4" xfId="0" applyNumberFormat="1" applyFont="1" applyBorder="1" applyAlignment="1" applyProtection="1">
      <alignment vertical="center" wrapText="1"/>
      <protection locked="0"/>
    </xf>
    <xf numFmtId="0" fontId="36" fillId="0" borderId="46" xfId="0" applyFont="1" applyBorder="1"/>
    <xf numFmtId="0" fontId="36" fillId="0" borderId="28" xfId="0" applyFont="1" applyBorder="1"/>
    <xf numFmtId="0" fontId="29" fillId="0" borderId="0" xfId="0" applyFont="1" applyAlignment="1">
      <alignment horizontal="left"/>
    </xf>
    <xf numFmtId="0" fontId="36" fillId="0" borderId="47" xfId="0" applyFont="1" applyBorder="1"/>
    <xf numFmtId="0" fontId="36" fillId="0" borderId="0" xfId="0" applyFont="1"/>
    <xf numFmtId="0" fontId="36" fillId="0" borderId="46" xfId="0" applyFont="1" applyFill="1" applyBorder="1"/>
    <xf numFmtId="0" fontId="8" fillId="0" borderId="46" xfId="0" applyFont="1" applyFill="1" applyBorder="1"/>
    <xf numFmtId="0" fontId="8" fillId="0" borderId="28" xfId="0" applyFont="1" applyBorder="1"/>
    <xf numFmtId="0" fontId="8" fillId="0" borderId="0" xfId="0" applyFont="1"/>
    <xf numFmtId="0" fontId="30" fillId="0" borderId="28" xfId="0" applyFont="1" applyBorder="1"/>
    <xf numFmtId="0" fontId="29" fillId="0" borderId="0" xfId="0" applyFont="1" applyAlignment="1">
      <alignment horizontal="left" vertical="top"/>
    </xf>
    <xf numFmtId="0" fontId="37" fillId="0" borderId="0" xfId="0" applyFont="1" applyAlignment="1">
      <alignment horizontal="right"/>
    </xf>
    <xf numFmtId="0" fontId="7" fillId="0" borderId="21" xfId="0" applyNumberFormat="1" applyFont="1" applyFill="1" applyBorder="1" applyAlignment="1">
      <alignment horizontal="left" textRotation="60" wrapText="1"/>
    </xf>
    <xf numFmtId="20" fontId="3" fillId="0" borderId="0" xfId="0" applyNumberFormat="1" applyFont="1" applyBorder="1" applyAlignment="1">
      <alignment horizontal="left" vertical="top"/>
    </xf>
    <xf numFmtId="14" fontId="16" fillId="0" borderId="0" xfId="0" applyNumberFormat="1" applyFont="1" applyBorder="1" applyAlignment="1" applyProtection="1">
      <alignment horizontal="left" vertical="top"/>
      <protection locked="0"/>
    </xf>
    <xf numFmtId="0" fontId="3" fillId="0" borderId="0" xfId="0" applyFont="1" applyBorder="1" applyAlignment="1">
      <alignment horizontal="left" vertical="top"/>
    </xf>
    <xf numFmtId="167" fontId="16" fillId="0" borderId="0" xfId="0" applyNumberFormat="1" applyFont="1" applyBorder="1" applyAlignment="1" applyProtection="1">
      <alignment horizontal="left" vertical="top"/>
      <protection locked="0"/>
    </xf>
    <xf numFmtId="165" fontId="16" fillId="0" borderId="0" xfId="0" applyNumberFormat="1" applyFont="1" applyFill="1" applyBorder="1" applyAlignment="1" applyProtection="1">
      <alignment horizontal="left" vertical="top"/>
      <protection locked="0"/>
    </xf>
    <xf numFmtId="49" fontId="16" fillId="0" borderId="0" xfId="0" applyNumberFormat="1" applyFont="1" applyBorder="1" applyAlignment="1" applyProtection="1">
      <alignment horizontal="left" vertical="top"/>
      <protection locked="0"/>
    </xf>
    <xf numFmtId="0" fontId="38" fillId="0" borderId="0" xfId="0" applyFont="1" applyBorder="1"/>
    <xf numFmtId="49" fontId="7" fillId="0" borderId="48" xfId="0" applyNumberFormat="1" applyFont="1" applyBorder="1" applyAlignment="1">
      <alignment horizontal="center"/>
    </xf>
    <xf numFmtId="165" fontId="6" fillId="0" borderId="49" xfId="0" applyNumberFormat="1" applyFont="1" applyBorder="1" applyAlignment="1">
      <alignment horizontal="center" vertical="center"/>
    </xf>
    <xf numFmtId="0" fontId="21" fillId="0" borderId="7" xfId="0" applyFont="1" applyBorder="1" applyAlignment="1">
      <alignment horizontal="center" wrapText="1"/>
    </xf>
    <xf numFmtId="0" fontId="3" fillId="0" borderId="7" xfId="0" applyFont="1" applyBorder="1" applyAlignment="1">
      <alignment horizontal="center"/>
    </xf>
    <xf numFmtId="0" fontId="6" fillId="0" borderId="29" xfId="0" applyFont="1" applyBorder="1" applyAlignment="1">
      <alignment horizontal="center" vertical="center" wrapText="1"/>
    </xf>
    <xf numFmtId="0" fontId="21" fillId="0" borderId="50" xfId="0" applyFont="1" applyBorder="1" applyAlignment="1">
      <alignment horizontal="center" wrapText="1"/>
    </xf>
    <xf numFmtId="0" fontId="3" fillId="0" borderId="50" xfId="0" applyFont="1" applyBorder="1" applyAlignment="1">
      <alignment horizontal="center"/>
    </xf>
    <xf numFmtId="165" fontId="9" fillId="0" borderId="51" xfId="0" applyNumberFormat="1" applyFont="1" applyBorder="1" applyAlignment="1">
      <alignment horizontal="center" vertical="center"/>
    </xf>
    <xf numFmtId="0" fontId="6" fillId="0" borderId="7" xfId="0" applyFont="1" applyBorder="1" applyAlignment="1">
      <alignment horizontal="center" vertical="center" wrapText="1"/>
    </xf>
    <xf numFmtId="0" fontId="5" fillId="0" borderId="12" xfId="0" applyFont="1" applyBorder="1" applyAlignment="1" applyProtection="1">
      <alignment horizontal="center" vertical="center"/>
      <protection locked="0"/>
    </xf>
    <xf numFmtId="165" fontId="6" fillId="0" borderId="12" xfId="0" applyNumberFormat="1" applyFont="1" applyBorder="1" applyAlignment="1" applyProtection="1">
      <alignment horizontal="center" vertical="center"/>
      <protection locked="0"/>
    </xf>
    <xf numFmtId="0" fontId="6" fillId="0" borderId="1" xfId="0" applyFont="1" applyBorder="1" applyAlignment="1">
      <alignment horizontal="center" vertical="center" wrapText="1"/>
    </xf>
    <xf numFmtId="0" fontId="6" fillId="0" borderId="43" xfId="0" applyFont="1" applyBorder="1" applyAlignment="1">
      <alignment horizontal="center" vertical="center" wrapText="1"/>
    </xf>
    <xf numFmtId="1" fontId="3" fillId="0" borderId="43" xfId="0" applyNumberFormat="1" applyFont="1" applyBorder="1" applyAlignment="1" applyProtection="1">
      <alignment vertical="center" wrapText="1"/>
    </xf>
    <xf numFmtId="1" fontId="6" fillId="0" borderId="43" xfId="0" applyNumberFormat="1" applyFont="1" applyBorder="1" applyAlignment="1" applyProtection="1">
      <alignment horizontal="center" vertical="center"/>
      <protection locked="0"/>
    </xf>
    <xf numFmtId="1" fontId="6" fillId="0" borderId="52" xfId="0" applyNumberFormat="1" applyFont="1" applyBorder="1" applyAlignment="1" applyProtection="1">
      <alignment horizontal="center" vertical="center"/>
      <protection locked="0"/>
    </xf>
    <xf numFmtId="165" fontId="6" fillId="0" borderId="53" xfId="0" applyNumberFormat="1" applyFont="1" applyBorder="1" applyAlignment="1">
      <alignment horizontal="center" vertical="center"/>
    </xf>
    <xf numFmtId="165" fontId="9" fillId="0" borderId="34" xfId="0" applyNumberFormat="1" applyFont="1" applyBorder="1" applyAlignment="1">
      <alignment horizontal="center" vertical="center"/>
    </xf>
    <xf numFmtId="0" fontId="6" fillId="0" borderId="53" xfId="0" applyFont="1" applyBorder="1" applyAlignment="1">
      <alignment horizontal="center" vertical="center" wrapText="1"/>
    </xf>
    <xf numFmtId="1" fontId="6" fillId="0" borderId="12" xfId="0" applyNumberFormat="1" applyFont="1" applyBorder="1" applyAlignment="1" applyProtection="1">
      <alignment horizontal="center" vertical="center"/>
      <protection locked="0"/>
    </xf>
    <xf numFmtId="1" fontId="6" fillId="0" borderId="2" xfId="0" applyNumberFormat="1" applyFont="1" applyBorder="1" applyAlignment="1" applyProtection="1">
      <alignment horizontal="center" vertical="center"/>
      <protection locked="0"/>
    </xf>
    <xf numFmtId="165" fontId="6" fillId="0" borderId="13" xfId="0" applyNumberFormat="1" applyFont="1" applyBorder="1" applyAlignment="1">
      <alignment horizontal="center" vertical="center"/>
    </xf>
    <xf numFmtId="165" fontId="9" fillId="0" borderId="1" xfId="0" applyNumberFormat="1" applyFont="1" applyBorder="1" applyAlignment="1">
      <alignment horizontal="center" vertical="center"/>
    </xf>
    <xf numFmtId="165" fontId="8" fillId="0" borderId="12" xfId="0" applyNumberFormat="1" applyFont="1" applyFill="1" applyBorder="1" applyAlignment="1" applyProtection="1">
      <alignment horizontal="center" vertical="center"/>
    </xf>
    <xf numFmtId="165" fontId="8" fillId="2" borderId="12" xfId="0" applyNumberFormat="1" applyFont="1" applyFill="1" applyBorder="1" applyAlignment="1" applyProtection="1">
      <alignment horizontal="center" vertical="center"/>
    </xf>
    <xf numFmtId="165" fontId="8" fillId="2" borderId="45" xfId="0" applyNumberFormat="1" applyFont="1" applyFill="1" applyBorder="1" applyAlignment="1" applyProtection="1">
      <alignment horizontal="center" vertical="center"/>
    </xf>
    <xf numFmtId="165" fontId="8" fillId="2" borderId="54" xfId="0" applyNumberFormat="1" applyFont="1" applyFill="1" applyBorder="1" applyAlignment="1" applyProtection="1">
      <alignment horizontal="center" vertical="center"/>
    </xf>
    <xf numFmtId="165" fontId="8" fillId="2" borderId="55" xfId="0" applyNumberFormat="1" applyFont="1" applyFill="1" applyBorder="1" applyAlignment="1" applyProtection="1">
      <alignment horizontal="center" vertical="center"/>
    </xf>
    <xf numFmtId="0" fontId="3" fillId="0" borderId="52" xfId="0" applyFont="1" applyBorder="1"/>
    <xf numFmtId="49" fontId="3" fillId="0" borderId="28" xfId="0" applyNumberFormat="1" applyFont="1" applyBorder="1" applyProtection="1">
      <protection locked="0"/>
    </xf>
    <xf numFmtId="49" fontId="3" fillId="0" borderId="26" xfId="0" applyNumberFormat="1" applyFont="1" applyBorder="1" applyProtection="1">
      <protection locked="0"/>
    </xf>
    <xf numFmtId="49" fontId="3" fillId="0" borderId="56" xfId="0" applyNumberFormat="1" applyFont="1" applyBorder="1" applyProtection="1">
      <protection locked="0"/>
    </xf>
    <xf numFmtId="0" fontId="39" fillId="0" borderId="0" xfId="0" applyFont="1" applyAlignment="1">
      <alignment horizontal="right"/>
    </xf>
    <xf numFmtId="0" fontId="6" fillId="0" borderId="2" xfId="0" applyFont="1" applyBorder="1" applyAlignment="1" applyProtection="1">
      <alignment horizontal="center" vertical="center"/>
      <protection locked="0"/>
    </xf>
    <xf numFmtId="0" fontId="9" fillId="0" borderId="5" xfId="0" applyFont="1" applyBorder="1" applyAlignment="1">
      <alignment horizontal="center" wrapText="1"/>
    </xf>
    <xf numFmtId="0" fontId="21" fillId="0" borderId="9" xfId="0" applyFont="1" applyBorder="1" applyAlignment="1">
      <alignment horizontal="center" wrapText="1"/>
    </xf>
    <xf numFmtId="0" fontId="5" fillId="0" borderId="3" xfId="0" applyFont="1" applyBorder="1" applyAlignment="1">
      <alignment horizontal="center" wrapText="1"/>
    </xf>
    <xf numFmtId="0" fontId="40" fillId="0" borderId="3" xfId="0" quotePrefix="1" applyFont="1" applyBorder="1" applyAlignment="1">
      <alignment horizontal="center" wrapText="1"/>
    </xf>
    <xf numFmtId="0" fontId="21" fillId="0" borderId="22" xfId="0" applyFont="1" applyBorder="1" applyAlignment="1">
      <alignment horizontal="center" wrapText="1"/>
    </xf>
    <xf numFmtId="0" fontId="21" fillId="0" borderId="9" xfId="0" applyFont="1" applyBorder="1" applyAlignment="1">
      <alignment horizontal="center"/>
    </xf>
    <xf numFmtId="0" fontId="5" fillId="6" borderId="61" xfId="0" applyFont="1" applyFill="1" applyBorder="1" applyAlignment="1" applyProtection="1">
      <alignment horizontal="center" vertical="center"/>
      <protection locked="0"/>
    </xf>
    <xf numFmtId="0" fontId="6" fillId="0" borderId="43" xfId="0" applyFont="1" applyBorder="1" applyAlignment="1">
      <alignment horizontal="center" vertical="center"/>
    </xf>
    <xf numFmtId="0" fontId="5" fillId="0" borderId="62" xfId="0" applyFont="1" applyBorder="1" applyAlignment="1">
      <alignment horizontal="center" wrapText="1"/>
    </xf>
    <xf numFmtId="0" fontId="33" fillId="0" borderId="0" xfId="0" applyFont="1" applyProtection="1"/>
    <xf numFmtId="0" fontId="6" fillId="0" borderId="63" xfId="0" applyFont="1" applyBorder="1" applyAlignment="1">
      <alignment horizontal="center" vertical="center" wrapText="1"/>
    </xf>
    <xf numFmtId="0" fontId="3" fillId="0" borderId="0" xfId="0" applyFont="1" applyBorder="1" applyAlignment="1" applyProtection="1">
      <protection locked="0"/>
    </xf>
    <xf numFmtId="165" fontId="6" fillId="0" borderId="48" xfId="0" applyNumberFormat="1" applyFont="1" applyBorder="1" applyAlignment="1">
      <alignment horizontal="center" vertical="center"/>
    </xf>
    <xf numFmtId="165" fontId="9" fillId="0" borderId="50" xfId="0" applyNumberFormat="1" applyFont="1" applyBorder="1" applyAlignment="1">
      <alignment horizontal="center" vertical="center"/>
    </xf>
    <xf numFmtId="165" fontId="31" fillId="2" borderId="64" xfId="0" applyNumberFormat="1" applyFont="1" applyFill="1" applyBorder="1" applyAlignment="1" applyProtection="1">
      <alignment horizontal="center" vertical="center" wrapText="1"/>
    </xf>
    <xf numFmtId="165" fontId="31" fillId="2" borderId="62" xfId="0" applyNumberFormat="1" applyFont="1" applyFill="1" applyBorder="1" applyAlignment="1" applyProtection="1">
      <alignment horizontal="center" vertical="center" wrapText="1"/>
    </xf>
    <xf numFmtId="49" fontId="5" fillId="6" borderId="57" xfId="0" applyNumberFormat="1" applyFont="1" applyFill="1" applyBorder="1" applyAlignment="1" applyProtection="1">
      <alignment horizontal="center" vertical="center"/>
      <protection locked="0"/>
    </xf>
    <xf numFmtId="49" fontId="5" fillId="6" borderId="58" xfId="0" applyNumberFormat="1" applyFont="1" applyFill="1" applyBorder="1" applyAlignment="1" applyProtection="1">
      <alignment horizontal="center" vertical="center"/>
      <protection locked="0"/>
    </xf>
    <xf numFmtId="49" fontId="5" fillId="6" borderId="59" xfId="0" applyNumberFormat="1" applyFont="1" applyFill="1" applyBorder="1" applyAlignment="1" applyProtection="1">
      <alignment horizontal="center" vertical="center"/>
      <protection locked="0"/>
    </xf>
    <xf numFmtId="49" fontId="5" fillId="6" borderId="60" xfId="0" applyNumberFormat="1" applyFont="1" applyFill="1" applyBorder="1" applyAlignment="1" applyProtection="1">
      <alignment horizontal="center" vertical="center"/>
      <protection locked="0"/>
    </xf>
    <xf numFmtId="0" fontId="14" fillId="0" borderId="0" xfId="0" applyNumberFormat="1" applyFont="1" applyAlignment="1" applyProtection="1">
      <alignment horizontal="left" vertical="top" wrapText="1"/>
      <protection locked="0"/>
    </xf>
    <xf numFmtId="0" fontId="12" fillId="0" borderId="0" xfId="0" applyFont="1" applyBorder="1" applyAlignment="1">
      <alignment horizontal="left"/>
    </xf>
    <xf numFmtId="0" fontId="0" fillId="0" borderId="0" xfId="0" applyAlignment="1"/>
    <xf numFmtId="0" fontId="3" fillId="0" borderId="0" xfId="0" applyFont="1" applyBorder="1" applyAlignment="1"/>
    <xf numFmtId="0" fontId="3" fillId="4" borderId="48" xfId="0" applyNumberFormat="1" applyFont="1" applyFill="1" applyBorder="1" applyAlignment="1">
      <alignment horizontal="center"/>
    </xf>
    <xf numFmtId="0" fontId="3" fillId="4" borderId="7" xfId="0" applyNumberFormat="1" applyFont="1" applyFill="1" applyBorder="1" applyAlignment="1">
      <alignment horizontal="center"/>
    </xf>
    <xf numFmtId="0" fontId="3" fillId="4" borderId="5" xfId="0" applyNumberFormat="1" applyFont="1" applyFill="1" applyBorder="1" applyAlignment="1">
      <alignment horizontal="center"/>
    </xf>
    <xf numFmtId="0" fontId="10" fillId="0" borderId="0" xfId="0" applyFont="1" applyBorder="1" applyAlignment="1">
      <alignment horizontal="left" shrinkToFit="1"/>
    </xf>
    <xf numFmtId="0" fontId="40" fillId="0" borderId="3" xfId="0" applyFont="1" applyBorder="1" applyAlignment="1">
      <alignment horizontal="center" vertical="center" wrapText="1"/>
    </xf>
    <xf numFmtId="1" fontId="3" fillId="0" borderId="16" xfId="0" applyNumberFormat="1" applyFont="1" applyBorder="1" applyAlignment="1" applyProtection="1">
      <alignment vertical="center" wrapText="1"/>
    </xf>
    <xf numFmtId="1" fontId="3" fillId="0" borderId="12" xfId="0" applyNumberFormat="1" applyFont="1" applyBorder="1" applyAlignment="1" applyProtection="1">
      <alignment vertical="center" wrapText="1"/>
    </xf>
    <xf numFmtId="0" fontId="6" fillId="0" borderId="16" xfId="0" applyFont="1" applyBorder="1" applyAlignment="1">
      <alignment horizontal="center" vertical="center" wrapText="1"/>
    </xf>
    <xf numFmtId="0" fontId="6" fillId="0" borderId="12" xfId="0" applyFont="1" applyBorder="1" applyAlignment="1">
      <alignment horizontal="center" vertical="center" wrapText="1"/>
    </xf>
    <xf numFmtId="0" fontId="6" fillId="0" borderId="16" xfId="0" applyFont="1" applyBorder="1" applyAlignment="1">
      <alignment horizontal="center" vertical="center"/>
    </xf>
    <xf numFmtId="0" fontId="6" fillId="0" borderId="12" xfId="0" applyFont="1" applyBorder="1" applyAlignment="1">
      <alignment horizontal="center" vertical="center"/>
    </xf>
    <xf numFmtId="0" fontId="6" fillId="0" borderId="19" xfId="0" applyFont="1" applyBorder="1" applyAlignment="1">
      <alignment horizontal="center" vertical="center" wrapText="1"/>
    </xf>
    <xf numFmtId="0" fontId="6" fillId="0" borderId="13" xfId="0" applyFont="1" applyBorder="1" applyAlignment="1">
      <alignment horizontal="center" vertical="center" wrapText="1"/>
    </xf>
    <xf numFmtId="0" fontId="9" fillId="0" borderId="36" xfId="0" applyFont="1" applyBorder="1" applyAlignment="1">
      <alignment horizontal="center" vertical="center"/>
    </xf>
    <xf numFmtId="0" fontId="9" fillId="0" borderId="45" xfId="0" applyFont="1" applyBorder="1" applyAlignment="1">
      <alignment horizontal="center" vertical="center"/>
    </xf>
    <xf numFmtId="0" fontId="6" fillId="0" borderId="29" xfId="0" applyFont="1" applyBorder="1" applyAlignment="1">
      <alignment horizontal="center" vertical="center"/>
    </xf>
    <xf numFmtId="0" fontId="11" fillId="0" borderId="37" xfId="0" applyFont="1" applyBorder="1" applyAlignment="1">
      <alignment vertical="center"/>
    </xf>
    <xf numFmtId="0" fontId="11" fillId="0" borderId="38" xfId="0" applyFont="1" applyBorder="1" applyAlignment="1">
      <alignment vertical="center"/>
    </xf>
    <xf numFmtId="0" fontId="11" fillId="0" borderId="10" xfId="0" applyFont="1" applyBorder="1" applyAlignment="1">
      <alignment vertical="center"/>
    </xf>
    <xf numFmtId="0" fontId="11" fillId="0" borderId="37" xfId="0" applyFont="1" applyBorder="1" applyAlignment="1">
      <alignment vertical="center" wrapText="1"/>
    </xf>
    <xf numFmtId="0" fontId="11" fillId="0" borderId="38" xfId="0" applyFont="1" applyBorder="1" applyAlignment="1">
      <alignment vertical="center" wrapText="1"/>
    </xf>
    <xf numFmtId="0" fontId="11" fillId="0" borderId="10" xfId="0" applyFont="1" applyBorder="1" applyAlignment="1">
      <alignment vertical="center" wrapText="1"/>
    </xf>
  </cellXfs>
  <cellStyles count="3">
    <cellStyle name="Comma" xfId="1" builtinId="3"/>
    <cellStyle name="Hyperlink" xfId="2" builtinId="8"/>
    <cellStyle name="Normal" xfId="0" builtinId="0"/>
  </cellStyles>
  <dxfs count="19">
    <dxf>
      <font>
        <b/>
        <i val="0"/>
        <strike val="0"/>
        <condense val="0"/>
        <extend val="0"/>
        <outline val="0"/>
        <shadow val="0"/>
        <u val="none"/>
        <vertAlign val="baseline"/>
        <sz val="18"/>
        <color auto="1"/>
        <name val="Calibri"/>
        <scheme val="none"/>
      </font>
      <numFmt numFmtId="0" formatCode="General"/>
      <fill>
        <patternFill patternType="solid">
          <fgColor indexed="64"/>
          <bgColor indexed="9"/>
        </patternFill>
      </fill>
      <alignment horizontal="center" vertical="center" textRotation="0" wrapText="1" indent="0" justifyLastLine="0" shrinkToFit="0" readingOrder="0"/>
      <border diagonalUp="0" diagonalDown="0">
        <left style="thin">
          <color indexed="64"/>
        </left>
        <right/>
        <top style="medium">
          <color indexed="64"/>
        </top>
        <bottom/>
      </border>
    </dxf>
    <dxf>
      <font>
        <b/>
        <i val="0"/>
        <strike val="0"/>
        <condense val="0"/>
        <extend val="0"/>
        <outline val="0"/>
        <shadow val="0"/>
        <u val="none"/>
        <vertAlign val="baseline"/>
        <sz val="18"/>
        <color auto="1"/>
        <name val="Calibri"/>
        <scheme val="none"/>
      </font>
      <numFmt numFmtId="165" formatCode="0.0"/>
      <fill>
        <patternFill patternType="solid">
          <fgColor indexed="64"/>
          <bgColor indexed="9"/>
        </patternFill>
      </fill>
      <alignment horizontal="center" vertical="center" textRotation="0" wrapText="0" indent="0" justifyLastLine="0" shrinkToFit="0" readingOrder="0"/>
      <border diagonalUp="0" diagonalDown="0">
        <left style="medium">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2"/>
        <color auto="1"/>
        <name val="Calibri"/>
        <scheme val="none"/>
      </font>
      <numFmt numFmtId="30" formatCode="@"/>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right style="medium">
          <color indexed="64"/>
        </right>
        <top/>
        <bottom/>
      </border>
    </dxf>
    <dxf>
      <font>
        <b val="0"/>
        <i val="0"/>
        <strike val="0"/>
        <condense val="0"/>
        <extend val="0"/>
        <outline val="0"/>
        <shadow val="0"/>
        <u val="none"/>
        <vertAlign val="baseline"/>
        <sz val="16"/>
        <color auto="1"/>
        <name val="Calibri"/>
        <scheme val="none"/>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indexed="8"/>
        <name val="Calibri"/>
        <scheme val="none"/>
      </font>
      <numFmt numFmtId="0" formatCode="Genera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2='http://freestyledisc.org/FPAScoresheets.xsd'">
  <Schema ID="Schema4" Namespace="http://freestyledisc.org/FPAScoresheets.xsd">
    <xs:schema xmlns="http://freestyledisc.org/FPAScoresheets.xsd" xmlns:mstns="http://freestyledisc.org/FPAScoresheets.xsd" xmlns:xs="http://www.w3.org/2001/XMLSchema" id="FPAScoresheets" targetNamespace="http://freestyledisc.org/FPAScoresheets.xsd" elementFormDefault="qualified">
      <xs:element name="ScoreSheet" type="ScoreSheet"/>
      <!--<xs:element name="ResultSet">
        <xs:complexType>
            <xs:sequence>
                <xs:element name="Result" type="Result" minOccurs="0" maxOccurs="100"/>
            </xs:sequence>
            <xs:attribute name="totalResultsAvailable" type="xs:integer"/>
            <xs:attribute name="totalResultsReturned" type="xs:integer"/>
            <xs:attribute name="firstResultPosition" type="xs:integer"/>
        </xs:complexType>       
    </xs:element>-->
      <xs:complexType name="ScoreSheet">
        <xs:sequence>
          <xs:element name="RoundSettings" type="RoundSettings"/>
          <xs:element name="Judges" type="Judges"/>
          <xs:element name="Players" type="Players"/>
          <xs:element name="Ex1" type="Ex1"/>
          <xs:element name="Ex2" type="Ex2"/>
          <xs:element name="Ex3" type="Ex3"/>
          <xs:element name="Ai1" type="Ai1"/>
          <xs:element name="Ai2" type="Ai2"/>
          <xs:element name="Ai3" type="Ai3"/>
          <xs:element name="Diff1" type="Diff1"/>
          <xs:element name="Diff2" type="Diff2"/>
          <xs:element name="Diff3" type="Diff3"/>
          <xs:sequence>
            <xs:element name="Result" type="Result" minOccurs="0" maxOccurs="100"/>
          </xs:sequence>
        </xs:sequence>
      </xs:complexType>
      <xs:complexType name="RoundSettings">
        <xs:sequence>
          <xs:element name="EventTitle" type="xs:string"/>
          <xs:element name="EventSubtitle" type="xs:string"/>
          <xs:element name="Division" type="xs:string"/>
          <xs:element name="Round" type="xs:string"/>
          <xs:element name="Pool" type="xs:string"/>
          <xs:element name="Date" type="xs:date"/>
          <xs:element name="Time" type="xs:dateTime"/>
          <xs:element name="Pool" type="xs:string"/>
          <xs:element name="HeadJudge" type="xs:string"/>
          <xs:element name="Minutes" type="xs:double"/>
          <xs:element name="NumberOfJudgesForCategory" type="xs:int"/>
        </xs:sequence>
      </xs:complexType>
      <xs:complexType name="Judges">
        <xs:sequence>
          <xs:element name="Ex1" type="xs:string"/>
          <xs:element name="Ex2" type="xs:string"/>
          <xs:element name="Ex3" type="xs:string"/>
          <xs:element name="Ai1" type="xs:string"/>
          <xs:element name="Ai2" type="xs:string"/>
          <xs:element name="Ai3" type="xs:string"/>
          <xs:element name="Diff1" type="xs:string"/>
          <xs:element name="Diff2" type="xs:string"/>
          <xs:element name="Diff3" type="xs:string"/>
        </xs:sequence>
      </xs:complexType>
      <xs:complexType name="Players">
        <xs:sequence>
          <xs:element name="Team1Player1" type="xs:string"/>
          <xs:element name="Team1Player2" type="xs:string"/>
          <xs:element name="Team1Player3" type="xs:string"/>
          <xs:element name="Team2Player1" type="xs:string"/>
          <xs:element name="Team2Player2" type="xs:string"/>
          <xs:element name="Team2Player3" type="xs:string"/>
          <xs:element name="Team3Player1" type="xs:string"/>
          <xs:element name="Team3Player2" type="xs:string"/>
          <xs:element name="Team3Player3" type="xs:string"/>
          <xs:element name="Team4Player1" type="xs:string"/>
          <xs:element name="Team4Player2" type="xs:string"/>
          <xs:element name="Team4Player3" type="xs:string"/>
          <xs:element name="Team5Player1" type="xs:string"/>
          <xs:element name="Team5Player2" type="xs:string"/>
          <xs:element name="Team5Player3" type="xs:string"/>
          <xs:element name="Team6Player1" type="xs:string"/>
          <xs:element name="Team6Player2" type="xs:string"/>
          <xs:element name="Team6Player3" type="xs:string"/>
          <xs:element name="Team7Player1" type="xs:string"/>
          <xs:element name="Team7Player2" type="xs:string"/>
          <xs:element name="Team7Player3" type="xs:string"/>
          <xs:element name="Team8Player1" type="xs:string"/>
          <xs:element name="Team8Player2" type="xs:string"/>
          <xs:element name="Team8Player3" type="xs:string"/>
          <xs:element name="Team9Player1" type="xs:string"/>
          <xs:element name="Team9Player2" type="xs:string"/>
          <xs:element name="Team9Player3" type="xs:string"/>
          <xs:element name="Team10Player1" type="xs:string"/>
          <xs:element name="Team10Player2" type="xs:string"/>
          <xs:element name="Team10Player3" type="xs:string"/>
        </xs:sequence>
      </xs:complexType>
      <xs:complexType name="Ex1">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2">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3">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Ai1">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2">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3">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Diff1">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2">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3">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Result">
        <xs:sequence>
          <xs:element name="Player1" type="xs:string"/>
          <xs:element name="Player2" type="xs:string"/>
          <xs:element name="Player3" type="xs:string"/>
          <xs:element name="Ex1" type="xs:double"/>
          <xs:element name="Ex2" type="xs:double"/>
          <xs:element name="Ex3" type="xs:double"/>
          <xs:element name="Ai1" type="xs:double"/>
          <xs:element name="Ai2" type="xs:double"/>
          <xs:element name="Ai3" type="xs:double"/>
          <xs:element name="Diff1" type="xs:double"/>
          <xs:element name="Diff2" type="xs:double"/>
          <xs:element name="Diff3" type="xs:double"/>
          <xs:element name="ExTotal" type="xs:double"/>
          <xs:element name="AiTotal" type="xs:double"/>
          <xs:element name="DiffTotal" type="xs:double"/>
          <xs:element name="Total" type="xs:double"/>
          <xs:element name="Rank" type="xs:int"/>
        </xs:sequence>
      </xs:complexType>
    </xs:schema>
  </Schema>
  <Map ID="4" Name="ScoreSheet" RootElement="ScoreSheet" SchemaID="Schema4" ShowImportExportValidationErrors="false" AutoFit="true" Append="false" PreserveSortAFLayout="fals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xmlMaps" Target="xmlMap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0"/>
    <c:plotArea>
      <c:layout/>
      <c:barChart>
        <c:barDir val="bar"/>
        <c:grouping val="stacked"/>
        <c:varyColors val="0"/>
        <c:ser>
          <c:idx val="6"/>
          <c:order val="0"/>
          <c:tx>
            <c:v>Execution</c:v>
          </c:tx>
          <c:spPr>
            <a:solidFill>
              <a:srgbClr val="FFFF99"/>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Results!$O$6:$O$13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B352-47F8-B0B8-AC42EDBA5A7D}"/>
            </c:ext>
          </c:extLst>
        </c:ser>
        <c:ser>
          <c:idx val="0"/>
          <c:order val="1"/>
          <c:tx>
            <c:v>Artistic Impression</c:v>
          </c:tx>
          <c:spPr>
            <a:solidFill>
              <a:srgbClr val="92D050"/>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Results!$P$6:$P$13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B352-47F8-B0B8-AC42EDBA5A7D}"/>
            </c:ext>
          </c:extLst>
        </c:ser>
        <c:ser>
          <c:idx val="1"/>
          <c:order val="2"/>
          <c:tx>
            <c:v>Difficulty</c:v>
          </c:tx>
          <c:spPr>
            <a:solidFill>
              <a:schemeClr val="accent2"/>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Results!$Q$6:$Q$13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B352-47F8-B0B8-AC42EDBA5A7D}"/>
            </c:ext>
          </c:extLst>
        </c:ser>
        <c:dLbls>
          <c:showLegendKey val="0"/>
          <c:showVal val="0"/>
          <c:showCatName val="0"/>
          <c:showSerName val="0"/>
          <c:showPercent val="0"/>
          <c:showBubbleSize val="0"/>
        </c:dLbls>
        <c:gapWidth val="150"/>
        <c:overlap val="100"/>
        <c:axId val="374100336"/>
        <c:axId val="1"/>
      </c:barChart>
      <c:catAx>
        <c:axId val="374100336"/>
        <c:scaling>
          <c:orientation val="minMax"/>
        </c:scaling>
        <c:delete val="0"/>
        <c:axPos val="l"/>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b"/>
        <c:majorGridlines/>
        <c:numFmt formatCode="0.0" sourceLinked="1"/>
        <c:majorTickMark val="out"/>
        <c:minorTickMark val="none"/>
        <c:tickLblPos val="nextTo"/>
        <c:crossAx val="374100336"/>
        <c:crosses val="autoZero"/>
        <c:crossBetween val="between"/>
      </c:valAx>
    </c:plotArea>
    <c:legend>
      <c:legendPos val="r"/>
      <c:layout>
        <c:manualLayout>
          <c:xMode val="edge"/>
          <c:yMode val="edge"/>
          <c:x val="0.87244106258018206"/>
          <c:y val="4.326562953215754E-2"/>
          <c:w val="0.11861327872132577"/>
          <c:h val="0.38212478157211482"/>
        </c:manualLayout>
      </c:layout>
      <c:overlay val="0"/>
    </c:legend>
    <c:plotVisOnly val="1"/>
    <c:dispBlanksAs val="gap"/>
    <c:showDLblsOverMax val="0"/>
  </c:chart>
  <c:printSettings>
    <c:headerFooter/>
    <c:pageMargins b="0.78740157499999996" l="0.7" r="0.7" t="0.78740157499999996"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6</xdr:row>
          <xdr:rowOff>66675</xdr:rowOff>
        </xdr:from>
        <xdr:to>
          <xdr:col>2</xdr:col>
          <xdr:colOff>0</xdr:colOff>
          <xdr:row>6</xdr:row>
          <xdr:rowOff>314325</xdr:rowOff>
        </xdr:to>
        <xdr:sp macro="" textlink="">
          <xdr:nvSpPr>
            <xdr:cNvPr id="9221" name="cboJudgesCount" hidden="1">
              <a:extLst>
                <a:ext uri="{63B3BB69-23CF-44E3-9099-C40C66FF867C}">
                  <a14:compatExt spid="_x0000_s9221"/>
                </a:ext>
                <a:ext uri="{FF2B5EF4-FFF2-40B4-BE49-F238E27FC236}">
                  <a16:creationId xmlns:a16="http://schemas.microsoft.com/office/drawing/2014/main" id="{00000000-0008-0000-00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9</xdr:row>
          <xdr:rowOff>28575</xdr:rowOff>
        </xdr:from>
        <xdr:to>
          <xdr:col>2</xdr:col>
          <xdr:colOff>0</xdr:colOff>
          <xdr:row>9</xdr:row>
          <xdr:rowOff>333375</xdr:rowOff>
        </xdr:to>
        <xdr:sp macro="" textlink="">
          <xdr:nvSpPr>
            <xdr:cNvPr id="9222" name="PrintSheets"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10</xdr:row>
          <xdr:rowOff>9525</xdr:rowOff>
        </xdr:from>
        <xdr:to>
          <xdr:col>2</xdr:col>
          <xdr:colOff>9525</xdr:colOff>
          <xdr:row>10</xdr:row>
          <xdr:rowOff>333375</xdr:rowOff>
        </xdr:to>
        <xdr:sp macro="" textlink="">
          <xdr:nvSpPr>
            <xdr:cNvPr id="9223" name="LockSheets"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7</xdr:row>
          <xdr:rowOff>190500</xdr:rowOff>
        </xdr:from>
        <xdr:to>
          <xdr:col>2</xdr:col>
          <xdr:colOff>0</xdr:colOff>
          <xdr:row>7</xdr:row>
          <xdr:rowOff>438150</xdr:rowOff>
        </xdr:to>
        <xdr:sp macro="" textlink="">
          <xdr:nvSpPr>
            <xdr:cNvPr id="9224" name="cboEditMethod"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xdr:row>
          <xdr:rowOff>38100</xdr:rowOff>
        </xdr:from>
        <xdr:to>
          <xdr:col>2</xdr:col>
          <xdr:colOff>0</xdr:colOff>
          <xdr:row>5</xdr:row>
          <xdr:rowOff>285750</xdr:rowOff>
        </xdr:to>
        <xdr:sp macro="" textlink="">
          <xdr:nvSpPr>
            <xdr:cNvPr id="9228" name="cboTeamsCount"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57150</xdr:rowOff>
        </xdr:from>
        <xdr:to>
          <xdr:col>2</xdr:col>
          <xdr:colOff>0</xdr:colOff>
          <xdr:row>11</xdr:row>
          <xdr:rowOff>323850</xdr:rowOff>
        </xdr:to>
        <xdr:sp macro="" textlink="">
          <xdr:nvSpPr>
            <xdr:cNvPr id="9248" name="btnExportTextResults" hidden="1">
              <a:extLst>
                <a:ext uri="{63B3BB69-23CF-44E3-9099-C40C66FF867C}">
                  <a14:compatExt spid="_x0000_s9248"/>
                </a:ext>
                <a:ext uri="{FF2B5EF4-FFF2-40B4-BE49-F238E27FC236}">
                  <a16:creationId xmlns:a16="http://schemas.microsoft.com/office/drawing/2014/main" id="{00000000-0008-0000-0000-00002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19050</xdr:colOff>
      <xdr:row>30</xdr:row>
      <xdr:rowOff>104775</xdr:rowOff>
    </xdr:from>
    <xdr:to>
      <xdr:col>18</xdr:col>
      <xdr:colOff>466725</xdr:colOff>
      <xdr:row>47</xdr:row>
      <xdr:rowOff>57150</xdr:rowOff>
    </xdr:to>
    <xdr:graphicFrame macro="">
      <xdr:nvGraphicFramePr>
        <xdr:cNvPr id="2099" name="Diagramm 1">
          <a:extLst>
            <a:ext uri="{FF2B5EF4-FFF2-40B4-BE49-F238E27FC236}">
              <a16:creationId xmlns:a16="http://schemas.microsoft.com/office/drawing/2014/main" id="{00000000-0008-0000-0200-000033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666750</xdr:colOff>
          <xdr:row>13</xdr:row>
          <xdr:rowOff>104775</xdr:rowOff>
        </xdr:from>
        <xdr:to>
          <xdr:col>17</xdr:col>
          <xdr:colOff>800100</xdr:colOff>
          <xdr:row>15</xdr:row>
          <xdr:rowOff>9525</xdr:rowOff>
        </xdr:to>
        <xdr:sp macro="" textlink="">
          <xdr:nvSpPr>
            <xdr:cNvPr id="4117" name="btnExport" hidden="1">
              <a:extLst>
                <a:ext uri="{63B3BB69-23CF-44E3-9099-C40C66FF867C}">
                  <a14:compatExt spid="_x0000_s4117"/>
                </a:ext>
                <a:ext uri="{FF2B5EF4-FFF2-40B4-BE49-F238E27FC236}">
                  <a16:creationId xmlns:a16="http://schemas.microsoft.com/office/drawing/2014/main" id="{00000000-0008-0000-1300-00001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name="rankopen" preserveFormatting="0" connectionId="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pointscales_1" connectionId="1" autoFormatId="16" applyNumberFormats="0" applyBorderFormats="0" applyFontFormats="1" applyPatternFormats="1" applyAlignmentFormats="0" applyWidthHeightFormats="0"/>
</file>

<file path=xl/tables/table1.xml><?xml version="1.0" encoding="utf-8"?>
<table xmlns="http://schemas.openxmlformats.org/spreadsheetml/2006/main" id="65" name="Liste1" displayName="Liste1" ref="B5:R13" tableType="xml" totalsRowShown="0" headerRowDxfId="18" dataDxfId="17">
  <autoFilter ref="B5:R13"/>
  <tableColumns count="17">
    <tableColumn id="1" uniqueName="ns2:Player1" name="Player 1" dataDxfId="16">
      <calculatedColumnFormula>Starterlist!B13</calculatedColumnFormula>
      <xmlColumnPr mapId="4" xpath="/ns2:ScoreSheet/ns2:Result/ns2:Player1" xmlDataType="string"/>
    </tableColumn>
    <tableColumn id="2" uniqueName="ns2:Player2" name="Player 2" dataDxfId="15">
      <calculatedColumnFormula>Starterlist!C13</calculatedColumnFormula>
      <xmlColumnPr mapId="4" xpath="/ns2:ScoreSheet/ns2:Result/ns2:Player2" xmlDataType="string"/>
    </tableColumn>
    <tableColumn id="3" uniqueName="ns2:Player3" name="Player 3" dataDxfId="14">
      <calculatedColumnFormula>Starterlist!D13</calculatedColumnFormula>
      <xmlColumnPr mapId="4" xpath="/ns2:ScoreSheet/ns2:Result/ns2:Player3" xmlDataType="string"/>
    </tableColumn>
    <tableColumn id="4" uniqueName="ns2:Ex1" name="EX 1" dataDxfId="13">
      <calculatedColumnFormula>Results!C6</calculatedColumnFormula>
      <xmlColumnPr mapId="4" xpath="/ns2:ScoreSheet/ns2:Result/ns2:Ex1" xmlDataType="double"/>
    </tableColumn>
    <tableColumn id="5" uniqueName="ns2:Ex2" name="EX 2" dataDxfId="12">
      <calculatedColumnFormula>Results!D6</calculatedColumnFormula>
      <xmlColumnPr mapId="4" xpath="/ns2:ScoreSheet/ns2:Result/ns2:Ex2" xmlDataType="double"/>
    </tableColumn>
    <tableColumn id="6" uniqueName="ns2:Ex3" name="EX 3" dataDxfId="11">
      <calculatedColumnFormula>Results!E6</calculatedColumnFormula>
      <xmlColumnPr mapId="4" xpath="/ns2:ScoreSheet/ns2:Result/ns2:Ex3" xmlDataType="double"/>
    </tableColumn>
    <tableColumn id="7" uniqueName="ns2:Ai1" name="AI 1" dataDxfId="10">
      <calculatedColumnFormula>Results!F6</calculatedColumnFormula>
      <xmlColumnPr mapId="4" xpath="/ns2:ScoreSheet/ns2:Result/ns2:Ai1" xmlDataType="double"/>
    </tableColumn>
    <tableColumn id="8" uniqueName="ns2:Ai2" name="AI 2" dataDxfId="9">
      <calculatedColumnFormula>Results!H6</calculatedColumnFormula>
      <xmlColumnPr mapId="4" xpath="/ns2:ScoreSheet/ns2:Result/ns2:Ai2" xmlDataType="double"/>
    </tableColumn>
    <tableColumn id="9" uniqueName="ns2:Ai3" name="AI 3" dataDxfId="8">
      <calculatedColumnFormula>Results!J6</calculatedColumnFormula>
      <xmlColumnPr mapId="4" xpath="/ns2:ScoreSheet/ns2:Result/ns2:Ai3" xmlDataType="double"/>
    </tableColumn>
    <tableColumn id="10" uniqueName="ns2:Diff1" name="DIF 1" dataDxfId="7">
      <calculatedColumnFormula>Results!L6</calculatedColumnFormula>
      <xmlColumnPr mapId="4" xpath="/ns2:ScoreSheet/ns2:Result/ns2:Diff1" xmlDataType="double"/>
    </tableColumn>
    <tableColumn id="11" uniqueName="ns2:Diff2" name="DIF 2" dataDxfId="6">
      <calculatedColumnFormula>Results!M6</calculatedColumnFormula>
      <xmlColumnPr mapId="4" xpath="/ns2:ScoreSheet/ns2:Result/ns2:Diff2" xmlDataType="double"/>
    </tableColumn>
    <tableColumn id="12" uniqueName="ns2:Diff3" name="DIF 3" dataDxfId="5">
      <calculatedColumnFormula>Results!N6</calculatedColumnFormula>
      <xmlColumnPr mapId="4" xpath="/ns2:ScoreSheet/ns2:Result/ns2:Diff3" xmlDataType="double"/>
    </tableColumn>
    <tableColumn id="13" uniqueName="ns2:ExTotal" name="Execution" dataDxfId="4">
      <calculatedColumnFormula>SUM(E6:G6)</calculatedColumnFormula>
      <xmlColumnPr mapId="4" xpath="/ns2:ScoreSheet/ns2:Result/ns2:ExTotal" xmlDataType="double"/>
    </tableColumn>
    <tableColumn id="14" uniqueName="ns2:AiTotal" name="Artistic Impression" dataDxfId="3">
      <calculatedColumnFormula>SUM(H6:J6)</calculatedColumnFormula>
      <xmlColumnPr mapId="4" xpath="/ns2:ScoreSheet/ns2:Result/ns2:AiTotal" xmlDataType="double"/>
    </tableColumn>
    <tableColumn id="15" uniqueName="ns2:DiffTotal" name="Difficulty" dataDxfId="2">
      <calculatedColumnFormula>SUM(K6:M6)</calculatedColumnFormula>
      <xmlColumnPr mapId="4" xpath="/ns2:ScoreSheet/ns2:Result/ns2:DiffTotal" xmlDataType="double"/>
    </tableColumn>
    <tableColumn id="16" uniqueName="ns2:Total" name="Total" dataDxfId="1">
      <calculatedColumnFormula>SUM(N6:P6)</calculatedColumnFormula>
      <xmlColumnPr mapId="4" xpath="/ns2:ScoreSheet/ns2:Result/ns2:Total" xmlDataType="double"/>
    </tableColumn>
    <tableColumn id="17" uniqueName="ns2:Rank" name="Rank" dataDxfId="0">
      <calculatedColumnFormula>Results!S6</calculatedColumnFormula>
      <xmlColumnPr mapId="4" xpath="/ns2:ScoreSheet/ns2:Result/ns2:Rank" xmlDataType="int"/>
    </tableColumn>
  </tableColumns>
  <tableStyleInfo showFirstColumn="0" showLastColumn="0" showRowStripes="1" showColumnStripes="0"/>
</table>
</file>

<file path=xl/tables/tableSingleCells1.xml><?xml version="1.0" encoding="utf-8"?>
<singleXmlCells xmlns="http://schemas.openxmlformats.org/spreadsheetml/2006/main">
  <singleXmlCell id="66" r="G14" connectionId="0">
    <xmlCellPr id="1" uniqueName="ns2:Ex1">
      <xmlPr mapId="4" xpath="/ns2:ScoreSheet/ns2:Judges/ns2:Ex1" xmlDataType="string"/>
    </xmlCellPr>
  </singleXmlCell>
  <singleXmlCell id="69" r="G15" connectionId="0">
    <xmlCellPr id="1" uniqueName="ns2:Ex2">
      <xmlPr mapId="4" xpath="/ns2:ScoreSheet/ns2:Judges/ns2:Ex2" xmlDataType="string"/>
    </xmlCellPr>
  </singleXmlCell>
  <singleXmlCell id="70" r="G16" connectionId="0">
    <xmlCellPr id="1" uniqueName="ns2:Ex3">
      <xmlPr mapId="4" xpath="/ns2:ScoreSheet/ns2:Judges/ns2:Ex3" xmlDataType="string"/>
    </xmlCellPr>
  </singleXmlCell>
  <singleXmlCell id="71" r="G17" connectionId="0">
    <xmlCellPr id="1" uniqueName="ns2:Ai1">
      <xmlPr mapId="4" xpath="/ns2:ScoreSheet/ns2:Judges/ns2:Ai1" xmlDataType="string"/>
    </xmlCellPr>
  </singleXmlCell>
  <singleXmlCell id="72" r="G18" connectionId="0">
    <xmlCellPr id="1" uniqueName="ns2:Ai2">
      <xmlPr mapId="4" xpath="/ns2:ScoreSheet/ns2:Judges/ns2:Ai2" xmlDataType="string"/>
    </xmlCellPr>
  </singleXmlCell>
  <singleXmlCell id="73" r="G19" connectionId="0">
    <xmlCellPr id="1" uniqueName="ns2:Ai3">
      <xmlPr mapId="4" xpath="/ns2:ScoreSheet/ns2:Judges/ns2:Ai3" xmlDataType="string"/>
    </xmlCellPr>
  </singleXmlCell>
  <singleXmlCell id="74" r="G20" connectionId="0">
    <xmlCellPr id="1" uniqueName="ns2:Diff1">
      <xmlPr mapId="4" xpath="/ns2:ScoreSheet/ns2:Judges/ns2:Diff1" xmlDataType="string"/>
    </xmlCellPr>
  </singleXmlCell>
  <singleXmlCell id="75" r="G21" connectionId="0">
    <xmlCellPr id="1" uniqueName="ns2:Diff2">
      <xmlPr mapId="4" xpath="/ns2:ScoreSheet/ns2:Judges/ns2:Diff2" xmlDataType="string"/>
    </xmlCellPr>
  </singleXmlCell>
  <singleXmlCell id="76" r="G22" connectionId="0">
    <xmlCellPr id="1" uniqueName="ns2:Diff3">
      <xmlPr mapId="4" xpath="/ns2:ScoreSheet/ns2:Judges/ns2:Diff3" xmlDataType="string"/>
    </xmlCellPr>
  </singleXmlCell>
  <singleXmlCell id="77" r="A1" connectionId="0">
    <xmlCellPr id="1" uniqueName="ns2:EventTitle">
      <xmlPr mapId="4" xpath="/ns2:ScoreSheet/ns2:RoundSettings/ns2:EventTitle" xmlDataType="string"/>
    </xmlCellPr>
  </singleXmlCell>
  <singleXmlCell id="78" r="A2" connectionId="0">
    <xmlCellPr id="1" uniqueName="ns2:EventSubtitle">
      <xmlPr mapId="4" xpath="/ns2:ScoreSheet/ns2:RoundSettings/ns2:EventSubtitle" xmlDataType="string"/>
    </xmlCellPr>
  </singleXmlCell>
  <singleXmlCell id="79" r="B4" connectionId="0">
    <xmlCellPr id="1" uniqueName="ns2:Division">
      <xmlPr mapId="4" xpath="/ns2:ScoreSheet/ns2:RoundSettings/ns2:Division" xmlDataType="string"/>
    </xmlCellPr>
  </singleXmlCell>
  <singleXmlCell id="80" r="C4" connectionId="0">
    <xmlCellPr id="1" uniqueName="ns2:Round">
      <xmlPr mapId="4" xpath="/ns2:ScoreSheet/ns2:RoundSettings/ns2:Round" xmlDataType="string"/>
    </xmlCellPr>
  </singleXmlCell>
  <singleXmlCell id="81" r="D4" connectionId="0">
    <xmlCellPr id="1" uniqueName="ns2:Pool">
      <xmlPr mapId="4" xpath="/ns2:ScoreSheet/ns2:RoundSettings/ns2:Pool" xmlDataType="string"/>
    </xmlCellPr>
  </singleXmlCell>
  <singleXmlCell id="82" r="G3" connectionId="0">
    <xmlCellPr id="1" uniqueName="ns2:Date">
      <xmlPr mapId="4" xpath="/ns2:ScoreSheet/ns2:RoundSettings/ns2:Date" xmlDataType="date"/>
    </xmlCellPr>
  </singleXmlCell>
  <singleXmlCell id="83" r="G4" connectionId="0">
    <xmlCellPr id="1" uniqueName="ns2:Time">
      <xmlPr mapId="4" xpath="/ns2:ScoreSheet/ns2:RoundSettings/ns2:Time" xmlDataType="dateTime"/>
    </xmlCellPr>
  </singleXmlCell>
  <singleXmlCell id="84" r="G6" connectionId="0">
    <xmlCellPr id="1" uniqueName="ns2:HeadJudge">
      <xmlPr mapId="4" xpath="/ns2:ScoreSheet/ns2:RoundSettings/ns2:HeadJudge" xmlDataType="string"/>
    </xmlCellPr>
  </singleXmlCell>
  <singleXmlCell id="85" r="G5" connectionId="0">
    <xmlCellPr id="1" uniqueName="ns2:Minutes">
      <xmlPr mapId="4" xpath="/ns2:ScoreSheet/ns2:RoundSettings/ns2:Minutes" xmlDataType="double"/>
    </xmlCellPr>
  </singleXmlCell>
  <singleXmlCell id="86" r="G7" connectionId="0">
    <xmlCellPr id="1" uniqueName="ns2:NumberOfJudgesForCategory">
      <xmlPr mapId="4" xpath="/ns2:ScoreSheet/ns2:RoundSettings/ns2:NumberOfJudgesForCategory" xmlDataType="int"/>
    </xmlCellPr>
  </singleXmlCell>
  <singleXmlCell id="1" r="B13" connectionId="0">
    <xmlCellPr id="1" uniqueName="ns2:Team1Player1">
      <xmlPr mapId="4" xpath="/ns2:ScoreSheet/ns2:Players/ns2:Team1Player1" xmlDataType="string"/>
    </xmlCellPr>
  </singleXmlCell>
  <singleXmlCell id="2" r="C13" connectionId="0">
    <xmlCellPr id="1" uniqueName="ns2:Team1Player2">
      <xmlPr mapId="4" xpath="/ns2:ScoreSheet/ns2:Players/ns2:Team1Player2" xmlDataType="string"/>
    </xmlCellPr>
  </singleXmlCell>
  <singleXmlCell id="3" r="D13" connectionId="0">
    <xmlCellPr id="1" uniqueName="ns2:Team1Player3">
      <xmlPr mapId="4" xpath="/ns2:ScoreSheet/ns2:Players/ns2:Team1Player3" xmlDataType="string"/>
    </xmlCellPr>
  </singleXmlCell>
  <singleXmlCell id="4" r="B14" connectionId="0">
    <xmlCellPr id="1" uniqueName="ns2:Team2Player1">
      <xmlPr mapId="4" xpath="/ns2:ScoreSheet/ns2:Players/ns2:Team2Player1" xmlDataType="string"/>
    </xmlCellPr>
  </singleXmlCell>
  <singleXmlCell id="5" r="C14" connectionId="0">
    <xmlCellPr id="1" uniqueName="ns2:Team2Player2">
      <xmlPr mapId="4" xpath="/ns2:ScoreSheet/ns2:Players/ns2:Team2Player2" xmlDataType="string"/>
    </xmlCellPr>
  </singleXmlCell>
  <singleXmlCell id="6" r="D14" connectionId="0">
    <xmlCellPr id="1" uniqueName="ns2:Team2Player3">
      <xmlPr mapId="4" xpath="/ns2:ScoreSheet/ns2:Players/ns2:Team2Player3" xmlDataType="string"/>
    </xmlCellPr>
  </singleXmlCell>
  <singleXmlCell id="7" r="B15" connectionId="0">
    <xmlCellPr id="1" uniqueName="ns2:Team3Player1">
      <xmlPr mapId="4" xpath="/ns2:ScoreSheet/ns2:Players/ns2:Team3Player1" xmlDataType="string"/>
    </xmlCellPr>
  </singleXmlCell>
  <singleXmlCell id="8" r="C15" connectionId="0">
    <xmlCellPr id="1" uniqueName="ns2:Team3Player2">
      <xmlPr mapId="4" xpath="/ns2:ScoreSheet/ns2:Players/ns2:Team3Player2" xmlDataType="string"/>
    </xmlCellPr>
  </singleXmlCell>
  <singleXmlCell id="9" r="D15" connectionId="0">
    <xmlCellPr id="1" uniqueName="ns2:Team3Player3">
      <xmlPr mapId="4" xpath="/ns2:ScoreSheet/ns2:Players/ns2:Team3Player3" xmlDataType="string"/>
    </xmlCellPr>
  </singleXmlCell>
  <singleXmlCell id="10" r="B16" connectionId="0">
    <xmlCellPr id="1" uniqueName="ns2:Team4Player1">
      <xmlPr mapId="4" xpath="/ns2:ScoreSheet/ns2:Players/ns2:Team4Player1" xmlDataType="string"/>
    </xmlCellPr>
  </singleXmlCell>
  <singleXmlCell id="11" r="C16" connectionId="0">
    <xmlCellPr id="1" uniqueName="ns2:Team4Player2">
      <xmlPr mapId="4" xpath="/ns2:ScoreSheet/ns2:Players/ns2:Team4Player2" xmlDataType="string"/>
    </xmlCellPr>
  </singleXmlCell>
  <singleXmlCell id="12" r="D16" connectionId="0">
    <xmlCellPr id="1" uniqueName="ns2:Team4Player3">
      <xmlPr mapId="4" xpath="/ns2:ScoreSheet/ns2:Players/ns2:Team4Player3" xmlDataType="string"/>
    </xmlCellPr>
  </singleXmlCell>
  <singleXmlCell id="13" r="B17" connectionId="0">
    <xmlCellPr id="1" uniqueName="ns2:Team5Player1">
      <xmlPr mapId="4" xpath="/ns2:ScoreSheet/ns2:Players/ns2:Team5Player1" xmlDataType="string"/>
    </xmlCellPr>
  </singleXmlCell>
  <singleXmlCell id="14" r="C17" connectionId="0">
    <xmlCellPr id="1" uniqueName="ns2:Team5Player2">
      <xmlPr mapId="4" xpath="/ns2:ScoreSheet/ns2:Players/ns2:Team5Player2" xmlDataType="string"/>
    </xmlCellPr>
  </singleXmlCell>
  <singleXmlCell id="15" r="D17" connectionId="0">
    <xmlCellPr id="1" uniqueName="ns2:Team5Player3">
      <xmlPr mapId="4" xpath="/ns2:ScoreSheet/ns2:Players/ns2:Team5Player3" xmlDataType="string"/>
    </xmlCellPr>
  </singleXmlCell>
  <singleXmlCell id="16" r="B18" connectionId="0">
    <xmlCellPr id="1" uniqueName="ns2:Team6Player1">
      <xmlPr mapId="4" xpath="/ns2:ScoreSheet/ns2:Players/ns2:Team6Player1" xmlDataType="string"/>
    </xmlCellPr>
  </singleXmlCell>
  <singleXmlCell id="17" r="C18" connectionId="0">
    <xmlCellPr id="1" uniqueName="ns2:Team6Player2">
      <xmlPr mapId="4" xpath="/ns2:ScoreSheet/ns2:Players/ns2:Team6Player2" xmlDataType="string"/>
    </xmlCellPr>
  </singleXmlCell>
  <singleXmlCell id="18" r="D18" connectionId="0">
    <xmlCellPr id="1" uniqueName="ns2:Team6Player3">
      <xmlPr mapId="4" xpath="/ns2:ScoreSheet/ns2:Players/ns2:Team6Player3" xmlDataType="string"/>
    </xmlCellPr>
  </singleXmlCell>
  <singleXmlCell id="19" r="B19" connectionId="0">
    <xmlCellPr id="1" uniqueName="ns2:Team7Player1">
      <xmlPr mapId="4" xpath="/ns2:ScoreSheet/ns2:Players/ns2:Team7Player1" xmlDataType="string"/>
    </xmlCellPr>
  </singleXmlCell>
  <singleXmlCell id="20" r="C19" connectionId="0">
    <xmlCellPr id="1" uniqueName="ns2:Team7Player2">
      <xmlPr mapId="4" xpath="/ns2:ScoreSheet/ns2:Players/ns2:Team7Player2" xmlDataType="string"/>
    </xmlCellPr>
  </singleXmlCell>
  <singleXmlCell id="21" r="D19" connectionId="0">
    <xmlCellPr id="1" uniqueName="ns2:Team7Player3">
      <xmlPr mapId="4" xpath="/ns2:ScoreSheet/ns2:Players/ns2:Team7Player3" xmlDataType="string"/>
    </xmlCellPr>
  </singleXmlCell>
  <singleXmlCell id="22" r="B20" connectionId="0">
    <xmlCellPr id="1" uniqueName="ns2:Team8Player1">
      <xmlPr mapId="4" xpath="/ns2:ScoreSheet/ns2:Players/ns2:Team8Player1" xmlDataType="string"/>
    </xmlCellPr>
  </singleXmlCell>
  <singleXmlCell id="23" r="C20" connectionId="0">
    <xmlCellPr id="1" uniqueName="ns2:Team8Player2">
      <xmlPr mapId="4" xpath="/ns2:ScoreSheet/ns2:Players/ns2:Team8Player2" xmlDataType="string"/>
    </xmlCellPr>
  </singleXmlCell>
  <singleXmlCell id="24" r="D20" connectionId="0">
    <xmlCellPr id="1" uniqueName="ns2:Team8Player3">
      <xmlPr mapId="4" xpath="/ns2:ScoreSheet/ns2:Players/ns2:Team8Player3" xmlDataType="string"/>
    </xmlCellPr>
  </singleXmlCell>
  <singleXmlCell id="25" r="B21" connectionId="0">
    <xmlCellPr id="1" uniqueName="ns2:Team9Player1">
      <xmlPr mapId="4" xpath="/ns2:ScoreSheet/ns2:Players/ns2:Team9Player1" xmlDataType="string"/>
    </xmlCellPr>
  </singleXmlCell>
  <singleXmlCell id="26" r="C21" connectionId="0">
    <xmlCellPr id="1" uniqueName="ns2:Team9Player2">
      <xmlPr mapId="4" xpath="/ns2:ScoreSheet/ns2:Players/ns2:Team9Player2" xmlDataType="string"/>
    </xmlCellPr>
  </singleXmlCell>
  <singleXmlCell id="27" r="D21" connectionId="0">
    <xmlCellPr id="1" uniqueName="ns2:Team9Player3">
      <xmlPr mapId="4" xpath="/ns2:ScoreSheet/ns2:Players/ns2:Team9Player3" xmlDataType="string"/>
    </xmlCellPr>
  </singleXmlCell>
  <singleXmlCell id="28" r="B22" connectionId="0">
    <xmlCellPr id="1" uniqueName="ns2:Team10Player1">
      <xmlPr mapId="4" xpath="/ns2:ScoreSheet/ns2:Players/ns2:Team10Player1" xmlDataType="string"/>
    </xmlCellPr>
  </singleXmlCell>
  <singleXmlCell id="29" r="C22" connectionId="0">
    <xmlCellPr id="1" uniqueName="ns2:Team10Player2">
      <xmlPr mapId="4" xpath="/ns2:ScoreSheet/ns2:Players/ns2:Team10Player2" xmlDataType="string"/>
    </xmlCellPr>
  </singleXmlCell>
  <singleXmlCell id="30" r="D22" connectionId="0">
    <xmlCellPr id="1" uniqueName="ns2:Team10Player3">
      <xmlPr mapId="4" xpath="/ns2:ScoreSheet/ns2:Players/ns2:Team10Player3" xmlDataType="string"/>
    </xmlCellPr>
  </singleXmlCell>
</singleXmlCells>
</file>

<file path=xl/tables/tableSingleCells2.xml><?xml version="1.0" encoding="utf-8"?>
<singleXmlCells xmlns="http://schemas.openxmlformats.org/spreadsheetml/2006/main">
  <singleXmlCell id="31" r="C6" connectionId="0">
    <xmlCellPr id="1" uniqueName="ns2:Team1Point1">
      <xmlPr mapId="4" xpath="/ns2:ScoreSheet/ns2:Ex1/ns2:Team1Point1" xmlDataType="decimal"/>
    </xmlCellPr>
  </singleXmlCell>
  <singleXmlCell id="32" r="D6" connectionId="0">
    <xmlCellPr id="1" uniqueName="ns2:Team1Point2">
      <xmlPr mapId="4" xpath="/ns2:ScoreSheet/ns2:Ex1/ns2:Team1Point2" xmlDataType="decimal"/>
    </xmlCellPr>
  </singleXmlCell>
  <singleXmlCell id="33" r="E6" connectionId="0">
    <xmlCellPr id="1" uniqueName="ns2:Team1Point3">
      <xmlPr mapId="4" xpath="/ns2:ScoreSheet/ns2:Ex1/ns2:Team1Point3" xmlDataType="decimal"/>
    </xmlCellPr>
  </singleXmlCell>
  <singleXmlCell id="34" r="F6" connectionId="0">
    <xmlCellPr id="1" uniqueName="ns2:Team1Point5">
      <xmlPr mapId="4" xpath="/ns2:ScoreSheet/ns2:Ex1/ns2:Team1Point5" xmlDataType="decimal"/>
    </xmlCellPr>
  </singleXmlCell>
  <singleXmlCell id="35" r="C7" connectionId="0">
    <xmlCellPr id="1" uniqueName="ns2:Team2Point1">
      <xmlPr mapId="4" xpath="/ns2:ScoreSheet/ns2:Ex1/ns2:Team2Point1" xmlDataType="decimal"/>
    </xmlCellPr>
  </singleXmlCell>
  <singleXmlCell id="36" r="D7" connectionId="0">
    <xmlCellPr id="1" uniqueName="ns2:Team2Point2">
      <xmlPr mapId="4" xpath="/ns2:ScoreSheet/ns2:Ex1/ns2:Team2Point2" xmlDataType="decimal"/>
    </xmlCellPr>
  </singleXmlCell>
  <singleXmlCell id="37" r="E7" connectionId="0">
    <xmlCellPr id="1" uniqueName="ns2:Team2Point3">
      <xmlPr mapId="4" xpath="/ns2:ScoreSheet/ns2:Ex1/ns2:Team2Point3" xmlDataType="decimal"/>
    </xmlCellPr>
  </singleXmlCell>
  <singleXmlCell id="38" r="F7" connectionId="0">
    <xmlCellPr id="1" uniqueName="ns2:Team2Point5">
      <xmlPr mapId="4" xpath="/ns2:ScoreSheet/ns2:Ex1/ns2:Team2Point5" xmlDataType="decimal"/>
    </xmlCellPr>
  </singleXmlCell>
  <singleXmlCell id="39" r="C8" connectionId="0">
    <xmlCellPr id="1" uniqueName="ns2:Team3Point1">
      <xmlPr mapId="4" xpath="/ns2:ScoreSheet/ns2:Ex1/ns2:Team3Point1" xmlDataType="decimal"/>
    </xmlCellPr>
  </singleXmlCell>
  <singleXmlCell id="40" r="D8" connectionId="0">
    <xmlCellPr id="1" uniqueName="ns2:Team3Point2">
      <xmlPr mapId="4" xpath="/ns2:ScoreSheet/ns2:Ex1/ns2:Team3Point2" xmlDataType="decimal"/>
    </xmlCellPr>
  </singleXmlCell>
  <singleXmlCell id="41" r="E8" connectionId="0">
    <xmlCellPr id="1" uniqueName="ns2:Team3Point3">
      <xmlPr mapId="4" xpath="/ns2:ScoreSheet/ns2:Ex1/ns2:Team3Point3" xmlDataType="decimal"/>
    </xmlCellPr>
  </singleXmlCell>
  <singleXmlCell id="42" r="F8" connectionId="0">
    <xmlCellPr id="1" uniqueName="ns2:Team3Point5">
      <xmlPr mapId="4" xpath="/ns2:ScoreSheet/ns2:Ex1/ns2:Team3Point5" xmlDataType="decimal"/>
    </xmlCellPr>
  </singleXmlCell>
  <singleXmlCell id="43" r="C9" connectionId="0">
    <xmlCellPr id="1" uniqueName="ns2:Team4Point1">
      <xmlPr mapId="4" xpath="/ns2:ScoreSheet/ns2:Ex1/ns2:Team4Point1" xmlDataType="decimal"/>
    </xmlCellPr>
  </singleXmlCell>
  <singleXmlCell id="44" r="D9" connectionId="0">
    <xmlCellPr id="1" uniqueName="ns2:Team4Point2">
      <xmlPr mapId="4" xpath="/ns2:ScoreSheet/ns2:Ex1/ns2:Team4Point2" xmlDataType="decimal"/>
    </xmlCellPr>
  </singleXmlCell>
  <singleXmlCell id="45" r="E9" connectionId="0">
    <xmlCellPr id="1" uniqueName="ns2:Team4Point3">
      <xmlPr mapId="4" xpath="/ns2:ScoreSheet/ns2:Ex1/ns2:Team4Point3" xmlDataType="decimal"/>
    </xmlCellPr>
  </singleXmlCell>
  <singleXmlCell id="46" r="F9" connectionId="0">
    <xmlCellPr id="1" uniqueName="ns2:Team4Point5">
      <xmlPr mapId="4" xpath="/ns2:ScoreSheet/ns2:Ex1/ns2:Team4Point5" xmlDataType="decimal"/>
    </xmlCellPr>
  </singleXmlCell>
  <singleXmlCell id="47" r="C10" connectionId="0">
    <xmlCellPr id="1" uniqueName="ns2:Team5Point1">
      <xmlPr mapId="4" xpath="/ns2:ScoreSheet/ns2:Ex1/ns2:Team5Point1" xmlDataType="decimal"/>
    </xmlCellPr>
  </singleXmlCell>
  <singleXmlCell id="48" r="D10" connectionId="0">
    <xmlCellPr id="1" uniqueName="ns2:Team5Point2">
      <xmlPr mapId="4" xpath="/ns2:ScoreSheet/ns2:Ex1/ns2:Team5Point2" xmlDataType="decimal"/>
    </xmlCellPr>
  </singleXmlCell>
  <singleXmlCell id="49" r="E10" connectionId="0">
    <xmlCellPr id="1" uniqueName="ns2:Team5Point3">
      <xmlPr mapId="4" xpath="/ns2:ScoreSheet/ns2:Ex1/ns2:Team5Point3" xmlDataType="decimal"/>
    </xmlCellPr>
  </singleXmlCell>
  <singleXmlCell id="50" r="F10" connectionId="0">
    <xmlCellPr id="1" uniqueName="ns2:Team5Point5">
      <xmlPr mapId="4" xpath="/ns2:ScoreSheet/ns2:Ex1/ns2:Team5Point5" xmlDataType="decimal"/>
    </xmlCellPr>
  </singleXmlCell>
  <singleXmlCell id="51" r="C11" connectionId="0">
    <xmlCellPr id="1" uniqueName="ns2:Team6Point1">
      <xmlPr mapId="4" xpath="/ns2:ScoreSheet/ns2:Ex1/ns2:Team6Point1" xmlDataType="decimal"/>
    </xmlCellPr>
  </singleXmlCell>
  <singleXmlCell id="52" r="D11" connectionId="0">
    <xmlCellPr id="1" uniqueName="ns2:Team6Point2">
      <xmlPr mapId="4" xpath="/ns2:ScoreSheet/ns2:Ex1/ns2:Team6Point2" xmlDataType="decimal"/>
    </xmlCellPr>
  </singleXmlCell>
  <singleXmlCell id="53" r="E11" connectionId="0">
    <xmlCellPr id="1" uniqueName="ns2:Team6Point3">
      <xmlPr mapId="4" xpath="/ns2:ScoreSheet/ns2:Ex1/ns2:Team6Point3" xmlDataType="decimal"/>
    </xmlCellPr>
  </singleXmlCell>
  <singleXmlCell id="54" r="F11" connectionId="0">
    <xmlCellPr id="1" uniqueName="ns2:Team6Point5">
      <xmlPr mapId="4" xpath="/ns2:ScoreSheet/ns2:Ex1/ns2:Team6Point5" xmlDataType="decimal"/>
    </xmlCellPr>
  </singleXmlCell>
  <singleXmlCell id="55" r="C12" connectionId="0">
    <xmlCellPr id="1" uniqueName="ns2:Team7Point1">
      <xmlPr mapId="4" xpath="/ns2:ScoreSheet/ns2:Ex1/ns2:Team7Point1" xmlDataType="decimal"/>
    </xmlCellPr>
  </singleXmlCell>
  <singleXmlCell id="56" r="D12" connectionId="0">
    <xmlCellPr id="1" uniqueName="ns2:Team7Point2">
      <xmlPr mapId="4" xpath="/ns2:ScoreSheet/ns2:Ex1/ns2:Team7Point2" xmlDataType="decimal"/>
    </xmlCellPr>
  </singleXmlCell>
  <singleXmlCell id="57" r="E12" connectionId="0">
    <xmlCellPr id="1" uniqueName="ns2:Team7Point3">
      <xmlPr mapId="4" xpath="/ns2:ScoreSheet/ns2:Ex1/ns2:Team7Point3" xmlDataType="decimal"/>
    </xmlCellPr>
  </singleXmlCell>
  <singleXmlCell id="58" r="F12" connectionId="0">
    <xmlCellPr id="1" uniqueName="ns2:Team7Point5">
      <xmlPr mapId="4" xpath="/ns2:ScoreSheet/ns2:Ex1/ns2:Team7Point5" xmlDataType="decimal"/>
    </xmlCellPr>
  </singleXmlCell>
  <singleXmlCell id="59" r="C13" connectionId="0">
    <xmlCellPr id="1" uniqueName="ns2:Team8Point1">
      <xmlPr mapId="4" xpath="/ns2:ScoreSheet/ns2:Ex1/ns2:Team8Point1" xmlDataType="decimal"/>
    </xmlCellPr>
  </singleXmlCell>
  <singleXmlCell id="60" r="D13" connectionId="0">
    <xmlCellPr id="1" uniqueName="ns2:Team8Point2">
      <xmlPr mapId="4" xpath="/ns2:ScoreSheet/ns2:Ex1/ns2:Team8Point2" xmlDataType="decimal"/>
    </xmlCellPr>
  </singleXmlCell>
  <singleXmlCell id="61" r="E13" connectionId="0">
    <xmlCellPr id="1" uniqueName="ns2:Team8Point3">
      <xmlPr mapId="4" xpath="/ns2:ScoreSheet/ns2:Ex1/ns2:Team8Point3" xmlDataType="decimal"/>
    </xmlCellPr>
  </singleXmlCell>
  <singleXmlCell id="62" r="F13" connectionId="0">
    <xmlCellPr id="1" uniqueName="ns2:Team8Point5">
      <xmlPr mapId="4" xpath="/ns2:ScoreSheet/ns2:Ex1/ns2:Team8Point5" xmlDataType="decimal"/>
    </xmlCellPr>
  </singleXmlCell>
  <singleXmlCell id="63" r="C14" connectionId="0">
    <xmlCellPr id="1" uniqueName="ns2:Team9Point1">
      <xmlPr mapId="4" xpath="/ns2:ScoreSheet/ns2:Ex1/ns2:Team9Point1" xmlDataType="decimal"/>
    </xmlCellPr>
  </singleXmlCell>
  <singleXmlCell id="64" r="D14" connectionId="0">
    <xmlCellPr id="1" uniqueName="ns2:Team9Point2">
      <xmlPr mapId="4" xpath="/ns2:ScoreSheet/ns2:Ex1/ns2:Team9Point2" xmlDataType="decimal"/>
    </xmlCellPr>
  </singleXmlCell>
  <singleXmlCell id="67" r="E14" connectionId="0">
    <xmlCellPr id="1" uniqueName="ns2:Team9Point3">
      <xmlPr mapId="4" xpath="/ns2:ScoreSheet/ns2:Ex1/ns2:Team9Point3" xmlDataType="decimal"/>
    </xmlCellPr>
  </singleXmlCell>
  <singleXmlCell id="68" r="F14" connectionId="0">
    <xmlCellPr id="1" uniqueName="ns2:Team9Point5">
      <xmlPr mapId="4" xpath="/ns2:ScoreSheet/ns2:Ex1/ns2:Team9Point5" xmlDataType="decimal"/>
    </xmlCellPr>
  </singleXmlCell>
  <singleXmlCell id="87" r="C15" connectionId="0">
    <xmlCellPr id="1" uniqueName="ns2:Team10Point1">
      <xmlPr mapId="4" xpath="/ns2:ScoreSheet/ns2:Ex1/ns2:Team10Point1" xmlDataType="decimal"/>
    </xmlCellPr>
  </singleXmlCell>
  <singleXmlCell id="88" r="D15" connectionId="0">
    <xmlCellPr id="1" uniqueName="ns2:Team10Point2">
      <xmlPr mapId="4" xpath="/ns2:ScoreSheet/ns2:Ex1/ns2:Team10Point2" xmlDataType="decimal"/>
    </xmlCellPr>
  </singleXmlCell>
  <singleXmlCell id="89" r="E15" connectionId="0">
    <xmlCellPr id="1" uniqueName="ns2:Team10Point3">
      <xmlPr mapId="4" xpath="/ns2:ScoreSheet/ns2:Ex1/ns2:Team10Point3" xmlDataType="decimal"/>
    </xmlCellPr>
  </singleXmlCell>
  <singleXmlCell id="90" r="F15" connectionId="0">
    <xmlCellPr id="1" uniqueName="ns2:Team10Point5">
      <xmlPr mapId="4" xpath="/ns2:ScoreSheet/ns2:Ex1/ns2:Team10Point5" xmlDataType="decimal"/>
    </xmlCellPr>
  </singleXmlCell>
</singleXmlCells>
</file>

<file path=xl/tables/tableSingleCells3.xml><?xml version="1.0" encoding="utf-8"?>
<singleXmlCells xmlns="http://schemas.openxmlformats.org/spreadsheetml/2006/main">
  <singleXmlCell id="91" r="C6" connectionId="0">
    <xmlCellPr id="1" uniqueName="ns2:Team1Point1">
      <xmlPr mapId="4" xpath="/ns2:ScoreSheet/ns2:Ex2/ns2:Team1Point1" xmlDataType="decimal"/>
    </xmlCellPr>
  </singleXmlCell>
  <singleXmlCell id="92" r="D6" connectionId="0">
    <xmlCellPr id="1" uniqueName="ns2:Team1Point2">
      <xmlPr mapId="4" xpath="/ns2:ScoreSheet/ns2:Ex2/ns2:Team1Point2" xmlDataType="decimal"/>
    </xmlCellPr>
  </singleXmlCell>
  <singleXmlCell id="93" r="E6" connectionId="0">
    <xmlCellPr id="1" uniqueName="ns2:Team1Point3">
      <xmlPr mapId="4" xpath="/ns2:ScoreSheet/ns2:Ex2/ns2:Team1Point3" xmlDataType="decimal"/>
    </xmlCellPr>
  </singleXmlCell>
  <singleXmlCell id="94" r="F6" connectionId="0">
    <xmlCellPr id="1" uniqueName="ns2:Team1Point5">
      <xmlPr mapId="4" xpath="/ns2:ScoreSheet/ns2:Ex2/ns2:Team1Point5" xmlDataType="decimal"/>
    </xmlCellPr>
  </singleXmlCell>
  <singleXmlCell id="95" r="C7" connectionId="0">
    <xmlCellPr id="1" uniqueName="ns2:Team2Point1">
      <xmlPr mapId="4" xpath="/ns2:ScoreSheet/ns2:Ex2/ns2:Team2Point1" xmlDataType="decimal"/>
    </xmlCellPr>
  </singleXmlCell>
  <singleXmlCell id="96" r="D7" connectionId="0">
    <xmlCellPr id="1" uniqueName="ns2:Team2Point2">
      <xmlPr mapId="4" xpath="/ns2:ScoreSheet/ns2:Ex2/ns2:Team2Point2" xmlDataType="decimal"/>
    </xmlCellPr>
  </singleXmlCell>
  <singleXmlCell id="97" r="E7" connectionId="0">
    <xmlCellPr id="1" uniqueName="ns2:Team2Point3">
      <xmlPr mapId="4" xpath="/ns2:ScoreSheet/ns2:Ex2/ns2:Team2Point3" xmlDataType="decimal"/>
    </xmlCellPr>
  </singleXmlCell>
  <singleXmlCell id="98" r="F7" connectionId="0">
    <xmlCellPr id="1" uniqueName="ns2:Team2Point5">
      <xmlPr mapId="4" xpath="/ns2:ScoreSheet/ns2:Ex2/ns2:Team2Point5" xmlDataType="decimal"/>
    </xmlCellPr>
  </singleXmlCell>
  <singleXmlCell id="99" r="C8" connectionId="0">
    <xmlCellPr id="1" uniqueName="ns2:Team3Point1">
      <xmlPr mapId="4" xpath="/ns2:ScoreSheet/ns2:Ex2/ns2:Team3Point1" xmlDataType="decimal"/>
    </xmlCellPr>
  </singleXmlCell>
  <singleXmlCell id="100" r="D8" connectionId="0">
    <xmlCellPr id="1" uniqueName="ns2:Team3Point2">
      <xmlPr mapId="4" xpath="/ns2:ScoreSheet/ns2:Ex2/ns2:Team3Point2" xmlDataType="decimal"/>
    </xmlCellPr>
  </singleXmlCell>
  <singleXmlCell id="101" r="E8" connectionId="0">
    <xmlCellPr id="1" uniqueName="ns2:Team3Point3">
      <xmlPr mapId="4" xpath="/ns2:ScoreSheet/ns2:Ex2/ns2:Team3Point3" xmlDataType="decimal"/>
    </xmlCellPr>
  </singleXmlCell>
  <singleXmlCell id="102" r="F8" connectionId="0">
    <xmlCellPr id="1" uniqueName="ns2:Team3Point5">
      <xmlPr mapId="4" xpath="/ns2:ScoreSheet/ns2:Ex2/ns2:Team3Point5" xmlDataType="decimal"/>
    </xmlCellPr>
  </singleXmlCell>
  <singleXmlCell id="103" r="C9" connectionId="0">
    <xmlCellPr id="1" uniqueName="ns2:Team4Point1">
      <xmlPr mapId="4" xpath="/ns2:ScoreSheet/ns2:Ex2/ns2:Team4Point1" xmlDataType="decimal"/>
    </xmlCellPr>
  </singleXmlCell>
  <singleXmlCell id="104" r="D9" connectionId="0">
    <xmlCellPr id="1" uniqueName="ns2:Team4Point2">
      <xmlPr mapId="4" xpath="/ns2:ScoreSheet/ns2:Ex2/ns2:Team4Point2" xmlDataType="decimal"/>
    </xmlCellPr>
  </singleXmlCell>
  <singleXmlCell id="105" r="E9" connectionId="0">
    <xmlCellPr id="1" uniqueName="ns2:Team4Point3">
      <xmlPr mapId="4" xpath="/ns2:ScoreSheet/ns2:Ex2/ns2:Team4Point3" xmlDataType="decimal"/>
    </xmlCellPr>
  </singleXmlCell>
  <singleXmlCell id="106" r="F9" connectionId="0">
    <xmlCellPr id="1" uniqueName="ns2:Team4Point5">
      <xmlPr mapId="4" xpath="/ns2:ScoreSheet/ns2:Ex2/ns2:Team4Point5" xmlDataType="decimal"/>
    </xmlCellPr>
  </singleXmlCell>
  <singleXmlCell id="107" r="C10" connectionId="0">
    <xmlCellPr id="1" uniqueName="ns2:Team5Point1">
      <xmlPr mapId="4" xpath="/ns2:ScoreSheet/ns2:Ex2/ns2:Team5Point1" xmlDataType="decimal"/>
    </xmlCellPr>
  </singleXmlCell>
  <singleXmlCell id="108" r="D10" connectionId="0">
    <xmlCellPr id="1" uniqueName="ns2:Team5Point2">
      <xmlPr mapId="4" xpath="/ns2:ScoreSheet/ns2:Ex2/ns2:Team5Point2" xmlDataType="decimal"/>
    </xmlCellPr>
  </singleXmlCell>
  <singleXmlCell id="109" r="E10" connectionId="0">
    <xmlCellPr id="1" uniqueName="ns2:Team5Point3">
      <xmlPr mapId="4" xpath="/ns2:ScoreSheet/ns2:Ex2/ns2:Team5Point3" xmlDataType="decimal"/>
    </xmlCellPr>
  </singleXmlCell>
  <singleXmlCell id="110" r="F10" connectionId="0">
    <xmlCellPr id="1" uniqueName="ns2:Team5Point5">
      <xmlPr mapId="4" xpath="/ns2:ScoreSheet/ns2:Ex2/ns2:Team5Point5" xmlDataType="decimal"/>
    </xmlCellPr>
  </singleXmlCell>
  <singleXmlCell id="111" r="C11" connectionId="0">
    <xmlCellPr id="1" uniqueName="ns2:Team6Point1">
      <xmlPr mapId="4" xpath="/ns2:ScoreSheet/ns2:Ex2/ns2:Team6Point1" xmlDataType="decimal"/>
    </xmlCellPr>
  </singleXmlCell>
  <singleXmlCell id="112" r="D11" connectionId="0">
    <xmlCellPr id="1" uniqueName="ns2:Team6Point2">
      <xmlPr mapId="4" xpath="/ns2:ScoreSheet/ns2:Ex2/ns2:Team6Point2" xmlDataType="decimal"/>
    </xmlCellPr>
  </singleXmlCell>
  <singleXmlCell id="113" r="E11" connectionId="0">
    <xmlCellPr id="1" uniqueName="ns2:Team6Point3">
      <xmlPr mapId="4" xpath="/ns2:ScoreSheet/ns2:Ex2/ns2:Team6Point3" xmlDataType="decimal"/>
    </xmlCellPr>
  </singleXmlCell>
  <singleXmlCell id="114" r="F11" connectionId="0">
    <xmlCellPr id="1" uniqueName="ns2:Team6Point5">
      <xmlPr mapId="4" xpath="/ns2:ScoreSheet/ns2:Ex2/ns2:Team6Point5" xmlDataType="decimal"/>
    </xmlCellPr>
  </singleXmlCell>
  <singleXmlCell id="115" r="C12" connectionId="0">
    <xmlCellPr id="1" uniqueName="ns2:Team7Point1">
      <xmlPr mapId="4" xpath="/ns2:ScoreSheet/ns2:Ex2/ns2:Team7Point1" xmlDataType="decimal"/>
    </xmlCellPr>
  </singleXmlCell>
  <singleXmlCell id="116" r="D12" connectionId="0">
    <xmlCellPr id="1" uniqueName="ns2:Team7Point2">
      <xmlPr mapId="4" xpath="/ns2:ScoreSheet/ns2:Ex2/ns2:Team7Point2" xmlDataType="decimal"/>
    </xmlCellPr>
  </singleXmlCell>
  <singleXmlCell id="117" r="E12" connectionId="0">
    <xmlCellPr id="1" uniqueName="ns2:Team7Point3">
      <xmlPr mapId="4" xpath="/ns2:ScoreSheet/ns2:Ex2/ns2:Team7Point3" xmlDataType="decimal"/>
    </xmlCellPr>
  </singleXmlCell>
  <singleXmlCell id="118" r="F12" connectionId="0">
    <xmlCellPr id="1" uniqueName="ns2:Team7Point5">
      <xmlPr mapId="4" xpath="/ns2:ScoreSheet/ns2:Ex2/ns2:Team7Point5" xmlDataType="decimal"/>
    </xmlCellPr>
  </singleXmlCell>
  <singleXmlCell id="119" r="C13" connectionId="0">
    <xmlCellPr id="1" uniqueName="ns2:Team8Point1">
      <xmlPr mapId="4" xpath="/ns2:ScoreSheet/ns2:Ex2/ns2:Team8Point1" xmlDataType="decimal"/>
    </xmlCellPr>
  </singleXmlCell>
  <singleXmlCell id="120" r="D13" connectionId="0">
    <xmlCellPr id="1" uniqueName="ns2:Team8Point2">
      <xmlPr mapId="4" xpath="/ns2:ScoreSheet/ns2:Ex2/ns2:Team8Point2" xmlDataType="decimal"/>
    </xmlCellPr>
  </singleXmlCell>
  <singleXmlCell id="121" r="E13" connectionId="0">
    <xmlCellPr id="1" uniqueName="ns2:Team8Point3">
      <xmlPr mapId="4" xpath="/ns2:ScoreSheet/ns2:Ex2/ns2:Team8Point3" xmlDataType="decimal"/>
    </xmlCellPr>
  </singleXmlCell>
  <singleXmlCell id="122" r="F13" connectionId="0">
    <xmlCellPr id="1" uniqueName="ns2:Team8Point5">
      <xmlPr mapId="4" xpath="/ns2:ScoreSheet/ns2:Ex2/ns2:Team8Point5" xmlDataType="decimal"/>
    </xmlCellPr>
  </singleXmlCell>
  <singleXmlCell id="123" r="C14" connectionId="0">
    <xmlCellPr id="1" uniqueName="ns2:Team9Point1">
      <xmlPr mapId="4" xpath="/ns2:ScoreSheet/ns2:Ex2/ns2:Team9Point1" xmlDataType="decimal"/>
    </xmlCellPr>
  </singleXmlCell>
  <singleXmlCell id="124" r="D14" connectionId="0">
    <xmlCellPr id="1" uniqueName="ns2:Team9Point2">
      <xmlPr mapId="4" xpath="/ns2:ScoreSheet/ns2:Ex2/ns2:Team9Point2" xmlDataType="decimal"/>
    </xmlCellPr>
  </singleXmlCell>
  <singleXmlCell id="125" r="E14" connectionId="0">
    <xmlCellPr id="1" uniqueName="ns2:Team9Point3">
      <xmlPr mapId="4" xpath="/ns2:ScoreSheet/ns2:Ex2/ns2:Team9Point3" xmlDataType="decimal"/>
    </xmlCellPr>
  </singleXmlCell>
  <singleXmlCell id="126" r="F14" connectionId="0">
    <xmlCellPr id="1" uniqueName="ns2:Team9Point5">
      <xmlPr mapId="4" xpath="/ns2:ScoreSheet/ns2:Ex2/ns2:Team9Point5" xmlDataType="decimal"/>
    </xmlCellPr>
  </singleXmlCell>
  <singleXmlCell id="127" r="C15" connectionId="0">
    <xmlCellPr id="1" uniqueName="ns2:Team10Point1">
      <xmlPr mapId="4" xpath="/ns2:ScoreSheet/ns2:Ex2/ns2:Team10Point1" xmlDataType="decimal"/>
    </xmlCellPr>
  </singleXmlCell>
  <singleXmlCell id="128" r="D15" connectionId="0">
    <xmlCellPr id="1" uniqueName="ns2:Team10Point2">
      <xmlPr mapId="4" xpath="/ns2:ScoreSheet/ns2:Ex2/ns2:Team10Point2" xmlDataType="decimal"/>
    </xmlCellPr>
  </singleXmlCell>
  <singleXmlCell id="129" r="E15" connectionId="0">
    <xmlCellPr id="1" uniqueName="ns2:Team10Point3">
      <xmlPr mapId="4" xpath="/ns2:ScoreSheet/ns2:Ex2/ns2:Team10Point3" xmlDataType="decimal"/>
    </xmlCellPr>
  </singleXmlCell>
  <singleXmlCell id="130" r="F15" connectionId="0">
    <xmlCellPr id="1" uniqueName="ns2:Team10Point5">
      <xmlPr mapId="4" xpath="/ns2:ScoreSheet/ns2:Ex2/ns2:Team10Point5" xmlDataType="decimal"/>
    </xmlCellPr>
  </singleXmlCell>
</singleXmlCells>
</file>

<file path=xl/tables/tableSingleCells4.xml><?xml version="1.0" encoding="utf-8"?>
<singleXmlCells xmlns="http://schemas.openxmlformats.org/spreadsheetml/2006/main">
  <singleXmlCell id="131" r="C6" connectionId="0">
    <xmlCellPr id="1" uniqueName="ns2:Team1Point1">
      <xmlPr mapId="4" xpath="/ns2:ScoreSheet/ns2:Ex3/ns2:Team1Point1" xmlDataType="decimal"/>
    </xmlCellPr>
  </singleXmlCell>
  <singleXmlCell id="132" r="D6" connectionId="0">
    <xmlCellPr id="1" uniqueName="ns2:Team1Point2">
      <xmlPr mapId="4" xpath="/ns2:ScoreSheet/ns2:Ex3/ns2:Team1Point2" xmlDataType="decimal"/>
    </xmlCellPr>
  </singleXmlCell>
  <singleXmlCell id="133" r="E6" connectionId="0">
    <xmlCellPr id="1" uniqueName="ns2:Team1Point3">
      <xmlPr mapId="4" xpath="/ns2:ScoreSheet/ns2:Ex3/ns2:Team1Point3" xmlDataType="decimal"/>
    </xmlCellPr>
  </singleXmlCell>
  <singleXmlCell id="134" r="F6" connectionId="0">
    <xmlCellPr id="1" uniqueName="ns2:Team1Point5">
      <xmlPr mapId="4" xpath="/ns2:ScoreSheet/ns2:Ex3/ns2:Team1Point5" xmlDataType="decimal"/>
    </xmlCellPr>
  </singleXmlCell>
  <singleXmlCell id="135" r="C7" connectionId="0">
    <xmlCellPr id="1" uniqueName="ns2:Team2Point1">
      <xmlPr mapId="4" xpath="/ns2:ScoreSheet/ns2:Ex3/ns2:Team2Point1" xmlDataType="decimal"/>
    </xmlCellPr>
  </singleXmlCell>
  <singleXmlCell id="136" r="D7" connectionId="0">
    <xmlCellPr id="1" uniqueName="ns2:Team2Point2">
      <xmlPr mapId="4" xpath="/ns2:ScoreSheet/ns2:Ex3/ns2:Team2Point2" xmlDataType="decimal"/>
    </xmlCellPr>
  </singleXmlCell>
  <singleXmlCell id="137" r="E7" connectionId="0">
    <xmlCellPr id="1" uniqueName="ns2:Team2Point3">
      <xmlPr mapId="4" xpath="/ns2:ScoreSheet/ns2:Ex3/ns2:Team2Point3" xmlDataType="decimal"/>
    </xmlCellPr>
  </singleXmlCell>
  <singleXmlCell id="138" r="F7" connectionId="0">
    <xmlCellPr id="1" uniqueName="ns2:Team2Point5">
      <xmlPr mapId="4" xpath="/ns2:ScoreSheet/ns2:Ex3/ns2:Team2Point5" xmlDataType="decimal"/>
    </xmlCellPr>
  </singleXmlCell>
  <singleXmlCell id="139" r="C8" connectionId="0">
    <xmlCellPr id="1" uniqueName="ns2:Team3Point1">
      <xmlPr mapId="4" xpath="/ns2:ScoreSheet/ns2:Ex3/ns2:Team3Point1" xmlDataType="decimal"/>
    </xmlCellPr>
  </singleXmlCell>
  <singleXmlCell id="140" r="D8" connectionId="0">
    <xmlCellPr id="1" uniqueName="ns2:Team3Point2">
      <xmlPr mapId="4" xpath="/ns2:ScoreSheet/ns2:Ex3/ns2:Team3Point2" xmlDataType="decimal"/>
    </xmlCellPr>
  </singleXmlCell>
  <singleXmlCell id="141" r="E8" connectionId="0">
    <xmlCellPr id="1" uniqueName="ns2:Team3Point3">
      <xmlPr mapId="4" xpath="/ns2:ScoreSheet/ns2:Ex3/ns2:Team3Point3" xmlDataType="decimal"/>
    </xmlCellPr>
  </singleXmlCell>
  <singleXmlCell id="142" r="F8" connectionId="0">
    <xmlCellPr id="1" uniqueName="ns2:Team3Point5">
      <xmlPr mapId="4" xpath="/ns2:ScoreSheet/ns2:Ex3/ns2:Team3Point5" xmlDataType="decimal"/>
    </xmlCellPr>
  </singleXmlCell>
  <singleXmlCell id="143" r="C9" connectionId="0">
    <xmlCellPr id="1" uniqueName="ns2:Team4Point1">
      <xmlPr mapId="4" xpath="/ns2:ScoreSheet/ns2:Ex3/ns2:Team4Point1" xmlDataType="decimal"/>
    </xmlCellPr>
  </singleXmlCell>
  <singleXmlCell id="144" r="D9" connectionId="0">
    <xmlCellPr id="1" uniqueName="ns2:Team4Point2">
      <xmlPr mapId="4" xpath="/ns2:ScoreSheet/ns2:Ex3/ns2:Team4Point2" xmlDataType="decimal"/>
    </xmlCellPr>
  </singleXmlCell>
  <singleXmlCell id="145" r="E9" connectionId="0">
    <xmlCellPr id="1" uniqueName="ns2:Team4Point3">
      <xmlPr mapId="4" xpath="/ns2:ScoreSheet/ns2:Ex3/ns2:Team4Point3" xmlDataType="decimal"/>
    </xmlCellPr>
  </singleXmlCell>
  <singleXmlCell id="146" r="F9" connectionId="0">
    <xmlCellPr id="1" uniqueName="ns2:Team4Point5">
      <xmlPr mapId="4" xpath="/ns2:ScoreSheet/ns2:Ex3/ns2:Team4Point5" xmlDataType="decimal"/>
    </xmlCellPr>
  </singleXmlCell>
  <singleXmlCell id="147" r="C10" connectionId="0">
    <xmlCellPr id="1" uniqueName="ns2:Team5Point1">
      <xmlPr mapId="4" xpath="/ns2:ScoreSheet/ns2:Ex3/ns2:Team5Point1" xmlDataType="decimal"/>
    </xmlCellPr>
  </singleXmlCell>
  <singleXmlCell id="148" r="D10" connectionId="0">
    <xmlCellPr id="1" uniqueName="ns2:Team5Point2">
      <xmlPr mapId="4" xpath="/ns2:ScoreSheet/ns2:Ex3/ns2:Team5Point2" xmlDataType="decimal"/>
    </xmlCellPr>
  </singleXmlCell>
  <singleXmlCell id="149" r="E10" connectionId="0">
    <xmlCellPr id="1" uniqueName="ns2:Team5Point3">
      <xmlPr mapId="4" xpath="/ns2:ScoreSheet/ns2:Ex3/ns2:Team5Point3" xmlDataType="decimal"/>
    </xmlCellPr>
  </singleXmlCell>
  <singleXmlCell id="150" r="F10" connectionId="0">
    <xmlCellPr id="1" uniqueName="ns2:Team5Point5">
      <xmlPr mapId="4" xpath="/ns2:ScoreSheet/ns2:Ex3/ns2:Team5Point5" xmlDataType="decimal"/>
    </xmlCellPr>
  </singleXmlCell>
  <singleXmlCell id="151" r="C11" connectionId="0">
    <xmlCellPr id="1" uniqueName="ns2:Team6Point1">
      <xmlPr mapId="4" xpath="/ns2:ScoreSheet/ns2:Ex3/ns2:Team6Point1" xmlDataType="decimal"/>
    </xmlCellPr>
  </singleXmlCell>
  <singleXmlCell id="152" r="D11" connectionId="0">
    <xmlCellPr id="1" uniqueName="ns2:Team6Point2">
      <xmlPr mapId="4" xpath="/ns2:ScoreSheet/ns2:Ex3/ns2:Team6Point2" xmlDataType="decimal"/>
    </xmlCellPr>
  </singleXmlCell>
  <singleXmlCell id="153" r="E11" connectionId="0">
    <xmlCellPr id="1" uniqueName="ns2:Team6Point3">
      <xmlPr mapId="4" xpath="/ns2:ScoreSheet/ns2:Ex3/ns2:Team6Point3" xmlDataType="decimal"/>
    </xmlCellPr>
  </singleXmlCell>
  <singleXmlCell id="154" r="F11" connectionId="0">
    <xmlCellPr id="1" uniqueName="ns2:Team6Point5">
      <xmlPr mapId="4" xpath="/ns2:ScoreSheet/ns2:Ex3/ns2:Team6Point5" xmlDataType="decimal"/>
    </xmlCellPr>
  </singleXmlCell>
  <singleXmlCell id="155" r="C12" connectionId="0">
    <xmlCellPr id="1" uniqueName="ns2:Team7Point1">
      <xmlPr mapId="4" xpath="/ns2:ScoreSheet/ns2:Ex3/ns2:Team7Point1" xmlDataType="decimal"/>
    </xmlCellPr>
  </singleXmlCell>
  <singleXmlCell id="156" r="D12" connectionId="0">
    <xmlCellPr id="1" uniqueName="ns2:Team7Point2">
      <xmlPr mapId="4" xpath="/ns2:ScoreSheet/ns2:Ex3/ns2:Team7Point2" xmlDataType="decimal"/>
    </xmlCellPr>
  </singleXmlCell>
  <singleXmlCell id="157" r="E12" connectionId="0">
    <xmlCellPr id="1" uniqueName="ns2:Team7Point3">
      <xmlPr mapId="4" xpath="/ns2:ScoreSheet/ns2:Ex3/ns2:Team7Point3" xmlDataType="decimal"/>
    </xmlCellPr>
  </singleXmlCell>
  <singleXmlCell id="158" r="F12" connectionId="0">
    <xmlCellPr id="1" uniqueName="ns2:Team7Point5">
      <xmlPr mapId="4" xpath="/ns2:ScoreSheet/ns2:Ex3/ns2:Team7Point5" xmlDataType="decimal"/>
    </xmlCellPr>
  </singleXmlCell>
  <singleXmlCell id="159" r="C13" connectionId="0">
    <xmlCellPr id="1" uniqueName="ns2:Team8Point1">
      <xmlPr mapId="4" xpath="/ns2:ScoreSheet/ns2:Ex3/ns2:Team8Point1" xmlDataType="decimal"/>
    </xmlCellPr>
  </singleXmlCell>
  <singleXmlCell id="160" r="D13" connectionId="0">
    <xmlCellPr id="1" uniqueName="ns2:Team8Point2">
      <xmlPr mapId="4" xpath="/ns2:ScoreSheet/ns2:Ex3/ns2:Team8Point2" xmlDataType="decimal"/>
    </xmlCellPr>
  </singleXmlCell>
  <singleXmlCell id="161" r="E13" connectionId="0">
    <xmlCellPr id="1" uniqueName="ns2:Team8Point3">
      <xmlPr mapId="4" xpath="/ns2:ScoreSheet/ns2:Ex3/ns2:Team8Point3" xmlDataType="decimal"/>
    </xmlCellPr>
  </singleXmlCell>
  <singleXmlCell id="162" r="F13" connectionId="0">
    <xmlCellPr id="1" uniqueName="ns2:Team8Point5">
      <xmlPr mapId="4" xpath="/ns2:ScoreSheet/ns2:Ex3/ns2:Team8Point5" xmlDataType="decimal"/>
    </xmlCellPr>
  </singleXmlCell>
  <singleXmlCell id="163" r="C14" connectionId="0">
    <xmlCellPr id="1" uniqueName="ns2:Team9Point1">
      <xmlPr mapId="4" xpath="/ns2:ScoreSheet/ns2:Ex3/ns2:Team9Point1" xmlDataType="decimal"/>
    </xmlCellPr>
  </singleXmlCell>
  <singleXmlCell id="164" r="D14" connectionId="0">
    <xmlCellPr id="1" uniqueName="ns2:Team9Point2">
      <xmlPr mapId="4" xpath="/ns2:ScoreSheet/ns2:Ex3/ns2:Team9Point2" xmlDataType="decimal"/>
    </xmlCellPr>
  </singleXmlCell>
  <singleXmlCell id="165" r="E14" connectionId="0">
    <xmlCellPr id="1" uniqueName="ns2:Team9Point3">
      <xmlPr mapId="4" xpath="/ns2:ScoreSheet/ns2:Ex3/ns2:Team9Point3" xmlDataType="decimal"/>
    </xmlCellPr>
  </singleXmlCell>
  <singleXmlCell id="166" r="F14" connectionId="0">
    <xmlCellPr id="1" uniqueName="ns2:Team9Point5">
      <xmlPr mapId="4" xpath="/ns2:ScoreSheet/ns2:Ex3/ns2:Team9Point5" xmlDataType="decimal"/>
    </xmlCellPr>
  </singleXmlCell>
  <singleXmlCell id="167" r="C15" connectionId="0">
    <xmlCellPr id="1" uniqueName="ns2:Team10Point1">
      <xmlPr mapId="4" xpath="/ns2:ScoreSheet/ns2:Ex3/ns2:Team10Point1" xmlDataType="decimal"/>
    </xmlCellPr>
  </singleXmlCell>
  <singleXmlCell id="168" r="D15" connectionId="0">
    <xmlCellPr id="1" uniqueName="ns2:Team10Point2">
      <xmlPr mapId="4" xpath="/ns2:ScoreSheet/ns2:Ex3/ns2:Team10Point2" xmlDataType="decimal"/>
    </xmlCellPr>
  </singleXmlCell>
  <singleXmlCell id="169" r="E15" connectionId="0">
    <xmlCellPr id="1" uniqueName="ns2:Team10Point3">
      <xmlPr mapId="4" xpath="/ns2:ScoreSheet/ns2:Ex3/ns2:Team10Point3" xmlDataType="decimal"/>
    </xmlCellPr>
  </singleXmlCell>
  <singleXmlCell id="170" r="F15" connectionId="0">
    <xmlCellPr id="1" uniqueName="ns2:Team10Point5">
      <xmlPr mapId="4" xpath="/ns2:ScoreSheet/ns2:Ex3/ns2:Team10Point5" xmlDataType="decimal"/>
    </xmlCellPr>
  </singleXmlCell>
</singleXmlCells>
</file>

<file path=xl/tables/tableSingleCells5.xml><?xml version="1.0" encoding="utf-8"?>
<singleXmlCells xmlns="http://schemas.openxmlformats.org/spreadsheetml/2006/main">
  <singleXmlCell id="171" r="C6" connectionId="0">
    <xmlCellPr id="1" uniqueName="ns2:Team1Variety">
      <xmlPr mapId="4" xpath="/ns2:ScoreSheet/ns2:Ai1/ns2:Team1Variety" xmlDataType="decimal"/>
    </xmlCellPr>
  </singleXmlCell>
  <singleXmlCell id="172" r="D6" connectionId="0">
    <xmlCellPr id="1" uniqueName="ns2:Team1Teamwork">
      <xmlPr mapId="4" xpath="/ns2:ScoreSheet/ns2:Ai1/ns2:Team1Teamwork" xmlDataType="decimal"/>
    </xmlCellPr>
  </singleXmlCell>
  <singleXmlCell id="173" r="E6" connectionId="0">
    <xmlCellPr id="1" uniqueName="ns2:Team1Music">
      <xmlPr mapId="4" xpath="/ns2:ScoreSheet/ns2:Ai1/ns2:Team1Music" xmlDataType="decimal"/>
    </xmlCellPr>
  </singleXmlCell>
  <singleXmlCell id="174" r="F6" connectionId="0">
    <xmlCellPr id="1" uniqueName="ns2:Team1Flow">
      <xmlPr mapId="4" xpath="/ns2:ScoreSheet/ns2:Ai1/ns2:Team1Flow" xmlDataType="decimal"/>
    </xmlCellPr>
  </singleXmlCell>
  <singleXmlCell id="175" r="G6" connectionId="0">
    <xmlCellPr id="1" uniqueName="ns2:Team1Form">
      <xmlPr mapId="4" xpath="/ns2:ScoreSheet/ns2:Ai1/ns2:Team1Form" xmlDataType="decimal"/>
    </xmlCellPr>
  </singleXmlCell>
  <singleXmlCell id="176" r="H6" connectionId="0">
    <xmlCellPr id="1" uniqueName="ns2:Team1General">
      <xmlPr mapId="4" xpath="/ns2:ScoreSheet/ns2:Ai1/ns2:Team1General" xmlDataType="decimal"/>
    </xmlCellPr>
  </singleXmlCell>
  <singleXmlCell id="177" r="C7" connectionId="0">
    <xmlCellPr id="1" uniqueName="ns2:Team2Variety">
      <xmlPr mapId="4" xpath="/ns2:ScoreSheet/ns2:Ai1/ns2:Team2Variety" xmlDataType="decimal"/>
    </xmlCellPr>
  </singleXmlCell>
  <singleXmlCell id="178" r="D7" connectionId="0">
    <xmlCellPr id="1" uniqueName="ns2:Team2Teamwork">
      <xmlPr mapId="4" xpath="/ns2:ScoreSheet/ns2:Ai1/ns2:Team2Teamwork" xmlDataType="decimal"/>
    </xmlCellPr>
  </singleXmlCell>
  <singleXmlCell id="179" r="E7" connectionId="0">
    <xmlCellPr id="1" uniqueName="ns2:Team2Music">
      <xmlPr mapId="4" xpath="/ns2:ScoreSheet/ns2:Ai1/ns2:Team2Music" xmlDataType="decimal"/>
    </xmlCellPr>
  </singleXmlCell>
  <singleXmlCell id="180" r="F7" connectionId="0">
    <xmlCellPr id="1" uniqueName="ns2:Team2Flow">
      <xmlPr mapId="4" xpath="/ns2:ScoreSheet/ns2:Ai1/ns2:Team2Flow" xmlDataType="decimal"/>
    </xmlCellPr>
  </singleXmlCell>
  <singleXmlCell id="181" r="G7" connectionId="0">
    <xmlCellPr id="1" uniqueName="ns2:Team2Form">
      <xmlPr mapId="4" xpath="/ns2:ScoreSheet/ns2:Ai1/ns2:Team2Form" xmlDataType="decimal"/>
    </xmlCellPr>
  </singleXmlCell>
  <singleXmlCell id="182" r="H7" connectionId="0">
    <xmlCellPr id="1" uniqueName="ns2:Team2General">
      <xmlPr mapId="4" xpath="/ns2:ScoreSheet/ns2:Ai1/ns2:Team2General" xmlDataType="decimal"/>
    </xmlCellPr>
  </singleXmlCell>
  <singleXmlCell id="183" r="C8" connectionId="0">
    <xmlCellPr id="1" uniqueName="ns2:Team3Variety">
      <xmlPr mapId="4" xpath="/ns2:ScoreSheet/ns2:Ai1/ns2:Team3Variety" xmlDataType="decimal"/>
    </xmlCellPr>
  </singleXmlCell>
  <singleXmlCell id="184" r="D8" connectionId="0">
    <xmlCellPr id="1" uniqueName="ns2:Team3Teamwork">
      <xmlPr mapId="4" xpath="/ns2:ScoreSheet/ns2:Ai1/ns2:Team3Teamwork" xmlDataType="decimal"/>
    </xmlCellPr>
  </singleXmlCell>
  <singleXmlCell id="185" r="E8" connectionId="0">
    <xmlCellPr id="1" uniqueName="ns2:Team3Music">
      <xmlPr mapId="4" xpath="/ns2:ScoreSheet/ns2:Ai1/ns2:Team3Music" xmlDataType="decimal"/>
    </xmlCellPr>
  </singleXmlCell>
  <singleXmlCell id="186" r="F8" connectionId="0">
    <xmlCellPr id="1" uniqueName="ns2:Team3Flow">
      <xmlPr mapId="4" xpath="/ns2:ScoreSheet/ns2:Ai1/ns2:Team3Flow" xmlDataType="decimal"/>
    </xmlCellPr>
  </singleXmlCell>
  <singleXmlCell id="187" r="G8" connectionId="0">
    <xmlCellPr id="1" uniqueName="ns2:Team3Form">
      <xmlPr mapId="4" xpath="/ns2:ScoreSheet/ns2:Ai1/ns2:Team3Form" xmlDataType="decimal"/>
    </xmlCellPr>
  </singleXmlCell>
  <singleXmlCell id="188" r="H8" connectionId="0">
    <xmlCellPr id="1" uniqueName="ns2:Team3General">
      <xmlPr mapId="4" xpath="/ns2:ScoreSheet/ns2:Ai1/ns2:Team3General" xmlDataType="decimal"/>
    </xmlCellPr>
  </singleXmlCell>
  <singleXmlCell id="189" r="C9" connectionId="0">
    <xmlCellPr id="1" uniqueName="ns2:Team4Variety">
      <xmlPr mapId="4" xpath="/ns2:ScoreSheet/ns2:Ai1/ns2:Team4Variety" xmlDataType="decimal"/>
    </xmlCellPr>
  </singleXmlCell>
  <singleXmlCell id="190" r="D9" connectionId="0">
    <xmlCellPr id="1" uniqueName="ns2:Team4Teamwork">
      <xmlPr mapId="4" xpath="/ns2:ScoreSheet/ns2:Ai1/ns2:Team4Teamwork" xmlDataType="decimal"/>
    </xmlCellPr>
  </singleXmlCell>
  <singleXmlCell id="191" r="E9" connectionId="0">
    <xmlCellPr id="1" uniqueName="ns2:Team4Music">
      <xmlPr mapId="4" xpath="/ns2:ScoreSheet/ns2:Ai1/ns2:Team4Music" xmlDataType="decimal"/>
    </xmlCellPr>
  </singleXmlCell>
  <singleXmlCell id="192" r="F9" connectionId="0">
    <xmlCellPr id="1" uniqueName="ns2:Team4Flow">
      <xmlPr mapId="4" xpath="/ns2:ScoreSheet/ns2:Ai1/ns2:Team4Flow" xmlDataType="decimal"/>
    </xmlCellPr>
  </singleXmlCell>
  <singleXmlCell id="193" r="G9" connectionId="0">
    <xmlCellPr id="1" uniqueName="ns2:Team4Form">
      <xmlPr mapId="4" xpath="/ns2:ScoreSheet/ns2:Ai1/ns2:Team4Form" xmlDataType="decimal"/>
    </xmlCellPr>
  </singleXmlCell>
  <singleXmlCell id="194" r="H9" connectionId="0">
    <xmlCellPr id="1" uniqueName="ns2:Team4General">
      <xmlPr mapId="4" xpath="/ns2:ScoreSheet/ns2:Ai1/ns2:Team4General" xmlDataType="decimal"/>
    </xmlCellPr>
  </singleXmlCell>
  <singleXmlCell id="195" r="C10" connectionId="0">
    <xmlCellPr id="1" uniqueName="ns2:Team5Variety">
      <xmlPr mapId="4" xpath="/ns2:ScoreSheet/ns2:Ai1/ns2:Team5Variety" xmlDataType="decimal"/>
    </xmlCellPr>
  </singleXmlCell>
  <singleXmlCell id="196" r="D10" connectionId="0">
    <xmlCellPr id="1" uniqueName="ns2:Team5Teamwork">
      <xmlPr mapId="4" xpath="/ns2:ScoreSheet/ns2:Ai1/ns2:Team5Teamwork" xmlDataType="decimal"/>
    </xmlCellPr>
  </singleXmlCell>
  <singleXmlCell id="197" r="E10" connectionId="0">
    <xmlCellPr id="1" uniqueName="ns2:Team5Music">
      <xmlPr mapId="4" xpath="/ns2:ScoreSheet/ns2:Ai1/ns2:Team5Music" xmlDataType="decimal"/>
    </xmlCellPr>
  </singleXmlCell>
  <singleXmlCell id="198" r="F10" connectionId="0">
    <xmlCellPr id="1" uniqueName="ns2:Team5Flow">
      <xmlPr mapId="4" xpath="/ns2:ScoreSheet/ns2:Ai1/ns2:Team5Flow" xmlDataType="decimal"/>
    </xmlCellPr>
  </singleXmlCell>
  <singleXmlCell id="199" r="G10" connectionId="0">
    <xmlCellPr id="1" uniqueName="ns2:Team5Form">
      <xmlPr mapId="4" xpath="/ns2:ScoreSheet/ns2:Ai1/ns2:Team5Form" xmlDataType="decimal"/>
    </xmlCellPr>
  </singleXmlCell>
  <singleXmlCell id="200" r="H10" connectionId="0">
    <xmlCellPr id="1" uniqueName="ns2:Team5General">
      <xmlPr mapId="4" xpath="/ns2:ScoreSheet/ns2:Ai1/ns2:Team5General" xmlDataType="decimal"/>
    </xmlCellPr>
  </singleXmlCell>
  <singleXmlCell id="201" r="C11" connectionId="0">
    <xmlCellPr id="1" uniqueName="ns2:Team6Variety">
      <xmlPr mapId="4" xpath="/ns2:ScoreSheet/ns2:Ai1/ns2:Team6Variety" xmlDataType="decimal"/>
    </xmlCellPr>
  </singleXmlCell>
  <singleXmlCell id="202" r="D11" connectionId="0">
    <xmlCellPr id="1" uniqueName="ns2:Team6Teamwork">
      <xmlPr mapId="4" xpath="/ns2:ScoreSheet/ns2:Ai1/ns2:Team6Teamwork" xmlDataType="decimal"/>
    </xmlCellPr>
  </singleXmlCell>
  <singleXmlCell id="203" r="E11" connectionId="0">
    <xmlCellPr id="1" uniqueName="ns2:Team6Music">
      <xmlPr mapId="4" xpath="/ns2:ScoreSheet/ns2:Ai1/ns2:Team6Music" xmlDataType="decimal"/>
    </xmlCellPr>
  </singleXmlCell>
  <singleXmlCell id="204" r="F11" connectionId="0">
    <xmlCellPr id="1" uniqueName="ns2:Team6Flow">
      <xmlPr mapId="4" xpath="/ns2:ScoreSheet/ns2:Ai1/ns2:Team6Flow" xmlDataType="decimal"/>
    </xmlCellPr>
  </singleXmlCell>
  <singleXmlCell id="205" r="G11" connectionId="0">
    <xmlCellPr id="1" uniqueName="ns2:Team6Form">
      <xmlPr mapId="4" xpath="/ns2:ScoreSheet/ns2:Ai1/ns2:Team6Form" xmlDataType="decimal"/>
    </xmlCellPr>
  </singleXmlCell>
  <singleXmlCell id="206" r="H11" connectionId="0">
    <xmlCellPr id="1" uniqueName="ns2:Team6General">
      <xmlPr mapId="4" xpath="/ns2:ScoreSheet/ns2:Ai1/ns2:Team6General" xmlDataType="decimal"/>
    </xmlCellPr>
  </singleXmlCell>
  <singleXmlCell id="207" r="C12" connectionId="0">
    <xmlCellPr id="1" uniqueName="ns2:Team7Variety">
      <xmlPr mapId="4" xpath="/ns2:ScoreSheet/ns2:Ai1/ns2:Team7Variety" xmlDataType="decimal"/>
    </xmlCellPr>
  </singleXmlCell>
  <singleXmlCell id="208" r="D12" connectionId="0">
    <xmlCellPr id="1" uniqueName="ns2:Team7Teamwork">
      <xmlPr mapId="4" xpath="/ns2:ScoreSheet/ns2:Ai1/ns2:Team7Teamwork" xmlDataType="decimal"/>
    </xmlCellPr>
  </singleXmlCell>
  <singleXmlCell id="209" r="E12" connectionId="0">
    <xmlCellPr id="1" uniqueName="ns2:Team7Music">
      <xmlPr mapId="4" xpath="/ns2:ScoreSheet/ns2:Ai1/ns2:Team7Music" xmlDataType="decimal"/>
    </xmlCellPr>
  </singleXmlCell>
  <singleXmlCell id="210" r="F12" connectionId="0">
    <xmlCellPr id="1" uniqueName="ns2:Team7Flow">
      <xmlPr mapId="4" xpath="/ns2:ScoreSheet/ns2:Ai1/ns2:Team7Flow" xmlDataType="decimal"/>
    </xmlCellPr>
  </singleXmlCell>
  <singleXmlCell id="211" r="G12" connectionId="0">
    <xmlCellPr id="1" uniqueName="ns2:Team7Form">
      <xmlPr mapId="4" xpath="/ns2:ScoreSheet/ns2:Ai1/ns2:Team7Form" xmlDataType="decimal"/>
    </xmlCellPr>
  </singleXmlCell>
  <singleXmlCell id="212" r="H12" connectionId="0">
    <xmlCellPr id="1" uniqueName="ns2:Team7General">
      <xmlPr mapId="4" xpath="/ns2:ScoreSheet/ns2:Ai1/ns2:Team7General" xmlDataType="decimal"/>
    </xmlCellPr>
  </singleXmlCell>
  <singleXmlCell id="213" r="C13" connectionId="0">
    <xmlCellPr id="1" uniqueName="ns2:Team8Variety">
      <xmlPr mapId="4" xpath="/ns2:ScoreSheet/ns2:Ai1/ns2:Team8Variety" xmlDataType="decimal"/>
    </xmlCellPr>
  </singleXmlCell>
  <singleXmlCell id="214" r="D13" connectionId="0">
    <xmlCellPr id="1" uniqueName="ns2:Team8Teamwork">
      <xmlPr mapId="4" xpath="/ns2:ScoreSheet/ns2:Ai1/ns2:Team8Teamwork" xmlDataType="decimal"/>
    </xmlCellPr>
  </singleXmlCell>
  <singleXmlCell id="215" r="E13" connectionId="0">
    <xmlCellPr id="1" uniqueName="ns2:Team8Music">
      <xmlPr mapId="4" xpath="/ns2:ScoreSheet/ns2:Ai1/ns2:Team8Music" xmlDataType="decimal"/>
    </xmlCellPr>
  </singleXmlCell>
  <singleXmlCell id="216" r="F13" connectionId="0">
    <xmlCellPr id="1" uniqueName="ns2:Team8Flow">
      <xmlPr mapId="4" xpath="/ns2:ScoreSheet/ns2:Ai1/ns2:Team8Flow" xmlDataType="decimal"/>
    </xmlCellPr>
  </singleXmlCell>
  <singleXmlCell id="217" r="H13" connectionId="0">
    <xmlCellPr id="1" uniqueName="ns2:Team8General">
      <xmlPr mapId="4" xpath="/ns2:ScoreSheet/ns2:Ai1/ns2:Team8General" xmlDataType="decimal"/>
    </xmlCellPr>
  </singleXmlCell>
  <singleXmlCell id="218" r="G13" connectionId="0">
    <xmlCellPr id="1" uniqueName="ns2:Team8Form">
      <xmlPr mapId="4" xpath="/ns2:ScoreSheet/ns2:Ai1/ns2:Team8Form" xmlDataType="decimal"/>
    </xmlCellPr>
  </singleXmlCell>
  <singleXmlCell id="219" r="C14" connectionId="0">
    <xmlCellPr id="1" uniqueName="ns2:Team9Variety">
      <xmlPr mapId="4" xpath="/ns2:ScoreSheet/ns2:Ai1/ns2:Team9Variety" xmlDataType="decimal"/>
    </xmlCellPr>
  </singleXmlCell>
  <singleXmlCell id="220" r="D14" connectionId="0">
    <xmlCellPr id="1" uniqueName="ns2:Team9Teamwork">
      <xmlPr mapId="4" xpath="/ns2:ScoreSheet/ns2:Ai1/ns2:Team9Teamwork" xmlDataType="decimal"/>
    </xmlCellPr>
  </singleXmlCell>
  <singleXmlCell id="221" r="E14" connectionId="0">
    <xmlCellPr id="1" uniqueName="ns2:Team9Music">
      <xmlPr mapId="4" xpath="/ns2:ScoreSheet/ns2:Ai1/ns2:Team9Music" xmlDataType="decimal"/>
    </xmlCellPr>
  </singleXmlCell>
  <singleXmlCell id="222" r="F14" connectionId="0">
    <xmlCellPr id="1" uniqueName="ns2:Team9Flow">
      <xmlPr mapId="4" xpath="/ns2:ScoreSheet/ns2:Ai1/ns2:Team9Flow" xmlDataType="decimal"/>
    </xmlCellPr>
  </singleXmlCell>
  <singleXmlCell id="223" r="G14" connectionId="0">
    <xmlCellPr id="1" uniqueName="ns2:Team9Form">
      <xmlPr mapId="4" xpath="/ns2:ScoreSheet/ns2:Ai1/ns2:Team9Form" xmlDataType="decimal"/>
    </xmlCellPr>
  </singleXmlCell>
  <singleXmlCell id="224" r="H14" connectionId="0">
    <xmlCellPr id="1" uniqueName="ns2:Team9General">
      <xmlPr mapId="4" xpath="/ns2:ScoreSheet/ns2:Ai1/ns2:Team9General" xmlDataType="decimal"/>
    </xmlCellPr>
  </singleXmlCell>
  <singleXmlCell id="225" r="C15" connectionId="0">
    <xmlCellPr id="1" uniqueName="ns2:Team10Variety">
      <xmlPr mapId="4" xpath="/ns2:ScoreSheet/ns2:Ai1/ns2:Team10Variety" xmlDataType="decimal"/>
    </xmlCellPr>
  </singleXmlCell>
  <singleXmlCell id="226" r="D15" connectionId="0">
    <xmlCellPr id="1" uniqueName="ns2:Team10Teamwork">
      <xmlPr mapId="4" xpath="/ns2:ScoreSheet/ns2:Ai1/ns2:Team10Teamwork" xmlDataType="decimal"/>
    </xmlCellPr>
  </singleXmlCell>
  <singleXmlCell id="227" r="E15" connectionId="0">
    <xmlCellPr id="1" uniqueName="ns2:Team10Music">
      <xmlPr mapId="4" xpath="/ns2:ScoreSheet/ns2:Ai1/ns2:Team10Music" xmlDataType="decimal"/>
    </xmlCellPr>
  </singleXmlCell>
  <singleXmlCell id="228" r="F15" connectionId="0">
    <xmlCellPr id="1" uniqueName="ns2:Team10Flow">
      <xmlPr mapId="4" xpath="/ns2:ScoreSheet/ns2:Ai1/ns2:Team10Flow" xmlDataType="decimal"/>
    </xmlCellPr>
  </singleXmlCell>
  <singleXmlCell id="229" r="G15" connectionId="0">
    <xmlCellPr id="1" uniqueName="ns2:Team10Form">
      <xmlPr mapId="4" xpath="/ns2:ScoreSheet/ns2:Ai1/ns2:Team10Form" xmlDataType="decimal"/>
    </xmlCellPr>
  </singleXmlCell>
  <singleXmlCell id="230" r="H15" connectionId="0">
    <xmlCellPr id="1" uniqueName="ns2:Team10General">
      <xmlPr mapId="4" xpath="/ns2:ScoreSheet/ns2:Ai1/ns2:Team10General" xmlDataType="decimal"/>
    </xmlCellPr>
  </singleXmlCell>
</singleXmlCells>
</file>

<file path=xl/tables/tableSingleCells6.xml><?xml version="1.0" encoding="utf-8"?>
<singleXmlCells xmlns="http://schemas.openxmlformats.org/spreadsheetml/2006/main">
  <singleXmlCell id="231" r="C6" connectionId="0">
    <xmlCellPr id="1" uniqueName="ns2:Team1Variety">
      <xmlPr mapId="4" xpath="/ns2:ScoreSheet/ns2:Ai2/ns2:Team1Variety" xmlDataType="decimal"/>
    </xmlCellPr>
  </singleXmlCell>
  <singleXmlCell id="232" r="D6" connectionId="0">
    <xmlCellPr id="1" uniqueName="ns2:Team1Teamwork">
      <xmlPr mapId="4" xpath="/ns2:ScoreSheet/ns2:Ai2/ns2:Team1Teamwork" xmlDataType="decimal"/>
    </xmlCellPr>
  </singleXmlCell>
  <singleXmlCell id="233" r="E6" connectionId="0">
    <xmlCellPr id="1" uniqueName="ns2:Team1Music">
      <xmlPr mapId="4" xpath="/ns2:ScoreSheet/ns2:Ai2/ns2:Team1Music" xmlDataType="decimal"/>
    </xmlCellPr>
  </singleXmlCell>
  <singleXmlCell id="234" r="F6" connectionId="0">
    <xmlCellPr id="1" uniqueName="ns2:Team1Flow">
      <xmlPr mapId="4" xpath="/ns2:ScoreSheet/ns2:Ai2/ns2:Team1Flow" xmlDataType="decimal"/>
    </xmlCellPr>
  </singleXmlCell>
  <singleXmlCell id="235" r="G6" connectionId="0">
    <xmlCellPr id="1" uniqueName="ns2:Team1Form">
      <xmlPr mapId="4" xpath="/ns2:ScoreSheet/ns2:Ai2/ns2:Team1Form" xmlDataType="decimal"/>
    </xmlCellPr>
  </singleXmlCell>
  <singleXmlCell id="236" r="H6" connectionId="0">
    <xmlCellPr id="1" uniqueName="ns2:Team1General">
      <xmlPr mapId="4" xpath="/ns2:ScoreSheet/ns2:Ai2/ns2:Team1General" xmlDataType="decimal"/>
    </xmlCellPr>
  </singleXmlCell>
  <singleXmlCell id="237" r="C7" connectionId="0">
    <xmlCellPr id="1" uniqueName="ns2:Team2Variety">
      <xmlPr mapId="4" xpath="/ns2:ScoreSheet/ns2:Ai2/ns2:Team2Variety" xmlDataType="decimal"/>
    </xmlCellPr>
  </singleXmlCell>
  <singleXmlCell id="238" r="D7" connectionId="0">
    <xmlCellPr id="1" uniqueName="ns2:Team2Teamwork">
      <xmlPr mapId="4" xpath="/ns2:ScoreSheet/ns2:Ai2/ns2:Team2Teamwork" xmlDataType="decimal"/>
    </xmlCellPr>
  </singleXmlCell>
  <singleXmlCell id="239" r="E7" connectionId="0">
    <xmlCellPr id="1" uniqueName="ns2:Team2Music">
      <xmlPr mapId="4" xpath="/ns2:ScoreSheet/ns2:Ai2/ns2:Team2Music" xmlDataType="decimal"/>
    </xmlCellPr>
  </singleXmlCell>
  <singleXmlCell id="240" r="F7" connectionId="0">
    <xmlCellPr id="1" uniqueName="ns2:Team2Flow">
      <xmlPr mapId="4" xpath="/ns2:ScoreSheet/ns2:Ai2/ns2:Team2Flow" xmlDataType="decimal"/>
    </xmlCellPr>
  </singleXmlCell>
  <singleXmlCell id="241" r="G7" connectionId="0">
    <xmlCellPr id="1" uniqueName="ns2:Team2Form">
      <xmlPr mapId="4" xpath="/ns2:ScoreSheet/ns2:Ai2/ns2:Team2Form" xmlDataType="decimal"/>
    </xmlCellPr>
  </singleXmlCell>
  <singleXmlCell id="242" r="H7" connectionId="0">
    <xmlCellPr id="1" uniqueName="ns2:Team2General">
      <xmlPr mapId="4" xpath="/ns2:ScoreSheet/ns2:Ai2/ns2:Team2General" xmlDataType="decimal"/>
    </xmlCellPr>
  </singleXmlCell>
  <singleXmlCell id="243" r="C8" connectionId="0">
    <xmlCellPr id="1" uniqueName="ns2:Team3Variety">
      <xmlPr mapId="4" xpath="/ns2:ScoreSheet/ns2:Ai2/ns2:Team3Variety" xmlDataType="decimal"/>
    </xmlCellPr>
  </singleXmlCell>
  <singleXmlCell id="244" r="D8" connectionId="0">
    <xmlCellPr id="1" uniqueName="ns2:Team3Teamwork">
      <xmlPr mapId="4" xpath="/ns2:ScoreSheet/ns2:Ai2/ns2:Team3Teamwork" xmlDataType="decimal"/>
    </xmlCellPr>
  </singleXmlCell>
  <singleXmlCell id="245" r="E8" connectionId="0">
    <xmlCellPr id="1" uniqueName="ns2:Team3Music">
      <xmlPr mapId="4" xpath="/ns2:ScoreSheet/ns2:Ai2/ns2:Team3Music" xmlDataType="decimal"/>
    </xmlCellPr>
  </singleXmlCell>
  <singleXmlCell id="246" r="F8" connectionId="0">
    <xmlCellPr id="1" uniqueName="ns2:Team3Flow">
      <xmlPr mapId="4" xpath="/ns2:ScoreSheet/ns2:Ai2/ns2:Team3Flow" xmlDataType="decimal"/>
    </xmlCellPr>
  </singleXmlCell>
  <singleXmlCell id="247" r="G8" connectionId="0">
    <xmlCellPr id="1" uniqueName="ns2:Team3Form">
      <xmlPr mapId="4" xpath="/ns2:ScoreSheet/ns2:Ai2/ns2:Team3Form" xmlDataType="decimal"/>
    </xmlCellPr>
  </singleXmlCell>
  <singleXmlCell id="248" r="H8" connectionId="0">
    <xmlCellPr id="1" uniqueName="ns2:Team3General">
      <xmlPr mapId="4" xpath="/ns2:ScoreSheet/ns2:Ai2/ns2:Team3General" xmlDataType="decimal"/>
    </xmlCellPr>
  </singleXmlCell>
  <singleXmlCell id="249" r="C9" connectionId="0">
    <xmlCellPr id="1" uniqueName="ns2:Team4Variety">
      <xmlPr mapId="4" xpath="/ns2:ScoreSheet/ns2:Ai2/ns2:Team4Variety" xmlDataType="decimal"/>
    </xmlCellPr>
  </singleXmlCell>
  <singleXmlCell id="250" r="D9" connectionId="0">
    <xmlCellPr id="1" uniqueName="ns2:Team4Teamwork">
      <xmlPr mapId="4" xpath="/ns2:ScoreSheet/ns2:Ai2/ns2:Team4Teamwork" xmlDataType="decimal"/>
    </xmlCellPr>
  </singleXmlCell>
  <singleXmlCell id="251" r="E9" connectionId="0">
    <xmlCellPr id="1" uniqueName="ns2:Team4Music">
      <xmlPr mapId="4" xpath="/ns2:ScoreSheet/ns2:Ai2/ns2:Team4Music" xmlDataType="decimal"/>
    </xmlCellPr>
  </singleXmlCell>
  <singleXmlCell id="252" r="F9" connectionId="0">
    <xmlCellPr id="1" uniqueName="ns2:Team4Flow">
      <xmlPr mapId="4" xpath="/ns2:ScoreSheet/ns2:Ai2/ns2:Team4Flow" xmlDataType="decimal"/>
    </xmlCellPr>
  </singleXmlCell>
  <singleXmlCell id="253" r="G9" connectionId="0">
    <xmlCellPr id="1" uniqueName="ns2:Team4Form">
      <xmlPr mapId="4" xpath="/ns2:ScoreSheet/ns2:Ai2/ns2:Team4Form" xmlDataType="decimal"/>
    </xmlCellPr>
  </singleXmlCell>
  <singleXmlCell id="254" r="H9" connectionId="0">
    <xmlCellPr id="1" uniqueName="ns2:Team4General">
      <xmlPr mapId="4" xpath="/ns2:ScoreSheet/ns2:Ai2/ns2:Team4General" xmlDataType="decimal"/>
    </xmlCellPr>
  </singleXmlCell>
  <singleXmlCell id="255" r="C10" connectionId="0">
    <xmlCellPr id="1" uniqueName="ns2:Team5Variety">
      <xmlPr mapId="4" xpath="/ns2:ScoreSheet/ns2:Ai2/ns2:Team5Variety" xmlDataType="decimal"/>
    </xmlCellPr>
  </singleXmlCell>
  <singleXmlCell id="256" r="D10" connectionId="0">
    <xmlCellPr id="1" uniqueName="ns2:Team5Teamwork">
      <xmlPr mapId="4" xpath="/ns2:ScoreSheet/ns2:Ai2/ns2:Team5Teamwork" xmlDataType="decimal"/>
    </xmlCellPr>
  </singleXmlCell>
  <singleXmlCell id="257" r="E10" connectionId="0">
    <xmlCellPr id="1" uniqueName="ns2:Team5Music">
      <xmlPr mapId="4" xpath="/ns2:ScoreSheet/ns2:Ai2/ns2:Team5Music" xmlDataType="decimal"/>
    </xmlCellPr>
  </singleXmlCell>
  <singleXmlCell id="258" r="F10" connectionId="0">
    <xmlCellPr id="1" uniqueName="ns2:Team5Flow">
      <xmlPr mapId="4" xpath="/ns2:ScoreSheet/ns2:Ai2/ns2:Team5Flow" xmlDataType="decimal"/>
    </xmlCellPr>
  </singleXmlCell>
  <singleXmlCell id="259" r="G10" connectionId="0">
    <xmlCellPr id="1" uniqueName="ns2:Team5Form">
      <xmlPr mapId="4" xpath="/ns2:ScoreSheet/ns2:Ai2/ns2:Team5Form" xmlDataType="decimal"/>
    </xmlCellPr>
  </singleXmlCell>
  <singleXmlCell id="260" r="H10" connectionId="0">
    <xmlCellPr id="1" uniqueName="ns2:Team5General">
      <xmlPr mapId="4" xpath="/ns2:ScoreSheet/ns2:Ai2/ns2:Team5General" xmlDataType="decimal"/>
    </xmlCellPr>
  </singleXmlCell>
  <singleXmlCell id="261" r="C11" connectionId="0">
    <xmlCellPr id="1" uniqueName="ns2:Team6Variety">
      <xmlPr mapId="4" xpath="/ns2:ScoreSheet/ns2:Ai2/ns2:Team6Variety" xmlDataType="decimal"/>
    </xmlCellPr>
  </singleXmlCell>
  <singleXmlCell id="262" r="D11" connectionId="0">
    <xmlCellPr id="1" uniqueName="ns2:Team6Teamwork">
      <xmlPr mapId="4" xpath="/ns2:ScoreSheet/ns2:Ai2/ns2:Team6Teamwork" xmlDataType="decimal"/>
    </xmlCellPr>
  </singleXmlCell>
  <singleXmlCell id="263" r="E11" connectionId="0">
    <xmlCellPr id="1" uniqueName="ns2:Team6Music">
      <xmlPr mapId="4" xpath="/ns2:ScoreSheet/ns2:Ai2/ns2:Team6Music" xmlDataType="decimal"/>
    </xmlCellPr>
  </singleXmlCell>
  <singleXmlCell id="264" r="F11" connectionId="0">
    <xmlCellPr id="1" uniqueName="ns2:Team6Flow">
      <xmlPr mapId="4" xpath="/ns2:ScoreSheet/ns2:Ai2/ns2:Team6Flow" xmlDataType="decimal"/>
    </xmlCellPr>
  </singleXmlCell>
  <singleXmlCell id="265" r="G11" connectionId="0">
    <xmlCellPr id="1" uniqueName="ns2:Team6Form">
      <xmlPr mapId="4" xpath="/ns2:ScoreSheet/ns2:Ai2/ns2:Team6Form" xmlDataType="decimal"/>
    </xmlCellPr>
  </singleXmlCell>
  <singleXmlCell id="266" r="H11" connectionId="0">
    <xmlCellPr id="1" uniqueName="ns2:Team6General">
      <xmlPr mapId="4" xpath="/ns2:ScoreSheet/ns2:Ai2/ns2:Team6General" xmlDataType="decimal"/>
    </xmlCellPr>
  </singleXmlCell>
  <singleXmlCell id="267" r="C12" connectionId="0">
    <xmlCellPr id="1" uniqueName="ns2:Team7Variety">
      <xmlPr mapId="4" xpath="/ns2:ScoreSheet/ns2:Ai2/ns2:Team7Variety" xmlDataType="decimal"/>
    </xmlCellPr>
  </singleXmlCell>
  <singleXmlCell id="268" r="D12" connectionId="0">
    <xmlCellPr id="1" uniqueName="ns2:Team7Teamwork">
      <xmlPr mapId="4" xpath="/ns2:ScoreSheet/ns2:Ai2/ns2:Team7Teamwork" xmlDataType="decimal"/>
    </xmlCellPr>
  </singleXmlCell>
  <singleXmlCell id="269" r="E12" connectionId="0">
    <xmlCellPr id="1" uniqueName="ns2:Team7Music">
      <xmlPr mapId="4" xpath="/ns2:ScoreSheet/ns2:Ai2/ns2:Team7Music" xmlDataType="decimal"/>
    </xmlCellPr>
  </singleXmlCell>
  <singleXmlCell id="270" r="F12" connectionId="0">
    <xmlCellPr id="1" uniqueName="ns2:Team7Flow">
      <xmlPr mapId="4" xpath="/ns2:ScoreSheet/ns2:Ai2/ns2:Team7Flow" xmlDataType="decimal"/>
    </xmlCellPr>
  </singleXmlCell>
  <singleXmlCell id="271" r="G12" connectionId="0">
    <xmlCellPr id="1" uniqueName="ns2:Team7Form">
      <xmlPr mapId="4" xpath="/ns2:ScoreSheet/ns2:Ai2/ns2:Team7Form" xmlDataType="decimal"/>
    </xmlCellPr>
  </singleXmlCell>
  <singleXmlCell id="272" r="H12" connectionId="0">
    <xmlCellPr id="1" uniqueName="ns2:Team7General">
      <xmlPr mapId="4" xpath="/ns2:ScoreSheet/ns2:Ai2/ns2:Team7General" xmlDataType="decimal"/>
    </xmlCellPr>
  </singleXmlCell>
  <singleXmlCell id="273" r="C13" connectionId="0">
    <xmlCellPr id="1" uniqueName="ns2:Team8Variety">
      <xmlPr mapId="4" xpath="/ns2:ScoreSheet/ns2:Ai2/ns2:Team8Variety" xmlDataType="decimal"/>
    </xmlCellPr>
  </singleXmlCell>
  <singleXmlCell id="274" r="D13" connectionId="0">
    <xmlCellPr id="1" uniqueName="ns2:Team8Teamwork">
      <xmlPr mapId="4" xpath="/ns2:ScoreSheet/ns2:Ai2/ns2:Team8Teamwork" xmlDataType="decimal"/>
    </xmlCellPr>
  </singleXmlCell>
  <singleXmlCell id="275" r="E13" connectionId="0">
    <xmlCellPr id="1" uniqueName="ns2:Team8Music">
      <xmlPr mapId="4" xpath="/ns2:ScoreSheet/ns2:Ai2/ns2:Team8Music" xmlDataType="decimal"/>
    </xmlCellPr>
  </singleXmlCell>
  <singleXmlCell id="276" r="F13" connectionId="0">
    <xmlCellPr id="1" uniqueName="ns2:Team8Flow">
      <xmlPr mapId="4" xpath="/ns2:ScoreSheet/ns2:Ai2/ns2:Team8Flow" xmlDataType="decimal"/>
    </xmlCellPr>
  </singleXmlCell>
  <singleXmlCell id="277" r="G13" connectionId="0">
    <xmlCellPr id="1" uniqueName="ns2:Team8Form">
      <xmlPr mapId="4" xpath="/ns2:ScoreSheet/ns2:Ai2/ns2:Team8Form" xmlDataType="decimal"/>
    </xmlCellPr>
  </singleXmlCell>
  <singleXmlCell id="278" r="H13" connectionId="0">
    <xmlCellPr id="1" uniqueName="ns2:Team8General">
      <xmlPr mapId="4" xpath="/ns2:ScoreSheet/ns2:Ai2/ns2:Team8General" xmlDataType="decimal"/>
    </xmlCellPr>
  </singleXmlCell>
  <singleXmlCell id="279" r="C14" connectionId="0">
    <xmlCellPr id="1" uniqueName="ns2:Team9Variety">
      <xmlPr mapId="4" xpath="/ns2:ScoreSheet/ns2:Ai2/ns2:Team9Variety" xmlDataType="decimal"/>
    </xmlCellPr>
  </singleXmlCell>
  <singleXmlCell id="280" r="D14" connectionId="0">
    <xmlCellPr id="1" uniqueName="ns2:Team9Teamwork">
      <xmlPr mapId="4" xpath="/ns2:ScoreSheet/ns2:Ai2/ns2:Team9Teamwork" xmlDataType="decimal"/>
    </xmlCellPr>
  </singleXmlCell>
  <singleXmlCell id="281" r="E14" connectionId="0">
    <xmlCellPr id="1" uniqueName="ns2:Team9Music">
      <xmlPr mapId="4" xpath="/ns2:ScoreSheet/ns2:Ai2/ns2:Team9Music" xmlDataType="decimal"/>
    </xmlCellPr>
  </singleXmlCell>
  <singleXmlCell id="282" r="F14" connectionId="0">
    <xmlCellPr id="1" uniqueName="ns2:Team9Flow">
      <xmlPr mapId="4" xpath="/ns2:ScoreSheet/ns2:Ai2/ns2:Team9Flow" xmlDataType="decimal"/>
    </xmlCellPr>
  </singleXmlCell>
  <singleXmlCell id="283" r="G14" connectionId="0">
    <xmlCellPr id="1" uniqueName="ns2:Team9Form">
      <xmlPr mapId="4" xpath="/ns2:ScoreSheet/ns2:Ai2/ns2:Team9Form" xmlDataType="decimal"/>
    </xmlCellPr>
  </singleXmlCell>
  <singleXmlCell id="284" r="H14" connectionId="0">
    <xmlCellPr id="1" uniqueName="ns2:Team9General">
      <xmlPr mapId="4" xpath="/ns2:ScoreSheet/ns2:Ai2/ns2:Team9General" xmlDataType="decimal"/>
    </xmlCellPr>
  </singleXmlCell>
  <singleXmlCell id="288" r="C15" connectionId="0">
    <xmlCellPr id="1" uniqueName="ns2:Team10Variety">
      <xmlPr mapId="4" xpath="/ns2:ScoreSheet/ns2:Ai2/ns2:Team10Variety" xmlDataType="decimal"/>
    </xmlCellPr>
  </singleXmlCell>
  <singleXmlCell id="289" r="D15" connectionId="0">
    <xmlCellPr id="1" uniqueName="ns2:Team10Teamwork">
      <xmlPr mapId="4" xpath="/ns2:ScoreSheet/ns2:Ai2/ns2:Team10Teamwork" xmlDataType="decimal"/>
    </xmlCellPr>
  </singleXmlCell>
  <singleXmlCell id="290" r="E15" connectionId="0">
    <xmlCellPr id="1" uniqueName="ns2:Team10Music">
      <xmlPr mapId="4" xpath="/ns2:ScoreSheet/ns2:Ai2/ns2:Team10Music" xmlDataType="decimal"/>
    </xmlCellPr>
  </singleXmlCell>
  <singleXmlCell id="291" r="F15" connectionId="0">
    <xmlCellPr id="1" uniqueName="ns2:Team10Flow">
      <xmlPr mapId="4" xpath="/ns2:ScoreSheet/ns2:Ai2/ns2:Team10Flow" xmlDataType="decimal"/>
    </xmlCellPr>
  </singleXmlCell>
  <singleXmlCell id="292" r="G15" connectionId="0">
    <xmlCellPr id="1" uniqueName="ns2:Team10Form">
      <xmlPr mapId="4" xpath="/ns2:ScoreSheet/ns2:Ai2/ns2:Team10Form" xmlDataType="decimal"/>
    </xmlCellPr>
  </singleXmlCell>
  <singleXmlCell id="293" r="H15" connectionId="0">
    <xmlCellPr id="1" uniqueName="ns2:Team10General">
      <xmlPr mapId="4" xpath="/ns2:ScoreSheet/ns2:Ai2/ns2:Team10General" xmlDataType="decimal"/>
    </xmlCellPr>
  </singleXmlCell>
</singleXmlCells>
</file>

<file path=xl/tables/tableSingleCells7.xml><?xml version="1.0" encoding="utf-8"?>
<singleXmlCells xmlns="http://schemas.openxmlformats.org/spreadsheetml/2006/main">
  <singleXmlCell id="294" r="C6" connectionId="0">
    <xmlCellPr id="1" uniqueName="ns2:Team1Variety">
      <xmlPr mapId="4" xpath="/ns2:ScoreSheet/ns2:Ai3/ns2:Team1Variety" xmlDataType="decimal"/>
    </xmlCellPr>
  </singleXmlCell>
  <singleXmlCell id="295" r="D6" connectionId="0">
    <xmlCellPr id="1" uniqueName="ns2:Team1Teamwork">
      <xmlPr mapId="4" xpath="/ns2:ScoreSheet/ns2:Ai3/ns2:Team1Teamwork" xmlDataType="decimal"/>
    </xmlCellPr>
  </singleXmlCell>
  <singleXmlCell id="296" r="E6" connectionId="0">
    <xmlCellPr id="1" uniqueName="ns2:Team1Music">
      <xmlPr mapId="4" xpath="/ns2:ScoreSheet/ns2:Ai3/ns2:Team1Music" xmlDataType="decimal"/>
    </xmlCellPr>
  </singleXmlCell>
  <singleXmlCell id="297" r="F6" connectionId="0">
    <xmlCellPr id="1" uniqueName="ns2:Team1Flow">
      <xmlPr mapId="4" xpath="/ns2:ScoreSheet/ns2:Ai3/ns2:Team1Flow" xmlDataType="decimal"/>
    </xmlCellPr>
  </singleXmlCell>
  <singleXmlCell id="298" r="G6" connectionId="0">
    <xmlCellPr id="1" uniqueName="ns2:Team1Form">
      <xmlPr mapId="4" xpath="/ns2:ScoreSheet/ns2:Ai3/ns2:Team1Form" xmlDataType="decimal"/>
    </xmlCellPr>
  </singleXmlCell>
  <singleXmlCell id="299" r="H6" connectionId="0">
    <xmlCellPr id="1" uniqueName="ns2:Team1General">
      <xmlPr mapId="4" xpath="/ns2:ScoreSheet/ns2:Ai3/ns2:Team1General" xmlDataType="decimal"/>
    </xmlCellPr>
  </singleXmlCell>
  <singleXmlCell id="300" r="C7" connectionId="0">
    <xmlCellPr id="1" uniqueName="ns2:Team2Variety">
      <xmlPr mapId="4" xpath="/ns2:ScoreSheet/ns2:Ai3/ns2:Team2Variety" xmlDataType="decimal"/>
    </xmlCellPr>
  </singleXmlCell>
  <singleXmlCell id="301" r="D7" connectionId="0">
    <xmlCellPr id="1" uniqueName="ns2:Team2Teamwork">
      <xmlPr mapId="4" xpath="/ns2:ScoreSheet/ns2:Ai3/ns2:Team2Teamwork" xmlDataType="decimal"/>
    </xmlCellPr>
  </singleXmlCell>
  <singleXmlCell id="302" r="E7" connectionId="0">
    <xmlCellPr id="1" uniqueName="ns2:Team2Music">
      <xmlPr mapId="4" xpath="/ns2:ScoreSheet/ns2:Ai3/ns2:Team2Music" xmlDataType="decimal"/>
    </xmlCellPr>
  </singleXmlCell>
  <singleXmlCell id="303" r="F7" connectionId="0">
    <xmlCellPr id="1" uniqueName="ns2:Team2Flow">
      <xmlPr mapId="4" xpath="/ns2:ScoreSheet/ns2:Ai3/ns2:Team2Flow" xmlDataType="decimal"/>
    </xmlCellPr>
  </singleXmlCell>
  <singleXmlCell id="304" r="G7" connectionId="0">
    <xmlCellPr id="1" uniqueName="ns2:Team2Form">
      <xmlPr mapId="4" xpath="/ns2:ScoreSheet/ns2:Ai3/ns2:Team2Form" xmlDataType="decimal"/>
    </xmlCellPr>
  </singleXmlCell>
  <singleXmlCell id="305" r="H7" connectionId="0">
    <xmlCellPr id="1" uniqueName="ns2:Team2General">
      <xmlPr mapId="4" xpath="/ns2:ScoreSheet/ns2:Ai3/ns2:Team2General" xmlDataType="decimal"/>
    </xmlCellPr>
  </singleXmlCell>
  <singleXmlCell id="306" r="C8" connectionId="0">
    <xmlCellPr id="1" uniqueName="ns2:Team3Variety">
      <xmlPr mapId="4" xpath="/ns2:ScoreSheet/ns2:Ai3/ns2:Team3Variety" xmlDataType="decimal"/>
    </xmlCellPr>
  </singleXmlCell>
  <singleXmlCell id="307" r="D8" connectionId="0">
    <xmlCellPr id="1" uniqueName="ns2:Team3Teamwork">
      <xmlPr mapId="4" xpath="/ns2:ScoreSheet/ns2:Ai3/ns2:Team3Teamwork" xmlDataType="decimal"/>
    </xmlCellPr>
  </singleXmlCell>
  <singleXmlCell id="308" r="E8" connectionId="0">
    <xmlCellPr id="1" uniqueName="ns2:Team3Music">
      <xmlPr mapId="4" xpath="/ns2:ScoreSheet/ns2:Ai3/ns2:Team3Music" xmlDataType="decimal"/>
    </xmlCellPr>
  </singleXmlCell>
  <singleXmlCell id="309" r="F8" connectionId="0">
    <xmlCellPr id="1" uniqueName="ns2:Team3Flow">
      <xmlPr mapId="4" xpath="/ns2:ScoreSheet/ns2:Ai3/ns2:Team3Flow" xmlDataType="decimal"/>
    </xmlCellPr>
  </singleXmlCell>
  <singleXmlCell id="310" r="G8" connectionId="0">
    <xmlCellPr id="1" uniqueName="ns2:Team3Form">
      <xmlPr mapId="4" xpath="/ns2:ScoreSheet/ns2:Ai3/ns2:Team3Form" xmlDataType="decimal"/>
    </xmlCellPr>
  </singleXmlCell>
  <singleXmlCell id="311" r="H8" connectionId="0">
    <xmlCellPr id="1" uniqueName="ns2:Team3General">
      <xmlPr mapId="4" xpath="/ns2:ScoreSheet/ns2:Ai3/ns2:Team3General" xmlDataType="decimal"/>
    </xmlCellPr>
  </singleXmlCell>
  <singleXmlCell id="312" r="C9" connectionId="0">
    <xmlCellPr id="1" uniqueName="ns2:Team4Variety">
      <xmlPr mapId="4" xpath="/ns2:ScoreSheet/ns2:Ai3/ns2:Team4Variety" xmlDataType="decimal"/>
    </xmlCellPr>
  </singleXmlCell>
  <singleXmlCell id="313" r="D9" connectionId="0">
    <xmlCellPr id="1" uniqueName="ns2:Team4Teamwork">
      <xmlPr mapId="4" xpath="/ns2:ScoreSheet/ns2:Ai3/ns2:Team4Teamwork" xmlDataType="decimal"/>
    </xmlCellPr>
  </singleXmlCell>
  <singleXmlCell id="314" r="E9" connectionId="0">
    <xmlCellPr id="1" uniqueName="ns2:Team4Music">
      <xmlPr mapId="4" xpath="/ns2:ScoreSheet/ns2:Ai3/ns2:Team4Music" xmlDataType="decimal"/>
    </xmlCellPr>
  </singleXmlCell>
  <singleXmlCell id="315" r="F9" connectionId="0">
    <xmlCellPr id="1" uniqueName="ns2:Team4Flow">
      <xmlPr mapId="4" xpath="/ns2:ScoreSheet/ns2:Ai3/ns2:Team4Flow" xmlDataType="decimal"/>
    </xmlCellPr>
  </singleXmlCell>
  <singleXmlCell id="316" r="G9" connectionId="0">
    <xmlCellPr id="1" uniqueName="ns2:Team4Form">
      <xmlPr mapId="4" xpath="/ns2:ScoreSheet/ns2:Ai3/ns2:Team4Form" xmlDataType="decimal"/>
    </xmlCellPr>
  </singleXmlCell>
  <singleXmlCell id="317" r="H9" connectionId="0">
    <xmlCellPr id="1" uniqueName="ns2:Team4General">
      <xmlPr mapId="4" xpath="/ns2:ScoreSheet/ns2:Ai3/ns2:Team4General" xmlDataType="decimal"/>
    </xmlCellPr>
  </singleXmlCell>
  <singleXmlCell id="318" r="C10" connectionId="0">
    <xmlCellPr id="1" uniqueName="ns2:Team5Variety">
      <xmlPr mapId="4" xpath="/ns2:ScoreSheet/ns2:Ai3/ns2:Team5Variety" xmlDataType="decimal"/>
    </xmlCellPr>
  </singleXmlCell>
  <singleXmlCell id="319" r="D10" connectionId="0">
    <xmlCellPr id="1" uniqueName="ns2:Team5Teamwork">
      <xmlPr mapId="4" xpath="/ns2:ScoreSheet/ns2:Ai3/ns2:Team5Teamwork" xmlDataType="decimal"/>
    </xmlCellPr>
  </singleXmlCell>
  <singleXmlCell id="320" r="E10" connectionId="0">
    <xmlCellPr id="1" uniqueName="ns2:Team5Music">
      <xmlPr mapId="4" xpath="/ns2:ScoreSheet/ns2:Ai3/ns2:Team5Music" xmlDataType="decimal"/>
    </xmlCellPr>
  </singleXmlCell>
  <singleXmlCell id="321" r="F10" connectionId="0">
    <xmlCellPr id="1" uniqueName="ns2:Team5Flow">
      <xmlPr mapId="4" xpath="/ns2:ScoreSheet/ns2:Ai3/ns2:Team5Flow" xmlDataType="decimal"/>
    </xmlCellPr>
  </singleXmlCell>
  <singleXmlCell id="322" r="G10" connectionId="0">
    <xmlCellPr id="1" uniqueName="ns2:Team5Form">
      <xmlPr mapId="4" xpath="/ns2:ScoreSheet/ns2:Ai3/ns2:Team5Form" xmlDataType="decimal"/>
    </xmlCellPr>
  </singleXmlCell>
  <singleXmlCell id="323" r="H10" connectionId="0">
    <xmlCellPr id="1" uniqueName="ns2:Team5General">
      <xmlPr mapId="4" xpath="/ns2:ScoreSheet/ns2:Ai3/ns2:Team5General" xmlDataType="decimal"/>
    </xmlCellPr>
  </singleXmlCell>
  <singleXmlCell id="324" r="C11" connectionId="0">
    <xmlCellPr id="1" uniqueName="ns2:Team6Variety">
      <xmlPr mapId="4" xpath="/ns2:ScoreSheet/ns2:Ai3/ns2:Team6Variety" xmlDataType="decimal"/>
    </xmlCellPr>
  </singleXmlCell>
  <singleXmlCell id="325" r="D11" connectionId="0">
    <xmlCellPr id="1" uniqueName="ns2:Team6Teamwork">
      <xmlPr mapId="4" xpath="/ns2:ScoreSheet/ns2:Ai3/ns2:Team6Teamwork" xmlDataType="decimal"/>
    </xmlCellPr>
  </singleXmlCell>
  <singleXmlCell id="326" r="E11" connectionId="0">
    <xmlCellPr id="1" uniqueName="ns2:Team6Music">
      <xmlPr mapId="4" xpath="/ns2:ScoreSheet/ns2:Ai3/ns2:Team6Music" xmlDataType="decimal"/>
    </xmlCellPr>
  </singleXmlCell>
  <singleXmlCell id="327" r="F11" connectionId="0">
    <xmlCellPr id="1" uniqueName="ns2:Team6Flow">
      <xmlPr mapId="4" xpath="/ns2:ScoreSheet/ns2:Ai3/ns2:Team6Flow" xmlDataType="decimal"/>
    </xmlCellPr>
  </singleXmlCell>
  <singleXmlCell id="328" r="G11" connectionId="0">
    <xmlCellPr id="1" uniqueName="ns2:Team6Form">
      <xmlPr mapId="4" xpath="/ns2:ScoreSheet/ns2:Ai3/ns2:Team6Form" xmlDataType="decimal"/>
    </xmlCellPr>
  </singleXmlCell>
  <singleXmlCell id="329" r="H11" connectionId="0">
    <xmlCellPr id="1" uniqueName="ns2:Team6General">
      <xmlPr mapId="4" xpath="/ns2:ScoreSheet/ns2:Ai3/ns2:Team6General" xmlDataType="decimal"/>
    </xmlCellPr>
  </singleXmlCell>
  <singleXmlCell id="330" r="C12" connectionId="0">
    <xmlCellPr id="1" uniqueName="ns2:Team7Variety">
      <xmlPr mapId="4" xpath="/ns2:ScoreSheet/ns2:Ai3/ns2:Team7Variety" xmlDataType="decimal"/>
    </xmlCellPr>
  </singleXmlCell>
  <singleXmlCell id="331" r="D12" connectionId="0">
    <xmlCellPr id="1" uniqueName="ns2:Team7Teamwork">
      <xmlPr mapId="4" xpath="/ns2:ScoreSheet/ns2:Ai3/ns2:Team7Teamwork" xmlDataType="decimal"/>
    </xmlCellPr>
  </singleXmlCell>
  <singleXmlCell id="332" r="E12" connectionId="0">
    <xmlCellPr id="1" uniqueName="ns2:Team7Music">
      <xmlPr mapId="4" xpath="/ns2:ScoreSheet/ns2:Ai3/ns2:Team7Music" xmlDataType="decimal"/>
    </xmlCellPr>
  </singleXmlCell>
  <singleXmlCell id="333" r="F12" connectionId="0">
    <xmlCellPr id="1" uniqueName="ns2:Team7Flow">
      <xmlPr mapId="4" xpath="/ns2:ScoreSheet/ns2:Ai3/ns2:Team7Flow" xmlDataType="decimal"/>
    </xmlCellPr>
  </singleXmlCell>
  <singleXmlCell id="334" r="G12" connectionId="0">
    <xmlCellPr id="1" uniqueName="ns2:Team7Form">
      <xmlPr mapId="4" xpath="/ns2:ScoreSheet/ns2:Ai3/ns2:Team7Form" xmlDataType="decimal"/>
    </xmlCellPr>
  </singleXmlCell>
  <singleXmlCell id="335" r="H12" connectionId="0">
    <xmlCellPr id="1" uniqueName="ns2:Team7General">
      <xmlPr mapId="4" xpath="/ns2:ScoreSheet/ns2:Ai3/ns2:Team7General" xmlDataType="decimal"/>
    </xmlCellPr>
  </singleXmlCell>
  <singleXmlCell id="336" r="C13" connectionId="0">
    <xmlCellPr id="1" uniqueName="ns2:Team8Variety">
      <xmlPr mapId="4" xpath="/ns2:ScoreSheet/ns2:Ai3/ns2:Team8Variety" xmlDataType="decimal"/>
    </xmlCellPr>
  </singleXmlCell>
  <singleXmlCell id="337" r="D13" connectionId="0">
    <xmlCellPr id="1" uniqueName="ns2:Team8Teamwork">
      <xmlPr mapId="4" xpath="/ns2:ScoreSheet/ns2:Ai3/ns2:Team8Teamwork" xmlDataType="decimal"/>
    </xmlCellPr>
  </singleXmlCell>
  <singleXmlCell id="338" r="E13" connectionId="0">
    <xmlCellPr id="1" uniqueName="ns2:Team8Music">
      <xmlPr mapId="4" xpath="/ns2:ScoreSheet/ns2:Ai3/ns2:Team8Music" xmlDataType="decimal"/>
    </xmlCellPr>
  </singleXmlCell>
  <singleXmlCell id="339" r="F13" connectionId="0">
    <xmlCellPr id="1" uniqueName="ns2:Team8Flow">
      <xmlPr mapId="4" xpath="/ns2:ScoreSheet/ns2:Ai3/ns2:Team8Flow" xmlDataType="decimal"/>
    </xmlCellPr>
  </singleXmlCell>
  <singleXmlCell id="340" r="G13" connectionId="0">
    <xmlCellPr id="1" uniqueName="ns2:Team8Form">
      <xmlPr mapId="4" xpath="/ns2:ScoreSheet/ns2:Ai3/ns2:Team8Form" xmlDataType="decimal"/>
    </xmlCellPr>
  </singleXmlCell>
  <singleXmlCell id="341" r="H13" connectionId="0">
    <xmlCellPr id="1" uniqueName="ns2:Team8General">
      <xmlPr mapId="4" xpath="/ns2:ScoreSheet/ns2:Ai3/ns2:Team8General" xmlDataType="decimal"/>
    </xmlCellPr>
  </singleXmlCell>
  <singleXmlCell id="342" r="C14" connectionId="0">
    <xmlCellPr id="1" uniqueName="ns2:Team9Variety">
      <xmlPr mapId="4" xpath="/ns2:ScoreSheet/ns2:Ai3/ns2:Team9Variety" xmlDataType="decimal"/>
    </xmlCellPr>
  </singleXmlCell>
  <singleXmlCell id="343" r="D14" connectionId="0">
    <xmlCellPr id="1" uniqueName="ns2:Team9Teamwork">
      <xmlPr mapId="4" xpath="/ns2:ScoreSheet/ns2:Ai3/ns2:Team9Teamwork" xmlDataType="decimal"/>
    </xmlCellPr>
  </singleXmlCell>
  <singleXmlCell id="344" r="E14" connectionId="0">
    <xmlCellPr id="1" uniqueName="ns2:Team9Music">
      <xmlPr mapId="4" xpath="/ns2:ScoreSheet/ns2:Ai3/ns2:Team9Music" xmlDataType="decimal"/>
    </xmlCellPr>
  </singleXmlCell>
  <singleXmlCell id="345" r="F14" connectionId="0">
    <xmlCellPr id="1" uniqueName="ns2:Team9Flow">
      <xmlPr mapId="4" xpath="/ns2:ScoreSheet/ns2:Ai3/ns2:Team9Flow" xmlDataType="decimal"/>
    </xmlCellPr>
  </singleXmlCell>
  <singleXmlCell id="346" r="G14" connectionId="0">
    <xmlCellPr id="1" uniqueName="ns2:Team9Form">
      <xmlPr mapId="4" xpath="/ns2:ScoreSheet/ns2:Ai3/ns2:Team9Form" xmlDataType="decimal"/>
    </xmlCellPr>
  </singleXmlCell>
  <singleXmlCell id="347" r="H14" connectionId="0">
    <xmlCellPr id="1" uniqueName="ns2:Team9General">
      <xmlPr mapId="4" xpath="/ns2:ScoreSheet/ns2:Ai3/ns2:Team9General" xmlDataType="decimal"/>
    </xmlCellPr>
  </singleXmlCell>
  <singleXmlCell id="348" r="C15" connectionId="0">
    <xmlCellPr id="1" uniqueName="ns2:Team10Variety">
      <xmlPr mapId="4" xpath="/ns2:ScoreSheet/ns2:Ai3/ns2:Team10Variety" xmlDataType="decimal"/>
    </xmlCellPr>
  </singleXmlCell>
  <singleXmlCell id="349" r="D15" connectionId="0">
    <xmlCellPr id="1" uniqueName="ns2:Team10Teamwork">
      <xmlPr mapId="4" xpath="/ns2:ScoreSheet/ns2:Ai3/ns2:Team10Teamwork" xmlDataType="decimal"/>
    </xmlCellPr>
  </singleXmlCell>
  <singleXmlCell id="350" r="E15" connectionId="0">
    <xmlCellPr id="1" uniqueName="ns2:Team10Music">
      <xmlPr mapId="4" xpath="/ns2:ScoreSheet/ns2:Ai3/ns2:Team10Music" xmlDataType="decimal"/>
    </xmlCellPr>
  </singleXmlCell>
  <singleXmlCell id="351" r="F15" connectionId="0">
    <xmlCellPr id="1" uniqueName="ns2:Team10Flow">
      <xmlPr mapId="4" xpath="/ns2:ScoreSheet/ns2:Ai3/ns2:Team10Flow" xmlDataType="decimal"/>
    </xmlCellPr>
  </singleXmlCell>
  <singleXmlCell id="352" r="G15" connectionId="0">
    <xmlCellPr id="1" uniqueName="ns2:Team10Form">
      <xmlPr mapId="4" xpath="/ns2:ScoreSheet/ns2:Ai3/ns2:Team10Form" xmlDataType="decimal"/>
    </xmlCellPr>
  </singleXmlCell>
  <singleXmlCell id="353" r="H15" connectionId="0">
    <xmlCellPr id="1" uniqueName="ns2:Team10General">
      <xmlPr mapId="4" xpath="/ns2:ScoreSheet/ns2:Ai3/ns2:Team10General" xmlDataType="decimal"/>
    </xmlCellPr>
  </singleXmlCell>
</singleXmlCells>
</file>

<file path=xl/tables/tableSingleCells8.xml><?xml version="1.0" encoding="utf-8"?>
<singleXmlCells xmlns="http://schemas.openxmlformats.org/spreadsheetml/2006/main">
  <singleXmlCell id="354" r="C7" connectionId="0">
    <xmlCellPr id="1" uniqueName="ns2:Team1Diff1">
      <xmlPr mapId="4" xpath="/ns2:ScoreSheet/ns2:Diff1/ns2:Team1Diff1" xmlDataType="decimal"/>
    </xmlCellPr>
  </singleXmlCell>
  <singleXmlCell id="355" r="D7" connectionId="0">
    <xmlCellPr id="1" uniqueName="ns2:Team1Diff2">
      <xmlPr mapId="4" xpath="/ns2:ScoreSheet/ns2:Diff1/ns2:Team1Diff2" xmlDataType="decimal"/>
    </xmlCellPr>
  </singleXmlCell>
  <singleXmlCell id="356" r="E7" connectionId="0">
    <xmlCellPr id="1" uniqueName="ns2:Team1Diff3">
      <xmlPr mapId="4" xpath="/ns2:ScoreSheet/ns2:Diff1/ns2:Team1Diff3" xmlDataType="decimal"/>
    </xmlCellPr>
  </singleXmlCell>
  <singleXmlCell id="357" r="F7" connectionId="0">
    <xmlCellPr id="1" uniqueName="ns2:Team1Diff4">
      <xmlPr mapId="4" xpath="/ns2:ScoreSheet/ns2:Diff1/ns2:Team1Diff4" xmlDataType="decimal"/>
    </xmlCellPr>
  </singleXmlCell>
  <singleXmlCell id="358" r="G7" connectionId="0">
    <xmlCellPr id="1" uniqueName="ns2:Team1Diff5">
      <xmlPr mapId="4" xpath="/ns2:ScoreSheet/ns2:Diff1/ns2:Team1Diff5" xmlDataType="decimal"/>
    </xmlCellPr>
  </singleXmlCell>
  <singleXmlCell id="359" r="H7" connectionId="0">
    <xmlCellPr id="1" uniqueName="ns2:Team1Diff6">
      <xmlPr mapId="4" xpath="/ns2:ScoreSheet/ns2:Diff1/ns2:Team1Diff6" xmlDataType="decimal"/>
    </xmlCellPr>
  </singleXmlCell>
  <singleXmlCell id="360" r="I7" connectionId="0">
    <xmlCellPr id="1" uniqueName="ns2:Team1Diff7">
      <xmlPr mapId="4" xpath="/ns2:ScoreSheet/ns2:Diff1/ns2:Team1Diff7" xmlDataType="decimal"/>
    </xmlCellPr>
  </singleXmlCell>
  <singleXmlCell id="361" r="J7" connectionId="0">
    <xmlCellPr id="1" uniqueName="ns2:Team1Diff8">
      <xmlPr mapId="4" xpath="/ns2:ScoreSheet/ns2:Diff1/ns2:Team1Diff8" xmlDataType="decimal"/>
    </xmlCellPr>
  </singleXmlCell>
  <singleXmlCell id="362" r="K7" connectionId="0">
    <xmlCellPr id="1" uniqueName="ns2:Team1Diff9">
      <xmlPr mapId="4" xpath="/ns2:ScoreSheet/ns2:Diff1/ns2:Team1Diff9" xmlDataType="decimal"/>
    </xmlCellPr>
  </singleXmlCell>
  <singleXmlCell id="363" r="L7" connectionId="0">
    <xmlCellPr id="1" uniqueName="ns2:Team1Diff10">
      <xmlPr mapId="4" xpath="/ns2:ScoreSheet/ns2:Diff1/ns2:Team1Diff10" xmlDataType="decimal"/>
    </xmlCellPr>
  </singleXmlCell>
  <singleXmlCell id="364" r="M7" connectionId="0">
    <xmlCellPr id="1" uniqueName="ns2:Team1Diff11">
      <xmlPr mapId="4" xpath="/ns2:ScoreSheet/ns2:Diff1/ns2:Team1Diff11" xmlDataType="decimal"/>
    </xmlCellPr>
  </singleXmlCell>
  <singleXmlCell id="365" r="N7" connectionId="0">
    <xmlCellPr id="1" uniqueName="ns2:Team1Diff12">
      <xmlPr mapId="4" xpath="/ns2:ScoreSheet/ns2:Diff1/ns2:Team1Diff12" xmlDataType="decimal"/>
    </xmlCellPr>
  </singleXmlCell>
  <singleXmlCell id="366" r="O7" connectionId="0">
    <xmlCellPr id="1" uniqueName="ns2:Team1Diff13">
      <xmlPr mapId="4" xpath="/ns2:ScoreSheet/ns2:Diff1/ns2:Team1Diff13" xmlDataType="decimal"/>
    </xmlCellPr>
  </singleXmlCell>
  <singleXmlCell id="367" r="P7" connectionId="0">
    <xmlCellPr id="1" uniqueName="ns2:Team1Diff14">
      <xmlPr mapId="4" xpath="/ns2:ScoreSheet/ns2:Diff1/ns2:Team1Diff14" xmlDataType="decimal"/>
    </xmlCellPr>
  </singleXmlCell>
  <singleXmlCell id="368" r="Q7" connectionId="0">
    <xmlCellPr id="1" uniqueName="ns2:Team1Diff15">
      <xmlPr mapId="4" xpath="/ns2:ScoreSheet/ns2:Diff1/ns2:Team1Diff15" xmlDataType="decimal"/>
    </xmlCellPr>
  </singleXmlCell>
  <singleXmlCell id="369" r="R7" connectionId="0">
    <xmlCellPr id="1" uniqueName="ns2:Team1Diff16">
      <xmlPr mapId="4" xpath="/ns2:ScoreSheet/ns2:Diff1/ns2:Team1Diff16" xmlDataType="decimal"/>
    </xmlCellPr>
  </singleXmlCell>
  <singleXmlCell id="370" r="S7" connectionId="0">
    <xmlCellPr id="1" uniqueName="ns2:Team1Diff17">
      <xmlPr mapId="4" xpath="/ns2:ScoreSheet/ns2:Diff1/ns2:Team1Diff17" xmlDataType="decimal"/>
    </xmlCellPr>
  </singleXmlCell>
  <singleXmlCell id="371" r="T7" connectionId="0">
    <xmlCellPr id="1" uniqueName="ns2:Team1Diff18">
      <xmlPr mapId="4" xpath="/ns2:ScoreSheet/ns2:Diff1/ns2:Team1Diff18" xmlDataType="decimal"/>
    </xmlCellPr>
  </singleXmlCell>
  <singleXmlCell id="372" r="U7" connectionId="0">
    <xmlCellPr id="1" uniqueName="ns2:Team1Diff19">
      <xmlPr mapId="4" xpath="/ns2:ScoreSheet/ns2:Diff1/ns2:Team1Diff19" xmlDataType="decimal"/>
    </xmlCellPr>
  </singleXmlCell>
  <singleXmlCell id="373" r="V7" connectionId="0">
    <xmlCellPr id="1" uniqueName="ns2:Team1Diff20">
      <xmlPr mapId="4" xpath="/ns2:ScoreSheet/ns2:Diff1/ns2:Team1Diff20" xmlDataType="decimal"/>
    </xmlCellPr>
  </singleXmlCell>
  <singleXmlCell id="374" r="C6" connectionId="0">
    <xmlCellPr id="1" uniqueName="ns2:Team1Consec1">
      <xmlPr mapId="4" xpath="/ns2:ScoreSheet/ns2:Diff1/ns2:Team1Consec1" xmlDataType="string"/>
    </xmlCellPr>
  </singleXmlCell>
  <singleXmlCell id="375" r="D6" connectionId="0">
    <xmlCellPr id="1" uniqueName="ns2:Team1Consec2">
      <xmlPr mapId="4" xpath="/ns2:ScoreSheet/ns2:Diff1/ns2:Team1Consec2" xmlDataType="string"/>
    </xmlCellPr>
  </singleXmlCell>
  <singleXmlCell id="376" r="E6" connectionId="0">
    <xmlCellPr id="1" uniqueName="ns2:Team1Consec3">
      <xmlPr mapId="4" xpath="/ns2:ScoreSheet/ns2:Diff1/ns2:Team1Consec3" xmlDataType="string"/>
    </xmlCellPr>
  </singleXmlCell>
  <singleXmlCell id="377" r="F6" connectionId="0">
    <xmlCellPr id="1" uniqueName="ns2:Team1Consec4">
      <xmlPr mapId="4" xpath="/ns2:ScoreSheet/ns2:Diff1/ns2:Team1Consec4" xmlDataType="string"/>
    </xmlCellPr>
  </singleXmlCell>
  <singleXmlCell id="378" r="G6" connectionId="0">
    <xmlCellPr id="1" uniqueName="ns2:Team1Consec5">
      <xmlPr mapId="4" xpath="/ns2:ScoreSheet/ns2:Diff1/ns2:Team1Consec5" xmlDataType="string"/>
    </xmlCellPr>
  </singleXmlCell>
  <singleXmlCell id="379" r="H6" connectionId="0">
    <xmlCellPr id="1" uniqueName="ns2:Team1Consec6">
      <xmlPr mapId="4" xpath="/ns2:ScoreSheet/ns2:Diff1/ns2:Team1Consec6" xmlDataType="string"/>
    </xmlCellPr>
  </singleXmlCell>
  <singleXmlCell id="380" r="I6" connectionId="0">
    <xmlCellPr id="1" uniqueName="ns2:Team1Consec7">
      <xmlPr mapId="4" xpath="/ns2:ScoreSheet/ns2:Diff1/ns2:Team1Consec7" xmlDataType="string"/>
    </xmlCellPr>
  </singleXmlCell>
  <singleXmlCell id="381" r="J6" connectionId="0">
    <xmlCellPr id="1" uniqueName="ns2:Team1Consec8">
      <xmlPr mapId="4" xpath="/ns2:ScoreSheet/ns2:Diff1/ns2:Team1Consec8" xmlDataType="string"/>
    </xmlCellPr>
  </singleXmlCell>
  <singleXmlCell id="382" r="K6" connectionId="0">
    <xmlCellPr id="1" uniqueName="ns2:Team1Consec9">
      <xmlPr mapId="4" xpath="/ns2:ScoreSheet/ns2:Diff1/ns2:Team1Consec9" xmlDataType="string"/>
    </xmlCellPr>
  </singleXmlCell>
  <singleXmlCell id="383" r="L6" connectionId="0">
    <xmlCellPr id="1" uniqueName="ns2:Team1Consec10">
      <xmlPr mapId="4" xpath="/ns2:ScoreSheet/ns2:Diff1/ns2:Team1Consec10" xmlDataType="string"/>
    </xmlCellPr>
  </singleXmlCell>
  <singleXmlCell id="384" r="M6" connectionId="0">
    <xmlCellPr id="1" uniqueName="ns2:Team1Consec11">
      <xmlPr mapId="4" xpath="/ns2:ScoreSheet/ns2:Diff1/ns2:Team1Consec11" xmlDataType="string"/>
    </xmlCellPr>
  </singleXmlCell>
  <singleXmlCell id="385" r="N6" connectionId="0">
    <xmlCellPr id="1" uniqueName="ns2:Team1Consec12">
      <xmlPr mapId="4" xpath="/ns2:ScoreSheet/ns2:Diff1/ns2:Team1Consec12" xmlDataType="string"/>
    </xmlCellPr>
  </singleXmlCell>
  <singleXmlCell id="386" r="O6" connectionId="0">
    <xmlCellPr id="1" uniqueName="ns2:Team1Consec13">
      <xmlPr mapId="4" xpath="/ns2:ScoreSheet/ns2:Diff1/ns2:Team1Consec13" xmlDataType="string"/>
    </xmlCellPr>
  </singleXmlCell>
  <singleXmlCell id="387" r="P6" connectionId="0">
    <xmlCellPr id="1" uniqueName="ns2:Team1Consec14">
      <xmlPr mapId="4" xpath="/ns2:ScoreSheet/ns2:Diff1/ns2:Team1Consec14" xmlDataType="string"/>
    </xmlCellPr>
  </singleXmlCell>
  <singleXmlCell id="388" r="Q6" connectionId="0">
    <xmlCellPr id="1" uniqueName="ns2:Team1Consec15">
      <xmlPr mapId="4" xpath="/ns2:ScoreSheet/ns2:Diff1/ns2:Team1Consec15" xmlDataType="string"/>
    </xmlCellPr>
  </singleXmlCell>
  <singleXmlCell id="389" r="R6" connectionId="0">
    <xmlCellPr id="1" uniqueName="ns2:Team1Consec16">
      <xmlPr mapId="4" xpath="/ns2:ScoreSheet/ns2:Diff1/ns2:Team1Consec16" xmlDataType="string"/>
    </xmlCellPr>
  </singleXmlCell>
  <singleXmlCell id="390" r="S6" connectionId="0">
    <xmlCellPr id="1" uniqueName="ns2:Team1Consec17">
      <xmlPr mapId="4" xpath="/ns2:ScoreSheet/ns2:Diff1/ns2:Team1Consec17" xmlDataType="string"/>
    </xmlCellPr>
  </singleXmlCell>
  <singleXmlCell id="391" r="T6" connectionId="0">
    <xmlCellPr id="1" uniqueName="ns2:Team1Consec18">
      <xmlPr mapId="4" xpath="/ns2:ScoreSheet/ns2:Diff1/ns2:Team1Consec18" xmlDataType="string"/>
    </xmlCellPr>
  </singleXmlCell>
  <singleXmlCell id="392" r="U6" connectionId="0">
    <xmlCellPr id="1" uniqueName="ns2:Team1Consec19">
      <xmlPr mapId="4" xpath="/ns2:ScoreSheet/ns2:Diff1/ns2:Team1Consec19" xmlDataType="string"/>
    </xmlCellPr>
  </singleXmlCell>
  <singleXmlCell id="393" r="V6" connectionId="0">
    <xmlCellPr id="1" uniqueName="ns2:Team1Consec20">
      <xmlPr mapId="4" xpath="/ns2:ScoreSheet/ns2:Diff1/ns2:Team1Consec20" xmlDataType="string"/>
    </xmlCellPr>
  </singleXmlCell>
  <singleXmlCell id="394" r="C9" connectionId="0">
    <xmlCellPr id="1" uniqueName="ns2:Team2Diff1">
      <xmlPr mapId="4" xpath="/ns2:ScoreSheet/ns2:Diff1/ns2:Team2Diff1" xmlDataType="decimal"/>
    </xmlCellPr>
  </singleXmlCell>
  <singleXmlCell id="395" r="D9" connectionId="0">
    <xmlCellPr id="1" uniqueName="ns2:Team2Diff2">
      <xmlPr mapId="4" xpath="/ns2:ScoreSheet/ns2:Diff1/ns2:Team2Diff2" xmlDataType="decimal"/>
    </xmlCellPr>
  </singleXmlCell>
  <singleXmlCell id="396" r="E9" connectionId="0">
    <xmlCellPr id="1" uniqueName="ns2:Team2Diff3">
      <xmlPr mapId="4" xpath="/ns2:ScoreSheet/ns2:Diff1/ns2:Team2Diff3" xmlDataType="decimal"/>
    </xmlCellPr>
  </singleXmlCell>
  <singleXmlCell id="397" r="F9" connectionId="0">
    <xmlCellPr id="1" uniqueName="ns2:Team2Diff4">
      <xmlPr mapId="4" xpath="/ns2:ScoreSheet/ns2:Diff1/ns2:Team2Diff4" xmlDataType="decimal"/>
    </xmlCellPr>
  </singleXmlCell>
  <singleXmlCell id="398" r="G9" connectionId="0">
    <xmlCellPr id="1" uniqueName="ns2:Team2Diff5">
      <xmlPr mapId="4" xpath="/ns2:ScoreSheet/ns2:Diff1/ns2:Team2Diff5" xmlDataType="decimal"/>
    </xmlCellPr>
  </singleXmlCell>
  <singleXmlCell id="399" r="H9" connectionId="0">
    <xmlCellPr id="1" uniqueName="ns2:Team2Diff6">
      <xmlPr mapId="4" xpath="/ns2:ScoreSheet/ns2:Diff1/ns2:Team2Diff6" xmlDataType="decimal"/>
    </xmlCellPr>
  </singleXmlCell>
  <singleXmlCell id="400" r="I9" connectionId="0">
    <xmlCellPr id="1" uniqueName="ns2:Team2Diff7">
      <xmlPr mapId="4" xpath="/ns2:ScoreSheet/ns2:Diff1/ns2:Team2Diff7" xmlDataType="decimal"/>
    </xmlCellPr>
  </singleXmlCell>
  <singleXmlCell id="401" r="J9" connectionId="0">
    <xmlCellPr id="1" uniqueName="ns2:Team2Diff8">
      <xmlPr mapId="4" xpath="/ns2:ScoreSheet/ns2:Diff1/ns2:Team2Diff8" xmlDataType="decimal"/>
    </xmlCellPr>
  </singleXmlCell>
  <singleXmlCell id="402" r="K9" connectionId="0">
    <xmlCellPr id="1" uniqueName="ns2:Team2Diff9">
      <xmlPr mapId="4" xpath="/ns2:ScoreSheet/ns2:Diff1/ns2:Team2Diff9" xmlDataType="decimal"/>
    </xmlCellPr>
  </singleXmlCell>
  <singleXmlCell id="403" r="L9" connectionId="0">
    <xmlCellPr id="1" uniqueName="ns2:Team2Diff10">
      <xmlPr mapId="4" xpath="/ns2:ScoreSheet/ns2:Diff1/ns2:Team2Diff10" xmlDataType="decimal"/>
    </xmlCellPr>
  </singleXmlCell>
  <singleXmlCell id="404" r="M9" connectionId="0">
    <xmlCellPr id="1" uniqueName="ns2:Team2Diff11">
      <xmlPr mapId="4" xpath="/ns2:ScoreSheet/ns2:Diff1/ns2:Team2Diff11" xmlDataType="decimal"/>
    </xmlCellPr>
  </singleXmlCell>
  <singleXmlCell id="405" r="N9" connectionId="0">
    <xmlCellPr id="1" uniqueName="ns2:Team2Diff12">
      <xmlPr mapId="4" xpath="/ns2:ScoreSheet/ns2:Diff1/ns2:Team2Diff12" xmlDataType="decimal"/>
    </xmlCellPr>
  </singleXmlCell>
  <singleXmlCell id="406" r="O9" connectionId="0">
    <xmlCellPr id="1" uniqueName="ns2:Team2Diff13">
      <xmlPr mapId="4" xpath="/ns2:ScoreSheet/ns2:Diff1/ns2:Team2Diff13" xmlDataType="decimal"/>
    </xmlCellPr>
  </singleXmlCell>
  <singleXmlCell id="407" r="P9" connectionId="0">
    <xmlCellPr id="1" uniqueName="ns2:Team2Diff14">
      <xmlPr mapId="4" xpath="/ns2:ScoreSheet/ns2:Diff1/ns2:Team2Diff14" xmlDataType="decimal"/>
    </xmlCellPr>
  </singleXmlCell>
  <singleXmlCell id="408" r="Q9" connectionId="0">
    <xmlCellPr id="1" uniqueName="ns2:Team2Diff15">
      <xmlPr mapId="4" xpath="/ns2:ScoreSheet/ns2:Diff1/ns2:Team2Diff15" xmlDataType="decimal"/>
    </xmlCellPr>
  </singleXmlCell>
  <singleXmlCell id="409" r="R9" connectionId="0">
    <xmlCellPr id="1" uniqueName="ns2:Team2Diff16">
      <xmlPr mapId="4" xpath="/ns2:ScoreSheet/ns2:Diff1/ns2:Team2Diff16" xmlDataType="decimal"/>
    </xmlCellPr>
  </singleXmlCell>
  <singleXmlCell id="410" r="S9" connectionId="0">
    <xmlCellPr id="1" uniqueName="ns2:Team2Diff17">
      <xmlPr mapId="4" xpath="/ns2:ScoreSheet/ns2:Diff1/ns2:Team2Diff17" xmlDataType="decimal"/>
    </xmlCellPr>
  </singleXmlCell>
  <singleXmlCell id="411" r="T9" connectionId="0">
    <xmlCellPr id="1" uniqueName="ns2:Team2Diff18">
      <xmlPr mapId="4" xpath="/ns2:ScoreSheet/ns2:Diff1/ns2:Team2Diff18" xmlDataType="decimal"/>
    </xmlCellPr>
  </singleXmlCell>
  <singleXmlCell id="412" r="U9" connectionId="0">
    <xmlCellPr id="1" uniqueName="ns2:Team2Diff19">
      <xmlPr mapId="4" xpath="/ns2:ScoreSheet/ns2:Diff1/ns2:Team2Diff19" xmlDataType="decimal"/>
    </xmlCellPr>
  </singleXmlCell>
  <singleXmlCell id="413" r="V9" connectionId="0">
    <xmlCellPr id="1" uniqueName="ns2:Team2Diff20">
      <xmlPr mapId="4" xpath="/ns2:ScoreSheet/ns2:Diff1/ns2:Team2Diff20" xmlDataType="decimal"/>
    </xmlCellPr>
  </singleXmlCell>
  <singleXmlCell id="414" r="C8" connectionId="0">
    <xmlCellPr id="1" uniqueName="ns2:Team2Consec1">
      <xmlPr mapId="4" xpath="/ns2:ScoreSheet/ns2:Diff1/ns2:Team2Consec1" xmlDataType="string"/>
    </xmlCellPr>
  </singleXmlCell>
  <singleXmlCell id="415" r="D8" connectionId="0">
    <xmlCellPr id="1" uniqueName="ns2:Team2Consec2">
      <xmlPr mapId="4" xpath="/ns2:ScoreSheet/ns2:Diff1/ns2:Team2Consec2" xmlDataType="string"/>
    </xmlCellPr>
  </singleXmlCell>
  <singleXmlCell id="416" r="E8" connectionId="0">
    <xmlCellPr id="1" uniqueName="ns2:Team2Consec3">
      <xmlPr mapId="4" xpath="/ns2:ScoreSheet/ns2:Diff1/ns2:Team2Consec3" xmlDataType="string"/>
    </xmlCellPr>
  </singleXmlCell>
  <singleXmlCell id="417" r="F8" connectionId="0">
    <xmlCellPr id="1" uniqueName="ns2:Team2Consec4">
      <xmlPr mapId="4" xpath="/ns2:ScoreSheet/ns2:Diff1/ns2:Team2Consec4" xmlDataType="string"/>
    </xmlCellPr>
  </singleXmlCell>
  <singleXmlCell id="418" r="G8" connectionId="0">
    <xmlCellPr id="1" uniqueName="ns2:Team2Consec5">
      <xmlPr mapId="4" xpath="/ns2:ScoreSheet/ns2:Diff1/ns2:Team2Consec5" xmlDataType="string"/>
    </xmlCellPr>
  </singleXmlCell>
  <singleXmlCell id="419" r="H8" connectionId="0">
    <xmlCellPr id="1" uniqueName="ns2:Team2Consec6">
      <xmlPr mapId="4" xpath="/ns2:ScoreSheet/ns2:Diff1/ns2:Team2Consec6" xmlDataType="string"/>
    </xmlCellPr>
  </singleXmlCell>
  <singleXmlCell id="420" r="I8" connectionId="0">
    <xmlCellPr id="1" uniqueName="ns2:Team2Consec7">
      <xmlPr mapId="4" xpath="/ns2:ScoreSheet/ns2:Diff1/ns2:Team2Consec7" xmlDataType="string"/>
    </xmlCellPr>
  </singleXmlCell>
  <singleXmlCell id="421" r="J8" connectionId="0">
    <xmlCellPr id="1" uniqueName="ns2:Team2Consec8">
      <xmlPr mapId="4" xpath="/ns2:ScoreSheet/ns2:Diff1/ns2:Team2Consec8" xmlDataType="string"/>
    </xmlCellPr>
  </singleXmlCell>
  <singleXmlCell id="422" r="K8" connectionId="0">
    <xmlCellPr id="1" uniqueName="ns2:Team2Consec9">
      <xmlPr mapId="4" xpath="/ns2:ScoreSheet/ns2:Diff1/ns2:Team2Consec9" xmlDataType="string"/>
    </xmlCellPr>
  </singleXmlCell>
  <singleXmlCell id="423" r="L8" connectionId="0">
    <xmlCellPr id="1" uniqueName="ns2:Team2Consec10">
      <xmlPr mapId="4" xpath="/ns2:ScoreSheet/ns2:Diff1/ns2:Team2Consec10" xmlDataType="string"/>
    </xmlCellPr>
  </singleXmlCell>
  <singleXmlCell id="424" r="M8" connectionId="0">
    <xmlCellPr id="1" uniqueName="ns2:Team2Consec11">
      <xmlPr mapId="4" xpath="/ns2:ScoreSheet/ns2:Diff1/ns2:Team2Consec11" xmlDataType="string"/>
    </xmlCellPr>
  </singleXmlCell>
  <singleXmlCell id="425" r="N8" connectionId="0">
    <xmlCellPr id="1" uniqueName="ns2:Team2Consec12">
      <xmlPr mapId="4" xpath="/ns2:ScoreSheet/ns2:Diff1/ns2:Team2Consec12" xmlDataType="string"/>
    </xmlCellPr>
  </singleXmlCell>
  <singleXmlCell id="426" r="O8" connectionId="0">
    <xmlCellPr id="1" uniqueName="ns2:Team2Consec13">
      <xmlPr mapId="4" xpath="/ns2:ScoreSheet/ns2:Diff1/ns2:Team2Consec13" xmlDataType="string"/>
    </xmlCellPr>
  </singleXmlCell>
  <singleXmlCell id="427" r="P8" connectionId="0">
    <xmlCellPr id="1" uniqueName="ns2:Team2Consec14">
      <xmlPr mapId="4" xpath="/ns2:ScoreSheet/ns2:Diff1/ns2:Team2Consec14" xmlDataType="string"/>
    </xmlCellPr>
  </singleXmlCell>
  <singleXmlCell id="428" r="Q8" connectionId="0">
    <xmlCellPr id="1" uniqueName="ns2:Team2Consec15">
      <xmlPr mapId="4" xpath="/ns2:ScoreSheet/ns2:Diff1/ns2:Team2Consec15" xmlDataType="string"/>
    </xmlCellPr>
  </singleXmlCell>
  <singleXmlCell id="429" r="R8" connectionId="0">
    <xmlCellPr id="1" uniqueName="ns2:Team2Consec16">
      <xmlPr mapId="4" xpath="/ns2:ScoreSheet/ns2:Diff1/ns2:Team2Consec16" xmlDataType="string"/>
    </xmlCellPr>
  </singleXmlCell>
  <singleXmlCell id="430" r="S8" connectionId="0">
    <xmlCellPr id="1" uniqueName="ns2:Team2Consec17">
      <xmlPr mapId="4" xpath="/ns2:ScoreSheet/ns2:Diff1/ns2:Team2Consec17" xmlDataType="string"/>
    </xmlCellPr>
  </singleXmlCell>
  <singleXmlCell id="431" r="T8" connectionId="0">
    <xmlCellPr id="1" uniqueName="ns2:Team2Consec18">
      <xmlPr mapId="4" xpath="/ns2:ScoreSheet/ns2:Diff1/ns2:Team2Consec18" xmlDataType="string"/>
    </xmlCellPr>
  </singleXmlCell>
  <singleXmlCell id="432" r="U8" connectionId="0">
    <xmlCellPr id="1" uniqueName="ns2:Team2Consec19">
      <xmlPr mapId="4" xpath="/ns2:ScoreSheet/ns2:Diff1/ns2:Team2Consec19" xmlDataType="string"/>
    </xmlCellPr>
  </singleXmlCell>
  <singleXmlCell id="433" r="V8" connectionId="0">
    <xmlCellPr id="1" uniqueName="ns2:Team2Consec20">
      <xmlPr mapId="4" xpath="/ns2:ScoreSheet/ns2:Diff1/ns2:Team2Consec20" xmlDataType="string"/>
    </xmlCellPr>
  </singleXmlCell>
  <singleXmlCell id="434" r="C11" connectionId="0">
    <xmlCellPr id="1" uniqueName="ns2:Team3Diff1">
      <xmlPr mapId="4" xpath="/ns2:ScoreSheet/ns2:Diff1/ns2:Team3Diff1" xmlDataType="decimal"/>
    </xmlCellPr>
  </singleXmlCell>
  <singleXmlCell id="435" r="D11" connectionId="0">
    <xmlCellPr id="1" uniqueName="ns2:Team3Diff2">
      <xmlPr mapId="4" xpath="/ns2:ScoreSheet/ns2:Diff1/ns2:Team3Diff2" xmlDataType="decimal"/>
    </xmlCellPr>
  </singleXmlCell>
  <singleXmlCell id="436" r="E11" connectionId="0">
    <xmlCellPr id="1" uniqueName="ns2:Team3Diff3">
      <xmlPr mapId="4" xpath="/ns2:ScoreSheet/ns2:Diff1/ns2:Team3Diff3" xmlDataType="decimal"/>
    </xmlCellPr>
  </singleXmlCell>
  <singleXmlCell id="437" r="F11" connectionId="0">
    <xmlCellPr id="1" uniqueName="ns2:Team3Diff4">
      <xmlPr mapId="4" xpath="/ns2:ScoreSheet/ns2:Diff1/ns2:Team3Diff4" xmlDataType="decimal"/>
    </xmlCellPr>
  </singleXmlCell>
  <singleXmlCell id="438" r="G11" connectionId="0">
    <xmlCellPr id="1" uniqueName="ns2:Team3Diff5">
      <xmlPr mapId="4" xpath="/ns2:ScoreSheet/ns2:Diff1/ns2:Team3Diff5" xmlDataType="decimal"/>
    </xmlCellPr>
  </singleXmlCell>
  <singleXmlCell id="439" r="H11" connectionId="0">
    <xmlCellPr id="1" uniqueName="ns2:Team3Diff6">
      <xmlPr mapId="4" xpath="/ns2:ScoreSheet/ns2:Diff1/ns2:Team3Diff6" xmlDataType="decimal"/>
    </xmlCellPr>
  </singleXmlCell>
  <singleXmlCell id="440" r="I11" connectionId="0">
    <xmlCellPr id="1" uniqueName="ns2:Team3Diff7">
      <xmlPr mapId="4" xpath="/ns2:ScoreSheet/ns2:Diff1/ns2:Team3Diff7" xmlDataType="decimal"/>
    </xmlCellPr>
  </singleXmlCell>
  <singleXmlCell id="441" r="J11" connectionId="0">
    <xmlCellPr id="1" uniqueName="ns2:Team3Diff8">
      <xmlPr mapId="4" xpath="/ns2:ScoreSheet/ns2:Diff1/ns2:Team3Diff8" xmlDataType="decimal"/>
    </xmlCellPr>
  </singleXmlCell>
  <singleXmlCell id="442" r="K11" connectionId="0">
    <xmlCellPr id="1" uniqueName="ns2:Team3Diff9">
      <xmlPr mapId="4" xpath="/ns2:ScoreSheet/ns2:Diff1/ns2:Team3Diff9" xmlDataType="decimal"/>
    </xmlCellPr>
  </singleXmlCell>
  <singleXmlCell id="443" r="L11" connectionId="0">
    <xmlCellPr id="1" uniqueName="ns2:Team3Diff10">
      <xmlPr mapId="4" xpath="/ns2:ScoreSheet/ns2:Diff1/ns2:Team3Diff10" xmlDataType="decimal"/>
    </xmlCellPr>
  </singleXmlCell>
  <singleXmlCell id="444" r="M11" connectionId="0">
    <xmlCellPr id="1" uniqueName="ns2:Team3Diff11">
      <xmlPr mapId="4" xpath="/ns2:ScoreSheet/ns2:Diff1/ns2:Team3Diff11" xmlDataType="decimal"/>
    </xmlCellPr>
  </singleXmlCell>
  <singleXmlCell id="445" r="N11" connectionId="0">
    <xmlCellPr id="1" uniqueName="ns2:Team3Diff12">
      <xmlPr mapId="4" xpath="/ns2:ScoreSheet/ns2:Diff1/ns2:Team3Diff12" xmlDataType="decimal"/>
    </xmlCellPr>
  </singleXmlCell>
  <singleXmlCell id="446" r="O11" connectionId="0">
    <xmlCellPr id="1" uniqueName="ns2:Team3Diff13">
      <xmlPr mapId="4" xpath="/ns2:ScoreSheet/ns2:Diff1/ns2:Team3Diff13" xmlDataType="decimal"/>
    </xmlCellPr>
  </singleXmlCell>
  <singleXmlCell id="447" r="P11" connectionId="0">
    <xmlCellPr id="1" uniqueName="ns2:Team3Diff14">
      <xmlPr mapId="4" xpath="/ns2:ScoreSheet/ns2:Diff1/ns2:Team3Diff14" xmlDataType="decimal"/>
    </xmlCellPr>
  </singleXmlCell>
  <singleXmlCell id="448" r="Q11" connectionId="0">
    <xmlCellPr id="1" uniqueName="ns2:Team3Diff15">
      <xmlPr mapId="4" xpath="/ns2:ScoreSheet/ns2:Diff1/ns2:Team3Diff15" xmlDataType="decimal"/>
    </xmlCellPr>
  </singleXmlCell>
  <singleXmlCell id="449" r="R11" connectionId="0">
    <xmlCellPr id="1" uniqueName="ns2:Team3Diff16">
      <xmlPr mapId="4" xpath="/ns2:ScoreSheet/ns2:Diff1/ns2:Team3Diff16" xmlDataType="decimal"/>
    </xmlCellPr>
  </singleXmlCell>
  <singleXmlCell id="450" r="S11" connectionId="0">
    <xmlCellPr id="1" uniqueName="ns2:Team3Diff17">
      <xmlPr mapId="4" xpath="/ns2:ScoreSheet/ns2:Diff1/ns2:Team3Diff17" xmlDataType="decimal"/>
    </xmlCellPr>
  </singleXmlCell>
  <singleXmlCell id="451" r="T11" connectionId="0">
    <xmlCellPr id="1" uniqueName="ns2:Team3Diff18">
      <xmlPr mapId="4" xpath="/ns2:ScoreSheet/ns2:Diff1/ns2:Team3Diff18" xmlDataType="decimal"/>
    </xmlCellPr>
  </singleXmlCell>
  <singleXmlCell id="452" r="U11" connectionId="0">
    <xmlCellPr id="1" uniqueName="ns2:Team3Diff19">
      <xmlPr mapId="4" xpath="/ns2:ScoreSheet/ns2:Diff1/ns2:Team3Diff19" xmlDataType="decimal"/>
    </xmlCellPr>
  </singleXmlCell>
  <singleXmlCell id="453" r="V11" connectionId="0">
    <xmlCellPr id="1" uniqueName="ns2:Team3Diff20">
      <xmlPr mapId="4" xpath="/ns2:ScoreSheet/ns2:Diff1/ns2:Team3Diff20" xmlDataType="decimal"/>
    </xmlCellPr>
  </singleXmlCell>
  <singleXmlCell id="454" r="C10" connectionId="0">
    <xmlCellPr id="1" uniqueName="ns2:Team3Consec1">
      <xmlPr mapId="4" xpath="/ns2:ScoreSheet/ns2:Diff1/ns2:Team3Consec1" xmlDataType="string"/>
    </xmlCellPr>
  </singleXmlCell>
  <singleXmlCell id="455" r="D10" connectionId="0">
    <xmlCellPr id="1" uniqueName="ns2:Team3Consec2">
      <xmlPr mapId="4" xpath="/ns2:ScoreSheet/ns2:Diff1/ns2:Team3Consec2" xmlDataType="string"/>
    </xmlCellPr>
  </singleXmlCell>
  <singleXmlCell id="456" r="E10" connectionId="0">
    <xmlCellPr id="1" uniqueName="ns2:Team3Consec3">
      <xmlPr mapId="4" xpath="/ns2:ScoreSheet/ns2:Diff1/ns2:Team3Consec3" xmlDataType="string"/>
    </xmlCellPr>
  </singleXmlCell>
  <singleXmlCell id="457" r="F10" connectionId="0">
    <xmlCellPr id="1" uniqueName="ns2:Team3Consec4">
      <xmlPr mapId="4" xpath="/ns2:ScoreSheet/ns2:Diff1/ns2:Team3Consec4" xmlDataType="string"/>
    </xmlCellPr>
  </singleXmlCell>
  <singleXmlCell id="458" r="G10" connectionId="0">
    <xmlCellPr id="1" uniqueName="ns2:Team3Consec5">
      <xmlPr mapId="4" xpath="/ns2:ScoreSheet/ns2:Diff1/ns2:Team3Consec5" xmlDataType="string"/>
    </xmlCellPr>
  </singleXmlCell>
  <singleXmlCell id="459" r="H10" connectionId="0">
    <xmlCellPr id="1" uniqueName="ns2:Team3Consec6">
      <xmlPr mapId="4" xpath="/ns2:ScoreSheet/ns2:Diff1/ns2:Team3Consec6" xmlDataType="string"/>
    </xmlCellPr>
  </singleXmlCell>
  <singleXmlCell id="460" r="I10" connectionId="0">
    <xmlCellPr id="1" uniqueName="ns2:Team3Consec7">
      <xmlPr mapId="4" xpath="/ns2:ScoreSheet/ns2:Diff1/ns2:Team3Consec7" xmlDataType="string"/>
    </xmlCellPr>
  </singleXmlCell>
  <singleXmlCell id="461" r="J10" connectionId="0">
    <xmlCellPr id="1" uniqueName="ns2:Team3Consec8">
      <xmlPr mapId="4" xpath="/ns2:ScoreSheet/ns2:Diff1/ns2:Team3Consec8" xmlDataType="string"/>
    </xmlCellPr>
  </singleXmlCell>
  <singleXmlCell id="462" r="K10" connectionId="0">
    <xmlCellPr id="1" uniqueName="ns2:Team3Consec9">
      <xmlPr mapId="4" xpath="/ns2:ScoreSheet/ns2:Diff1/ns2:Team3Consec9" xmlDataType="string"/>
    </xmlCellPr>
  </singleXmlCell>
  <singleXmlCell id="463" r="L10" connectionId="0">
    <xmlCellPr id="1" uniqueName="ns2:Team3Consec10">
      <xmlPr mapId="4" xpath="/ns2:ScoreSheet/ns2:Diff1/ns2:Team3Consec10" xmlDataType="string"/>
    </xmlCellPr>
  </singleXmlCell>
  <singleXmlCell id="464" r="M10" connectionId="0">
    <xmlCellPr id="1" uniqueName="ns2:Team3Consec11">
      <xmlPr mapId="4" xpath="/ns2:ScoreSheet/ns2:Diff1/ns2:Team3Consec11" xmlDataType="string"/>
    </xmlCellPr>
  </singleXmlCell>
  <singleXmlCell id="465" r="N10" connectionId="0">
    <xmlCellPr id="1" uniqueName="ns2:Team3Consec12">
      <xmlPr mapId="4" xpath="/ns2:ScoreSheet/ns2:Diff1/ns2:Team3Consec12" xmlDataType="string"/>
    </xmlCellPr>
  </singleXmlCell>
  <singleXmlCell id="466" r="O10" connectionId="0">
    <xmlCellPr id="1" uniqueName="ns2:Team3Consec13">
      <xmlPr mapId="4" xpath="/ns2:ScoreSheet/ns2:Diff1/ns2:Team3Consec13" xmlDataType="string"/>
    </xmlCellPr>
  </singleXmlCell>
  <singleXmlCell id="467" r="P10" connectionId="0">
    <xmlCellPr id="1" uniqueName="ns2:Team3Consec14">
      <xmlPr mapId="4" xpath="/ns2:ScoreSheet/ns2:Diff1/ns2:Team3Consec14" xmlDataType="string"/>
    </xmlCellPr>
  </singleXmlCell>
  <singleXmlCell id="468" r="Q10" connectionId="0">
    <xmlCellPr id="1" uniqueName="ns2:Team3Consec15">
      <xmlPr mapId="4" xpath="/ns2:ScoreSheet/ns2:Diff1/ns2:Team3Consec15" xmlDataType="string"/>
    </xmlCellPr>
  </singleXmlCell>
  <singleXmlCell id="469" r="R10" connectionId="0">
    <xmlCellPr id="1" uniqueName="ns2:Team3Consec16">
      <xmlPr mapId="4" xpath="/ns2:ScoreSheet/ns2:Diff1/ns2:Team3Consec16" xmlDataType="string"/>
    </xmlCellPr>
  </singleXmlCell>
  <singleXmlCell id="470" r="S10" connectionId="0">
    <xmlCellPr id="1" uniqueName="ns2:Team3Consec17">
      <xmlPr mapId="4" xpath="/ns2:ScoreSheet/ns2:Diff1/ns2:Team3Consec17" xmlDataType="string"/>
    </xmlCellPr>
  </singleXmlCell>
  <singleXmlCell id="471" r="T10" connectionId="0">
    <xmlCellPr id="1" uniqueName="ns2:Team3Consec18">
      <xmlPr mapId="4" xpath="/ns2:ScoreSheet/ns2:Diff1/ns2:Team3Consec18" xmlDataType="string"/>
    </xmlCellPr>
  </singleXmlCell>
  <singleXmlCell id="472" r="U10" connectionId="0">
    <xmlCellPr id="1" uniqueName="ns2:Team3Consec19">
      <xmlPr mapId="4" xpath="/ns2:ScoreSheet/ns2:Diff1/ns2:Team3Consec19" xmlDataType="string"/>
    </xmlCellPr>
  </singleXmlCell>
  <singleXmlCell id="473" r="V10" connectionId="0">
    <xmlCellPr id="1" uniqueName="ns2:Team3Consec20">
      <xmlPr mapId="4" xpath="/ns2:ScoreSheet/ns2:Diff1/ns2:Team3Consec20" xmlDataType="string"/>
    </xmlCellPr>
  </singleXmlCell>
  <singleXmlCell id="494" r="C13" connectionId="0">
    <xmlCellPr id="1" uniqueName="ns2:Team4Diff1">
      <xmlPr mapId="4" xpath="/ns2:ScoreSheet/ns2:Diff1/ns2:Team4Diff1" xmlDataType="decimal"/>
    </xmlCellPr>
  </singleXmlCell>
  <singleXmlCell id="495" r="D13" connectionId="0">
    <xmlCellPr id="1" uniqueName="ns2:Team4Diff2">
      <xmlPr mapId="4" xpath="/ns2:ScoreSheet/ns2:Diff1/ns2:Team4Diff2" xmlDataType="decimal"/>
    </xmlCellPr>
  </singleXmlCell>
  <singleXmlCell id="496" r="E13" connectionId="0">
    <xmlCellPr id="1" uniqueName="ns2:Team4Diff3">
      <xmlPr mapId="4" xpath="/ns2:ScoreSheet/ns2:Diff1/ns2:Team4Diff3" xmlDataType="decimal"/>
    </xmlCellPr>
  </singleXmlCell>
  <singleXmlCell id="497" r="F13" connectionId="0">
    <xmlCellPr id="1" uniqueName="ns2:Team4Diff4">
      <xmlPr mapId="4" xpath="/ns2:ScoreSheet/ns2:Diff1/ns2:Team4Diff4" xmlDataType="decimal"/>
    </xmlCellPr>
  </singleXmlCell>
  <singleXmlCell id="498" r="G13" connectionId="0">
    <xmlCellPr id="1" uniqueName="ns2:Team4Diff5">
      <xmlPr mapId="4" xpath="/ns2:ScoreSheet/ns2:Diff1/ns2:Team4Diff5" xmlDataType="decimal"/>
    </xmlCellPr>
  </singleXmlCell>
  <singleXmlCell id="499" r="H13" connectionId="0">
    <xmlCellPr id="1" uniqueName="ns2:Team4Diff6">
      <xmlPr mapId="4" xpath="/ns2:ScoreSheet/ns2:Diff1/ns2:Team4Diff6" xmlDataType="decimal"/>
    </xmlCellPr>
  </singleXmlCell>
  <singleXmlCell id="500" r="I13" connectionId="0">
    <xmlCellPr id="1" uniqueName="ns2:Team4Diff7">
      <xmlPr mapId="4" xpath="/ns2:ScoreSheet/ns2:Diff1/ns2:Team4Diff7" xmlDataType="decimal"/>
    </xmlCellPr>
  </singleXmlCell>
  <singleXmlCell id="501" r="J13" connectionId="0">
    <xmlCellPr id="1" uniqueName="ns2:Team4Diff8">
      <xmlPr mapId="4" xpath="/ns2:ScoreSheet/ns2:Diff1/ns2:Team4Diff8" xmlDataType="decimal"/>
    </xmlCellPr>
  </singleXmlCell>
  <singleXmlCell id="502" r="K13" connectionId="0">
    <xmlCellPr id="1" uniqueName="ns2:Team4Diff9">
      <xmlPr mapId="4" xpath="/ns2:ScoreSheet/ns2:Diff1/ns2:Team4Diff9" xmlDataType="decimal"/>
    </xmlCellPr>
  </singleXmlCell>
  <singleXmlCell id="503" r="L13" connectionId="0">
    <xmlCellPr id="1" uniqueName="ns2:Team4Diff10">
      <xmlPr mapId="4" xpath="/ns2:ScoreSheet/ns2:Diff1/ns2:Team4Diff10" xmlDataType="decimal"/>
    </xmlCellPr>
  </singleXmlCell>
  <singleXmlCell id="504" r="M13" connectionId="0">
    <xmlCellPr id="1" uniqueName="ns2:Team4Diff11">
      <xmlPr mapId="4" xpath="/ns2:ScoreSheet/ns2:Diff1/ns2:Team4Diff11" xmlDataType="decimal"/>
    </xmlCellPr>
  </singleXmlCell>
  <singleXmlCell id="505" r="N13" connectionId="0">
    <xmlCellPr id="1" uniqueName="ns2:Team4Diff12">
      <xmlPr mapId="4" xpath="/ns2:ScoreSheet/ns2:Diff1/ns2:Team4Diff12" xmlDataType="decimal"/>
    </xmlCellPr>
  </singleXmlCell>
  <singleXmlCell id="506" r="O13" connectionId="0">
    <xmlCellPr id="1" uniqueName="ns2:Team4Diff13">
      <xmlPr mapId="4" xpath="/ns2:ScoreSheet/ns2:Diff1/ns2:Team4Diff13" xmlDataType="decimal"/>
    </xmlCellPr>
  </singleXmlCell>
  <singleXmlCell id="507" r="P13" connectionId="0">
    <xmlCellPr id="1" uniqueName="ns2:Team4Diff14">
      <xmlPr mapId="4" xpath="/ns2:ScoreSheet/ns2:Diff1/ns2:Team4Diff14" xmlDataType="decimal"/>
    </xmlCellPr>
  </singleXmlCell>
  <singleXmlCell id="508" r="Q13" connectionId="0">
    <xmlCellPr id="1" uniqueName="ns2:Team4Diff15">
      <xmlPr mapId="4" xpath="/ns2:ScoreSheet/ns2:Diff1/ns2:Team4Diff15" xmlDataType="decimal"/>
    </xmlCellPr>
  </singleXmlCell>
  <singleXmlCell id="509" r="R13" connectionId="0">
    <xmlCellPr id="1" uniqueName="ns2:Team4Diff16">
      <xmlPr mapId="4" xpath="/ns2:ScoreSheet/ns2:Diff1/ns2:Team4Diff16" xmlDataType="decimal"/>
    </xmlCellPr>
  </singleXmlCell>
  <singleXmlCell id="510" r="S13" connectionId="0">
    <xmlCellPr id="1" uniqueName="ns2:Team4Diff17">
      <xmlPr mapId="4" xpath="/ns2:ScoreSheet/ns2:Diff1/ns2:Team4Diff17" xmlDataType="decimal"/>
    </xmlCellPr>
  </singleXmlCell>
  <singleXmlCell id="511" r="T13" connectionId="0">
    <xmlCellPr id="1" uniqueName="ns2:Team4Diff18">
      <xmlPr mapId="4" xpath="/ns2:ScoreSheet/ns2:Diff1/ns2:Team4Diff18" xmlDataType="decimal"/>
    </xmlCellPr>
  </singleXmlCell>
  <singleXmlCell id="512" r="U13" connectionId="0">
    <xmlCellPr id="1" uniqueName="ns2:Team4Diff19">
      <xmlPr mapId="4" xpath="/ns2:ScoreSheet/ns2:Diff1/ns2:Team4Diff19" xmlDataType="decimal"/>
    </xmlCellPr>
  </singleXmlCell>
  <singleXmlCell id="513" r="V13" connectionId="0">
    <xmlCellPr id="1" uniqueName="ns2:Team4Diff20">
      <xmlPr mapId="4" xpath="/ns2:ScoreSheet/ns2:Diff1/ns2:Team4Diff20" xmlDataType="decimal"/>
    </xmlCellPr>
  </singleXmlCell>
  <singleXmlCell id="514" r="C12" connectionId="0">
    <xmlCellPr id="1" uniqueName="ns2:Team4Consec1">
      <xmlPr mapId="4" xpath="/ns2:ScoreSheet/ns2:Diff1/ns2:Team4Consec1" xmlDataType="string"/>
    </xmlCellPr>
  </singleXmlCell>
  <singleXmlCell id="515" r="D12" connectionId="0">
    <xmlCellPr id="1" uniqueName="ns2:Team4Consec2">
      <xmlPr mapId="4" xpath="/ns2:ScoreSheet/ns2:Diff1/ns2:Team4Consec2" xmlDataType="string"/>
    </xmlCellPr>
  </singleXmlCell>
  <singleXmlCell id="516" r="E12" connectionId="0">
    <xmlCellPr id="1" uniqueName="ns2:Team4Consec3">
      <xmlPr mapId="4" xpath="/ns2:ScoreSheet/ns2:Diff1/ns2:Team4Consec3" xmlDataType="string"/>
    </xmlCellPr>
  </singleXmlCell>
  <singleXmlCell id="517" r="F12" connectionId="0">
    <xmlCellPr id="1" uniqueName="ns2:Team4Consec4">
      <xmlPr mapId="4" xpath="/ns2:ScoreSheet/ns2:Diff1/ns2:Team4Consec4" xmlDataType="string"/>
    </xmlCellPr>
  </singleXmlCell>
  <singleXmlCell id="518" r="G12" connectionId="0">
    <xmlCellPr id="1" uniqueName="ns2:Team4Consec5">
      <xmlPr mapId="4" xpath="/ns2:ScoreSheet/ns2:Diff1/ns2:Team4Consec5" xmlDataType="string"/>
    </xmlCellPr>
  </singleXmlCell>
  <singleXmlCell id="519" r="H12" connectionId="0">
    <xmlCellPr id="1" uniqueName="ns2:Team4Consec6">
      <xmlPr mapId="4" xpath="/ns2:ScoreSheet/ns2:Diff1/ns2:Team4Consec6" xmlDataType="string"/>
    </xmlCellPr>
  </singleXmlCell>
  <singleXmlCell id="520" r="I12" connectionId="0">
    <xmlCellPr id="1" uniqueName="ns2:Team4Consec7">
      <xmlPr mapId="4" xpath="/ns2:ScoreSheet/ns2:Diff1/ns2:Team4Consec7" xmlDataType="string"/>
    </xmlCellPr>
  </singleXmlCell>
  <singleXmlCell id="521" r="J12" connectionId="0">
    <xmlCellPr id="1" uniqueName="ns2:Team4Consec8">
      <xmlPr mapId="4" xpath="/ns2:ScoreSheet/ns2:Diff1/ns2:Team4Consec8" xmlDataType="string"/>
    </xmlCellPr>
  </singleXmlCell>
  <singleXmlCell id="522" r="K12" connectionId="0">
    <xmlCellPr id="1" uniqueName="ns2:Team4Consec9">
      <xmlPr mapId="4" xpath="/ns2:ScoreSheet/ns2:Diff1/ns2:Team4Consec9" xmlDataType="string"/>
    </xmlCellPr>
  </singleXmlCell>
  <singleXmlCell id="523" r="L12" connectionId="0">
    <xmlCellPr id="1" uniqueName="ns2:Team4Consec10">
      <xmlPr mapId="4" xpath="/ns2:ScoreSheet/ns2:Diff1/ns2:Team4Consec10" xmlDataType="string"/>
    </xmlCellPr>
  </singleXmlCell>
  <singleXmlCell id="524" r="M12" connectionId="0">
    <xmlCellPr id="1" uniqueName="ns2:Team4Consec11">
      <xmlPr mapId="4" xpath="/ns2:ScoreSheet/ns2:Diff1/ns2:Team4Consec11" xmlDataType="string"/>
    </xmlCellPr>
  </singleXmlCell>
  <singleXmlCell id="525" r="N12" connectionId="0">
    <xmlCellPr id="1" uniqueName="ns2:Team4Consec12">
      <xmlPr mapId="4" xpath="/ns2:ScoreSheet/ns2:Diff1/ns2:Team4Consec12" xmlDataType="string"/>
    </xmlCellPr>
  </singleXmlCell>
  <singleXmlCell id="526" r="O12" connectionId="0">
    <xmlCellPr id="1" uniqueName="ns2:Team4Consec13">
      <xmlPr mapId="4" xpath="/ns2:ScoreSheet/ns2:Diff1/ns2:Team4Consec13" xmlDataType="string"/>
    </xmlCellPr>
  </singleXmlCell>
  <singleXmlCell id="527" r="P12" connectionId="0">
    <xmlCellPr id="1" uniqueName="ns2:Team4Consec14">
      <xmlPr mapId="4" xpath="/ns2:ScoreSheet/ns2:Diff1/ns2:Team4Consec14" xmlDataType="string"/>
    </xmlCellPr>
  </singleXmlCell>
  <singleXmlCell id="528" r="Q12" connectionId="0">
    <xmlCellPr id="1" uniqueName="ns2:Team4Consec15">
      <xmlPr mapId="4" xpath="/ns2:ScoreSheet/ns2:Diff1/ns2:Team4Consec15" xmlDataType="string"/>
    </xmlCellPr>
  </singleXmlCell>
  <singleXmlCell id="529" r="R12" connectionId="0">
    <xmlCellPr id="1" uniqueName="ns2:Team4Consec16">
      <xmlPr mapId="4" xpath="/ns2:ScoreSheet/ns2:Diff1/ns2:Team4Consec16" xmlDataType="string"/>
    </xmlCellPr>
  </singleXmlCell>
  <singleXmlCell id="530" r="S12" connectionId="0">
    <xmlCellPr id="1" uniqueName="ns2:Team4Consec17">
      <xmlPr mapId="4" xpath="/ns2:ScoreSheet/ns2:Diff1/ns2:Team4Consec17" xmlDataType="string"/>
    </xmlCellPr>
  </singleXmlCell>
  <singleXmlCell id="531" r="T12" connectionId="0">
    <xmlCellPr id="1" uniqueName="ns2:Team4Consec18">
      <xmlPr mapId="4" xpath="/ns2:ScoreSheet/ns2:Diff1/ns2:Team4Consec18" xmlDataType="string"/>
    </xmlCellPr>
  </singleXmlCell>
  <singleXmlCell id="532" r="U12" connectionId="0">
    <xmlCellPr id="1" uniqueName="ns2:Team4Consec19">
      <xmlPr mapId="4" xpath="/ns2:ScoreSheet/ns2:Diff1/ns2:Team4Consec19" xmlDataType="string"/>
    </xmlCellPr>
  </singleXmlCell>
  <singleXmlCell id="533" r="V12" connectionId="0">
    <xmlCellPr id="1" uniqueName="ns2:Team4Consec20">
      <xmlPr mapId="4" xpath="/ns2:ScoreSheet/ns2:Diff1/ns2:Team4Consec20" xmlDataType="string"/>
    </xmlCellPr>
  </singleXmlCell>
  <singleXmlCell id="534" r="C15" connectionId="0">
    <xmlCellPr id="1" uniqueName="ns2:Team5Diff1">
      <xmlPr mapId="4" xpath="/ns2:ScoreSheet/ns2:Diff1/ns2:Team5Diff1" xmlDataType="decimal"/>
    </xmlCellPr>
  </singleXmlCell>
  <singleXmlCell id="535" r="D15" connectionId="0">
    <xmlCellPr id="1" uniqueName="ns2:Team5Diff2">
      <xmlPr mapId="4" xpath="/ns2:ScoreSheet/ns2:Diff1/ns2:Team5Diff2" xmlDataType="decimal"/>
    </xmlCellPr>
  </singleXmlCell>
  <singleXmlCell id="536" r="E15" connectionId="0">
    <xmlCellPr id="1" uniqueName="ns2:Team5Diff3">
      <xmlPr mapId="4" xpath="/ns2:ScoreSheet/ns2:Diff1/ns2:Team5Diff3" xmlDataType="decimal"/>
    </xmlCellPr>
  </singleXmlCell>
  <singleXmlCell id="537" r="F15" connectionId="0">
    <xmlCellPr id="1" uniqueName="ns2:Team5Diff4">
      <xmlPr mapId="4" xpath="/ns2:ScoreSheet/ns2:Diff1/ns2:Team5Diff4" xmlDataType="decimal"/>
    </xmlCellPr>
  </singleXmlCell>
  <singleXmlCell id="538" r="G15" connectionId="0">
    <xmlCellPr id="1" uniqueName="ns2:Team5Diff5">
      <xmlPr mapId="4" xpath="/ns2:ScoreSheet/ns2:Diff1/ns2:Team5Diff5" xmlDataType="decimal"/>
    </xmlCellPr>
  </singleXmlCell>
  <singleXmlCell id="539" r="H15" connectionId="0">
    <xmlCellPr id="1" uniqueName="ns2:Team5Diff6">
      <xmlPr mapId="4" xpath="/ns2:ScoreSheet/ns2:Diff1/ns2:Team5Diff6" xmlDataType="decimal"/>
    </xmlCellPr>
  </singleXmlCell>
  <singleXmlCell id="540" r="I15" connectionId="0">
    <xmlCellPr id="1" uniqueName="ns2:Team5Diff7">
      <xmlPr mapId="4" xpath="/ns2:ScoreSheet/ns2:Diff1/ns2:Team5Diff7" xmlDataType="decimal"/>
    </xmlCellPr>
  </singleXmlCell>
  <singleXmlCell id="541" r="J15" connectionId="0">
    <xmlCellPr id="1" uniqueName="ns2:Team5Diff8">
      <xmlPr mapId="4" xpath="/ns2:ScoreSheet/ns2:Diff1/ns2:Team5Diff8" xmlDataType="decimal"/>
    </xmlCellPr>
  </singleXmlCell>
  <singleXmlCell id="542" r="K15" connectionId="0">
    <xmlCellPr id="1" uniqueName="ns2:Team5Diff9">
      <xmlPr mapId="4" xpath="/ns2:ScoreSheet/ns2:Diff1/ns2:Team5Diff9" xmlDataType="decimal"/>
    </xmlCellPr>
  </singleXmlCell>
  <singleXmlCell id="543" r="L15" connectionId="0">
    <xmlCellPr id="1" uniqueName="ns2:Team5Diff10">
      <xmlPr mapId="4" xpath="/ns2:ScoreSheet/ns2:Diff1/ns2:Team5Diff10" xmlDataType="decimal"/>
    </xmlCellPr>
  </singleXmlCell>
  <singleXmlCell id="544" r="M15" connectionId="0">
    <xmlCellPr id="1" uniqueName="ns2:Team5Diff11">
      <xmlPr mapId="4" xpath="/ns2:ScoreSheet/ns2:Diff1/ns2:Team5Diff11" xmlDataType="decimal"/>
    </xmlCellPr>
  </singleXmlCell>
  <singleXmlCell id="545" r="N15" connectionId="0">
    <xmlCellPr id="1" uniqueName="ns2:Team5Diff12">
      <xmlPr mapId="4" xpath="/ns2:ScoreSheet/ns2:Diff1/ns2:Team5Diff12" xmlDataType="decimal"/>
    </xmlCellPr>
  </singleXmlCell>
  <singleXmlCell id="546" r="O15" connectionId="0">
    <xmlCellPr id="1" uniqueName="ns2:Team5Diff13">
      <xmlPr mapId="4" xpath="/ns2:ScoreSheet/ns2:Diff1/ns2:Team5Diff13" xmlDataType="decimal"/>
    </xmlCellPr>
  </singleXmlCell>
  <singleXmlCell id="547" r="P15" connectionId="0">
    <xmlCellPr id="1" uniqueName="ns2:Team5Diff14">
      <xmlPr mapId="4" xpath="/ns2:ScoreSheet/ns2:Diff1/ns2:Team5Diff14" xmlDataType="decimal"/>
    </xmlCellPr>
  </singleXmlCell>
  <singleXmlCell id="548" r="Q15" connectionId="0">
    <xmlCellPr id="1" uniqueName="ns2:Team5Diff15">
      <xmlPr mapId="4" xpath="/ns2:ScoreSheet/ns2:Diff1/ns2:Team5Diff15" xmlDataType="decimal"/>
    </xmlCellPr>
  </singleXmlCell>
  <singleXmlCell id="549" r="R15" connectionId="0">
    <xmlCellPr id="1" uniqueName="ns2:Team5Diff16">
      <xmlPr mapId="4" xpath="/ns2:ScoreSheet/ns2:Diff1/ns2:Team5Diff16" xmlDataType="decimal"/>
    </xmlCellPr>
  </singleXmlCell>
  <singleXmlCell id="550" r="S15" connectionId="0">
    <xmlCellPr id="1" uniqueName="ns2:Team5Diff17">
      <xmlPr mapId="4" xpath="/ns2:ScoreSheet/ns2:Diff1/ns2:Team5Diff17" xmlDataType="decimal"/>
    </xmlCellPr>
  </singleXmlCell>
  <singleXmlCell id="551" r="T15" connectionId="0">
    <xmlCellPr id="1" uniqueName="ns2:Team5Diff18">
      <xmlPr mapId="4" xpath="/ns2:ScoreSheet/ns2:Diff1/ns2:Team5Diff18" xmlDataType="decimal"/>
    </xmlCellPr>
  </singleXmlCell>
  <singleXmlCell id="552" r="U15" connectionId="0">
    <xmlCellPr id="1" uniqueName="ns2:Team5Diff19">
      <xmlPr mapId="4" xpath="/ns2:ScoreSheet/ns2:Diff1/ns2:Team5Diff19" xmlDataType="decimal"/>
    </xmlCellPr>
  </singleXmlCell>
  <singleXmlCell id="553" r="V15" connectionId="0">
    <xmlCellPr id="1" uniqueName="ns2:Team5Diff20">
      <xmlPr mapId="4" xpath="/ns2:ScoreSheet/ns2:Diff1/ns2:Team5Diff20" xmlDataType="decimal"/>
    </xmlCellPr>
  </singleXmlCell>
  <singleXmlCell id="554" r="C14" connectionId="0">
    <xmlCellPr id="1" uniqueName="ns2:Team5Consec1">
      <xmlPr mapId="4" xpath="/ns2:ScoreSheet/ns2:Diff1/ns2:Team5Consec1" xmlDataType="string"/>
    </xmlCellPr>
  </singleXmlCell>
  <singleXmlCell id="555" r="D14" connectionId="0">
    <xmlCellPr id="1" uniqueName="ns2:Team5Consec2">
      <xmlPr mapId="4" xpath="/ns2:ScoreSheet/ns2:Diff1/ns2:Team5Consec2" xmlDataType="string"/>
    </xmlCellPr>
  </singleXmlCell>
  <singleXmlCell id="556" r="E14" connectionId="0">
    <xmlCellPr id="1" uniqueName="ns2:Team5Consec3">
      <xmlPr mapId="4" xpath="/ns2:ScoreSheet/ns2:Diff1/ns2:Team5Consec3" xmlDataType="string"/>
    </xmlCellPr>
  </singleXmlCell>
  <singleXmlCell id="557" r="F14" connectionId="0">
    <xmlCellPr id="1" uniqueName="ns2:Team5Consec4">
      <xmlPr mapId="4" xpath="/ns2:ScoreSheet/ns2:Diff1/ns2:Team5Consec4" xmlDataType="string"/>
    </xmlCellPr>
  </singleXmlCell>
  <singleXmlCell id="558" r="G14" connectionId="0">
    <xmlCellPr id="1" uniqueName="ns2:Team5Consec5">
      <xmlPr mapId="4" xpath="/ns2:ScoreSheet/ns2:Diff1/ns2:Team5Consec5" xmlDataType="string"/>
    </xmlCellPr>
  </singleXmlCell>
  <singleXmlCell id="559" r="H14" connectionId="0">
    <xmlCellPr id="1" uniqueName="ns2:Team5Consec6">
      <xmlPr mapId="4" xpath="/ns2:ScoreSheet/ns2:Diff1/ns2:Team5Consec6" xmlDataType="string"/>
    </xmlCellPr>
  </singleXmlCell>
  <singleXmlCell id="560" r="I14" connectionId="0">
    <xmlCellPr id="1" uniqueName="ns2:Team5Consec7">
      <xmlPr mapId="4" xpath="/ns2:ScoreSheet/ns2:Diff1/ns2:Team5Consec7" xmlDataType="string"/>
    </xmlCellPr>
  </singleXmlCell>
  <singleXmlCell id="561" r="J14" connectionId="0">
    <xmlCellPr id="1" uniqueName="ns2:Team5Consec8">
      <xmlPr mapId="4" xpath="/ns2:ScoreSheet/ns2:Diff1/ns2:Team5Consec8" xmlDataType="string"/>
    </xmlCellPr>
  </singleXmlCell>
  <singleXmlCell id="562" r="K14" connectionId="0">
    <xmlCellPr id="1" uniqueName="ns2:Team5Consec9">
      <xmlPr mapId="4" xpath="/ns2:ScoreSheet/ns2:Diff1/ns2:Team5Consec9" xmlDataType="string"/>
    </xmlCellPr>
  </singleXmlCell>
  <singleXmlCell id="563" r="L14" connectionId="0">
    <xmlCellPr id="1" uniqueName="ns2:Team5Consec10">
      <xmlPr mapId="4" xpath="/ns2:ScoreSheet/ns2:Diff1/ns2:Team5Consec10" xmlDataType="string"/>
    </xmlCellPr>
  </singleXmlCell>
  <singleXmlCell id="564" r="M14" connectionId="0">
    <xmlCellPr id="1" uniqueName="ns2:Team5Consec11">
      <xmlPr mapId="4" xpath="/ns2:ScoreSheet/ns2:Diff1/ns2:Team5Consec11" xmlDataType="string"/>
    </xmlCellPr>
  </singleXmlCell>
  <singleXmlCell id="565" r="N14" connectionId="0">
    <xmlCellPr id="1" uniqueName="ns2:Team5Consec12">
      <xmlPr mapId="4" xpath="/ns2:ScoreSheet/ns2:Diff1/ns2:Team5Consec12" xmlDataType="string"/>
    </xmlCellPr>
  </singleXmlCell>
  <singleXmlCell id="566" r="O14" connectionId="0">
    <xmlCellPr id="1" uniqueName="ns2:Team5Consec13">
      <xmlPr mapId="4" xpath="/ns2:ScoreSheet/ns2:Diff1/ns2:Team5Consec13" xmlDataType="string"/>
    </xmlCellPr>
  </singleXmlCell>
  <singleXmlCell id="567" r="P14" connectionId="0">
    <xmlCellPr id="1" uniqueName="ns2:Team5Consec14">
      <xmlPr mapId="4" xpath="/ns2:ScoreSheet/ns2:Diff1/ns2:Team5Consec14" xmlDataType="string"/>
    </xmlCellPr>
  </singleXmlCell>
  <singleXmlCell id="568" r="Q14" connectionId="0">
    <xmlCellPr id="1" uniqueName="ns2:Team5Consec15">
      <xmlPr mapId="4" xpath="/ns2:ScoreSheet/ns2:Diff1/ns2:Team5Consec15" xmlDataType="string"/>
    </xmlCellPr>
  </singleXmlCell>
  <singleXmlCell id="569" r="R14" connectionId="0">
    <xmlCellPr id="1" uniqueName="ns2:Team5Consec16">
      <xmlPr mapId="4" xpath="/ns2:ScoreSheet/ns2:Diff1/ns2:Team5Consec16" xmlDataType="string"/>
    </xmlCellPr>
  </singleXmlCell>
  <singleXmlCell id="570" r="S14" connectionId="0">
    <xmlCellPr id="1" uniqueName="ns2:Team5Consec17">
      <xmlPr mapId="4" xpath="/ns2:ScoreSheet/ns2:Diff1/ns2:Team5Consec17" xmlDataType="string"/>
    </xmlCellPr>
  </singleXmlCell>
  <singleXmlCell id="571" r="T14" connectionId="0">
    <xmlCellPr id="1" uniqueName="ns2:Team5Consec18">
      <xmlPr mapId="4" xpath="/ns2:ScoreSheet/ns2:Diff1/ns2:Team5Consec18" xmlDataType="string"/>
    </xmlCellPr>
  </singleXmlCell>
  <singleXmlCell id="572" r="U14" connectionId="0">
    <xmlCellPr id="1" uniqueName="ns2:Team5Consec19">
      <xmlPr mapId="4" xpath="/ns2:ScoreSheet/ns2:Diff1/ns2:Team5Consec19" xmlDataType="string"/>
    </xmlCellPr>
  </singleXmlCell>
  <singleXmlCell id="573" r="V14" connectionId="0">
    <xmlCellPr id="1" uniqueName="ns2:Team5Consec20">
      <xmlPr mapId="4" xpath="/ns2:ScoreSheet/ns2:Diff1/ns2:Team5Consec20" xmlDataType="string"/>
    </xmlCellPr>
  </singleXmlCell>
  <singleXmlCell id="574" r="C17" connectionId="0">
    <xmlCellPr id="1" uniqueName="ns2:Team6Diff1">
      <xmlPr mapId="4" xpath="/ns2:ScoreSheet/ns2:Diff1/ns2:Team6Diff1" xmlDataType="decimal"/>
    </xmlCellPr>
  </singleXmlCell>
  <singleXmlCell id="575" r="D17" connectionId="0">
    <xmlCellPr id="1" uniqueName="ns2:Team6Diff2">
      <xmlPr mapId="4" xpath="/ns2:ScoreSheet/ns2:Diff1/ns2:Team6Diff2" xmlDataType="decimal"/>
    </xmlCellPr>
  </singleXmlCell>
  <singleXmlCell id="576" r="E17" connectionId="0">
    <xmlCellPr id="1" uniqueName="ns2:Team6Diff3">
      <xmlPr mapId="4" xpath="/ns2:ScoreSheet/ns2:Diff1/ns2:Team6Diff3" xmlDataType="decimal"/>
    </xmlCellPr>
  </singleXmlCell>
  <singleXmlCell id="577" r="F17" connectionId="0">
    <xmlCellPr id="1" uniqueName="ns2:Team6Diff4">
      <xmlPr mapId="4" xpath="/ns2:ScoreSheet/ns2:Diff1/ns2:Team6Diff4" xmlDataType="decimal"/>
    </xmlCellPr>
  </singleXmlCell>
  <singleXmlCell id="578" r="G17" connectionId="0">
    <xmlCellPr id="1" uniqueName="ns2:Team6Diff5">
      <xmlPr mapId="4" xpath="/ns2:ScoreSheet/ns2:Diff1/ns2:Team6Diff5" xmlDataType="decimal"/>
    </xmlCellPr>
  </singleXmlCell>
  <singleXmlCell id="579" r="H17" connectionId="0">
    <xmlCellPr id="1" uniqueName="ns2:Team6Diff6">
      <xmlPr mapId="4" xpath="/ns2:ScoreSheet/ns2:Diff1/ns2:Team6Diff6" xmlDataType="decimal"/>
    </xmlCellPr>
  </singleXmlCell>
  <singleXmlCell id="580" r="I17" connectionId="0">
    <xmlCellPr id="1" uniqueName="ns2:Team6Diff7">
      <xmlPr mapId="4" xpath="/ns2:ScoreSheet/ns2:Diff1/ns2:Team6Diff7" xmlDataType="decimal"/>
    </xmlCellPr>
  </singleXmlCell>
  <singleXmlCell id="581" r="J17" connectionId="0">
    <xmlCellPr id="1" uniqueName="ns2:Team6Diff8">
      <xmlPr mapId="4" xpath="/ns2:ScoreSheet/ns2:Diff1/ns2:Team6Diff8" xmlDataType="decimal"/>
    </xmlCellPr>
  </singleXmlCell>
  <singleXmlCell id="582" r="K17" connectionId="0">
    <xmlCellPr id="1" uniqueName="ns2:Team6Diff9">
      <xmlPr mapId="4" xpath="/ns2:ScoreSheet/ns2:Diff1/ns2:Team6Diff9" xmlDataType="decimal"/>
    </xmlCellPr>
  </singleXmlCell>
  <singleXmlCell id="583" r="L17" connectionId="0">
    <xmlCellPr id="1" uniqueName="ns2:Team6Diff10">
      <xmlPr mapId="4" xpath="/ns2:ScoreSheet/ns2:Diff1/ns2:Team6Diff10" xmlDataType="decimal"/>
    </xmlCellPr>
  </singleXmlCell>
  <singleXmlCell id="584" r="M17" connectionId="0">
    <xmlCellPr id="1" uniqueName="ns2:Team6Diff11">
      <xmlPr mapId="4" xpath="/ns2:ScoreSheet/ns2:Diff1/ns2:Team6Diff11" xmlDataType="decimal"/>
    </xmlCellPr>
  </singleXmlCell>
  <singleXmlCell id="585" r="N17" connectionId="0">
    <xmlCellPr id="1" uniqueName="ns2:Team6Diff12">
      <xmlPr mapId="4" xpath="/ns2:ScoreSheet/ns2:Diff1/ns2:Team6Diff12" xmlDataType="decimal"/>
    </xmlCellPr>
  </singleXmlCell>
  <singleXmlCell id="586" r="O17" connectionId="0">
    <xmlCellPr id="1" uniqueName="ns2:Team6Diff13">
      <xmlPr mapId="4" xpath="/ns2:ScoreSheet/ns2:Diff1/ns2:Team6Diff13" xmlDataType="decimal"/>
    </xmlCellPr>
  </singleXmlCell>
  <singleXmlCell id="587" r="P17" connectionId="0">
    <xmlCellPr id="1" uniqueName="ns2:Team6Diff14">
      <xmlPr mapId="4" xpath="/ns2:ScoreSheet/ns2:Diff1/ns2:Team6Diff14" xmlDataType="decimal"/>
    </xmlCellPr>
  </singleXmlCell>
  <singleXmlCell id="588" r="Q17" connectionId="0">
    <xmlCellPr id="1" uniqueName="ns2:Team6Diff15">
      <xmlPr mapId="4" xpath="/ns2:ScoreSheet/ns2:Diff1/ns2:Team6Diff15" xmlDataType="decimal"/>
    </xmlCellPr>
  </singleXmlCell>
  <singleXmlCell id="589" r="R17" connectionId="0">
    <xmlCellPr id="1" uniqueName="ns2:Team6Diff16">
      <xmlPr mapId="4" xpath="/ns2:ScoreSheet/ns2:Diff1/ns2:Team6Diff16" xmlDataType="decimal"/>
    </xmlCellPr>
  </singleXmlCell>
  <singleXmlCell id="590" r="S17" connectionId="0">
    <xmlCellPr id="1" uniqueName="ns2:Team6Diff17">
      <xmlPr mapId="4" xpath="/ns2:ScoreSheet/ns2:Diff1/ns2:Team6Diff17" xmlDataType="decimal"/>
    </xmlCellPr>
  </singleXmlCell>
  <singleXmlCell id="591" r="T17" connectionId="0">
    <xmlCellPr id="1" uniqueName="ns2:Team6Diff18">
      <xmlPr mapId="4" xpath="/ns2:ScoreSheet/ns2:Diff1/ns2:Team6Diff18" xmlDataType="decimal"/>
    </xmlCellPr>
  </singleXmlCell>
  <singleXmlCell id="592" r="U17" connectionId="0">
    <xmlCellPr id="1" uniqueName="ns2:Team6Diff19">
      <xmlPr mapId="4" xpath="/ns2:ScoreSheet/ns2:Diff1/ns2:Team6Diff19" xmlDataType="decimal"/>
    </xmlCellPr>
  </singleXmlCell>
  <singleXmlCell id="593" r="V17" connectionId="0">
    <xmlCellPr id="1" uniqueName="ns2:Team6Diff20">
      <xmlPr mapId="4" xpath="/ns2:ScoreSheet/ns2:Diff1/ns2:Team6Diff20" xmlDataType="decimal"/>
    </xmlCellPr>
  </singleXmlCell>
  <singleXmlCell id="594" r="C16" connectionId="0">
    <xmlCellPr id="1" uniqueName="ns2:Team6Consec1">
      <xmlPr mapId="4" xpath="/ns2:ScoreSheet/ns2:Diff1/ns2:Team6Consec1" xmlDataType="string"/>
    </xmlCellPr>
  </singleXmlCell>
  <singleXmlCell id="595" r="D16" connectionId="0">
    <xmlCellPr id="1" uniqueName="ns2:Team6Consec2">
      <xmlPr mapId="4" xpath="/ns2:ScoreSheet/ns2:Diff1/ns2:Team6Consec2" xmlDataType="string"/>
    </xmlCellPr>
  </singleXmlCell>
  <singleXmlCell id="596" r="E16" connectionId="0">
    <xmlCellPr id="1" uniqueName="ns2:Team6Consec3">
      <xmlPr mapId="4" xpath="/ns2:ScoreSheet/ns2:Diff1/ns2:Team6Consec3" xmlDataType="string"/>
    </xmlCellPr>
  </singleXmlCell>
  <singleXmlCell id="597" r="F16" connectionId="0">
    <xmlCellPr id="1" uniqueName="ns2:Team6Consec4">
      <xmlPr mapId="4" xpath="/ns2:ScoreSheet/ns2:Diff1/ns2:Team6Consec4" xmlDataType="string"/>
    </xmlCellPr>
  </singleXmlCell>
  <singleXmlCell id="598" r="G16" connectionId="0">
    <xmlCellPr id="1" uniqueName="ns2:Team6Consec5">
      <xmlPr mapId="4" xpath="/ns2:ScoreSheet/ns2:Diff1/ns2:Team6Consec5" xmlDataType="string"/>
    </xmlCellPr>
  </singleXmlCell>
  <singleXmlCell id="599" r="H16" connectionId="0">
    <xmlCellPr id="1" uniqueName="ns2:Team6Consec6">
      <xmlPr mapId="4" xpath="/ns2:ScoreSheet/ns2:Diff1/ns2:Team6Consec6" xmlDataType="string"/>
    </xmlCellPr>
  </singleXmlCell>
  <singleXmlCell id="600" r="I16" connectionId="0">
    <xmlCellPr id="1" uniqueName="ns2:Team6Consec7">
      <xmlPr mapId="4" xpath="/ns2:ScoreSheet/ns2:Diff1/ns2:Team6Consec7" xmlDataType="string"/>
    </xmlCellPr>
  </singleXmlCell>
  <singleXmlCell id="601" r="J16" connectionId="0">
    <xmlCellPr id="1" uniqueName="ns2:Team6Consec8">
      <xmlPr mapId="4" xpath="/ns2:ScoreSheet/ns2:Diff1/ns2:Team6Consec8" xmlDataType="string"/>
    </xmlCellPr>
  </singleXmlCell>
  <singleXmlCell id="602" r="K16" connectionId="0">
    <xmlCellPr id="1" uniqueName="ns2:Team6Consec9">
      <xmlPr mapId="4" xpath="/ns2:ScoreSheet/ns2:Diff1/ns2:Team6Consec9" xmlDataType="string"/>
    </xmlCellPr>
  </singleXmlCell>
  <singleXmlCell id="603" r="L16" connectionId="0">
    <xmlCellPr id="1" uniqueName="ns2:Team6Consec10">
      <xmlPr mapId="4" xpath="/ns2:ScoreSheet/ns2:Diff1/ns2:Team6Consec10" xmlDataType="string"/>
    </xmlCellPr>
  </singleXmlCell>
  <singleXmlCell id="604" r="M16" connectionId="0">
    <xmlCellPr id="1" uniqueName="ns2:Team6Consec11">
      <xmlPr mapId="4" xpath="/ns2:ScoreSheet/ns2:Diff1/ns2:Team6Consec11" xmlDataType="string"/>
    </xmlCellPr>
  </singleXmlCell>
  <singleXmlCell id="605" r="N16" connectionId="0">
    <xmlCellPr id="1" uniqueName="ns2:Team6Consec12">
      <xmlPr mapId="4" xpath="/ns2:ScoreSheet/ns2:Diff1/ns2:Team6Consec12" xmlDataType="string"/>
    </xmlCellPr>
  </singleXmlCell>
  <singleXmlCell id="606" r="O16" connectionId="0">
    <xmlCellPr id="1" uniqueName="ns2:Team6Consec13">
      <xmlPr mapId="4" xpath="/ns2:ScoreSheet/ns2:Diff1/ns2:Team6Consec13" xmlDataType="string"/>
    </xmlCellPr>
  </singleXmlCell>
  <singleXmlCell id="607" r="P16" connectionId="0">
    <xmlCellPr id="1" uniqueName="ns2:Team6Consec14">
      <xmlPr mapId="4" xpath="/ns2:ScoreSheet/ns2:Diff1/ns2:Team6Consec14" xmlDataType="string"/>
    </xmlCellPr>
  </singleXmlCell>
  <singleXmlCell id="608" r="Q16" connectionId="0">
    <xmlCellPr id="1" uniqueName="ns2:Team6Consec15">
      <xmlPr mapId="4" xpath="/ns2:ScoreSheet/ns2:Diff1/ns2:Team6Consec15" xmlDataType="string"/>
    </xmlCellPr>
  </singleXmlCell>
  <singleXmlCell id="609" r="R16" connectionId="0">
    <xmlCellPr id="1" uniqueName="ns2:Team6Consec16">
      <xmlPr mapId="4" xpath="/ns2:ScoreSheet/ns2:Diff1/ns2:Team6Consec16" xmlDataType="string"/>
    </xmlCellPr>
  </singleXmlCell>
  <singleXmlCell id="610" r="S16" connectionId="0">
    <xmlCellPr id="1" uniqueName="ns2:Team6Consec17">
      <xmlPr mapId="4" xpath="/ns2:ScoreSheet/ns2:Diff1/ns2:Team6Consec17" xmlDataType="string"/>
    </xmlCellPr>
  </singleXmlCell>
  <singleXmlCell id="611" r="T16" connectionId="0">
    <xmlCellPr id="1" uniqueName="ns2:Team6Consec18">
      <xmlPr mapId="4" xpath="/ns2:ScoreSheet/ns2:Diff1/ns2:Team6Consec18" xmlDataType="string"/>
    </xmlCellPr>
  </singleXmlCell>
  <singleXmlCell id="612" r="U16" connectionId="0">
    <xmlCellPr id="1" uniqueName="ns2:Team6Consec19">
      <xmlPr mapId="4" xpath="/ns2:ScoreSheet/ns2:Diff1/ns2:Team6Consec19" xmlDataType="string"/>
    </xmlCellPr>
  </singleXmlCell>
  <singleXmlCell id="613" r="V16" connectionId="0">
    <xmlCellPr id="1" uniqueName="ns2:Team6Consec20">
      <xmlPr mapId="4" xpath="/ns2:ScoreSheet/ns2:Diff1/ns2:Team6Consec20" xmlDataType="string"/>
    </xmlCellPr>
  </singleXmlCell>
  <singleXmlCell id="614" r="C19" connectionId="0">
    <xmlCellPr id="1" uniqueName="ns2:Team7Diff1">
      <xmlPr mapId="4" xpath="/ns2:ScoreSheet/ns2:Diff1/ns2:Team7Diff1" xmlDataType="decimal"/>
    </xmlCellPr>
  </singleXmlCell>
  <singleXmlCell id="615" r="D19" connectionId="0">
    <xmlCellPr id="1" uniqueName="ns2:Team7Diff2">
      <xmlPr mapId="4" xpath="/ns2:ScoreSheet/ns2:Diff1/ns2:Team7Diff2" xmlDataType="decimal"/>
    </xmlCellPr>
  </singleXmlCell>
  <singleXmlCell id="616" r="E19" connectionId="0">
    <xmlCellPr id="1" uniqueName="ns2:Team7Diff3">
      <xmlPr mapId="4" xpath="/ns2:ScoreSheet/ns2:Diff1/ns2:Team7Diff3" xmlDataType="decimal"/>
    </xmlCellPr>
  </singleXmlCell>
  <singleXmlCell id="617" r="F19" connectionId="0">
    <xmlCellPr id="1" uniqueName="ns2:Team7Diff4">
      <xmlPr mapId="4" xpath="/ns2:ScoreSheet/ns2:Diff1/ns2:Team7Diff4" xmlDataType="decimal"/>
    </xmlCellPr>
  </singleXmlCell>
  <singleXmlCell id="618" r="G19" connectionId="0">
    <xmlCellPr id="1" uniqueName="ns2:Team7Diff5">
      <xmlPr mapId="4" xpath="/ns2:ScoreSheet/ns2:Diff1/ns2:Team7Diff5" xmlDataType="decimal"/>
    </xmlCellPr>
  </singleXmlCell>
  <singleXmlCell id="619" r="H19" connectionId="0">
    <xmlCellPr id="1" uniqueName="ns2:Team7Diff6">
      <xmlPr mapId="4" xpath="/ns2:ScoreSheet/ns2:Diff1/ns2:Team7Diff6" xmlDataType="decimal"/>
    </xmlCellPr>
  </singleXmlCell>
  <singleXmlCell id="620" r="I19" connectionId="0">
    <xmlCellPr id="1" uniqueName="ns2:Team7Diff7">
      <xmlPr mapId="4" xpath="/ns2:ScoreSheet/ns2:Diff1/ns2:Team7Diff7" xmlDataType="decimal"/>
    </xmlCellPr>
  </singleXmlCell>
  <singleXmlCell id="621" r="J19" connectionId="0">
    <xmlCellPr id="1" uniqueName="ns2:Team7Diff8">
      <xmlPr mapId="4" xpath="/ns2:ScoreSheet/ns2:Diff1/ns2:Team7Diff8" xmlDataType="decimal"/>
    </xmlCellPr>
  </singleXmlCell>
  <singleXmlCell id="622" r="K19" connectionId="0">
    <xmlCellPr id="1" uniqueName="ns2:Team7Diff9">
      <xmlPr mapId="4" xpath="/ns2:ScoreSheet/ns2:Diff1/ns2:Team7Diff9" xmlDataType="decimal"/>
    </xmlCellPr>
  </singleXmlCell>
  <singleXmlCell id="623" r="L19" connectionId="0">
    <xmlCellPr id="1" uniqueName="ns2:Team7Diff10">
      <xmlPr mapId="4" xpath="/ns2:ScoreSheet/ns2:Diff1/ns2:Team7Diff10" xmlDataType="decimal"/>
    </xmlCellPr>
  </singleXmlCell>
  <singleXmlCell id="624" r="M19" connectionId="0">
    <xmlCellPr id="1" uniqueName="ns2:Team7Diff11">
      <xmlPr mapId="4" xpath="/ns2:ScoreSheet/ns2:Diff1/ns2:Team7Diff11" xmlDataType="decimal"/>
    </xmlCellPr>
  </singleXmlCell>
  <singleXmlCell id="625" r="N19" connectionId="0">
    <xmlCellPr id="1" uniqueName="ns2:Team7Diff12">
      <xmlPr mapId="4" xpath="/ns2:ScoreSheet/ns2:Diff1/ns2:Team7Diff12" xmlDataType="decimal"/>
    </xmlCellPr>
  </singleXmlCell>
  <singleXmlCell id="626" r="O19" connectionId="0">
    <xmlCellPr id="1" uniqueName="ns2:Team7Diff13">
      <xmlPr mapId="4" xpath="/ns2:ScoreSheet/ns2:Diff1/ns2:Team7Diff13" xmlDataType="decimal"/>
    </xmlCellPr>
  </singleXmlCell>
  <singleXmlCell id="627" r="P19" connectionId="0">
    <xmlCellPr id="1" uniqueName="ns2:Team7Diff14">
      <xmlPr mapId="4" xpath="/ns2:ScoreSheet/ns2:Diff1/ns2:Team7Diff14" xmlDataType="decimal"/>
    </xmlCellPr>
  </singleXmlCell>
  <singleXmlCell id="628" r="Q19" connectionId="0">
    <xmlCellPr id="1" uniqueName="ns2:Team7Diff15">
      <xmlPr mapId="4" xpath="/ns2:ScoreSheet/ns2:Diff1/ns2:Team7Diff15" xmlDataType="decimal"/>
    </xmlCellPr>
  </singleXmlCell>
  <singleXmlCell id="629" r="R19" connectionId="0">
    <xmlCellPr id="1" uniqueName="ns2:Team7Diff16">
      <xmlPr mapId="4" xpath="/ns2:ScoreSheet/ns2:Diff1/ns2:Team7Diff16" xmlDataType="decimal"/>
    </xmlCellPr>
  </singleXmlCell>
  <singleXmlCell id="630" r="S19" connectionId="0">
    <xmlCellPr id="1" uniqueName="ns2:Team7Diff17">
      <xmlPr mapId="4" xpath="/ns2:ScoreSheet/ns2:Diff1/ns2:Team7Diff17" xmlDataType="decimal"/>
    </xmlCellPr>
  </singleXmlCell>
  <singleXmlCell id="631" r="T19" connectionId="0">
    <xmlCellPr id="1" uniqueName="ns2:Team7Diff18">
      <xmlPr mapId="4" xpath="/ns2:ScoreSheet/ns2:Diff1/ns2:Team7Diff18" xmlDataType="decimal"/>
    </xmlCellPr>
  </singleXmlCell>
  <singleXmlCell id="632" r="U19" connectionId="0">
    <xmlCellPr id="1" uniqueName="ns2:Team7Diff19">
      <xmlPr mapId="4" xpath="/ns2:ScoreSheet/ns2:Diff1/ns2:Team7Diff19" xmlDataType="decimal"/>
    </xmlCellPr>
  </singleXmlCell>
  <singleXmlCell id="633" r="V19" connectionId="0">
    <xmlCellPr id="1" uniqueName="ns2:Team7Diff20">
      <xmlPr mapId="4" xpath="/ns2:ScoreSheet/ns2:Diff1/ns2:Team7Diff20" xmlDataType="decimal"/>
    </xmlCellPr>
  </singleXmlCell>
  <singleXmlCell id="634" r="C18" connectionId="0">
    <xmlCellPr id="1" uniqueName="ns2:Team7Consec1">
      <xmlPr mapId="4" xpath="/ns2:ScoreSheet/ns2:Diff1/ns2:Team7Consec1" xmlDataType="string"/>
    </xmlCellPr>
  </singleXmlCell>
  <singleXmlCell id="635" r="D18" connectionId="0">
    <xmlCellPr id="1" uniqueName="ns2:Team7Consec2">
      <xmlPr mapId="4" xpath="/ns2:ScoreSheet/ns2:Diff1/ns2:Team7Consec2" xmlDataType="string"/>
    </xmlCellPr>
  </singleXmlCell>
  <singleXmlCell id="636" r="E18" connectionId="0">
    <xmlCellPr id="1" uniqueName="ns2:Team7Consec3">
      <xmlPr mapId="4" xpath="/ns2:ScoreSheet/ns2:Diff1/ns2:Team7Consec3" xmlDataType="string"/>
    </xmlCellPr>
  </singleXmlCell>
  <singleXmlCell id="637" r="F18" connectionId="0">
    <xmlCellPr id="1" uniqueName="ns2:Team7Consec4">
      <xmlPr mapId="4" xpath="/ns2:ScoreSheet/ns2:Diff1/ns2:Team7Consec4" xmlDataType="string"/>
    </xmlCellPr>
  </singleXmlCell>
  <singleXmlCell id="638" r="G18" connectionId="0">
    <xmlCellPr id="1" uniqueName="ns2:Team7Consec5">
      <xmlPr mapId="4" xpath="/ns2:ScoreSheet/ns2:Diff1/ns2:Team7Consec5" xmlDataType="string"/>
    </xmlCellPr>
  </singleXmlCell>
  <singleXmlCell id="639" r="H18" connectionId="0">
    <xmlCellPr id="1" uniqueName="ns2:Team7Consec6">
      <xmlPr mapId="4" xpath="/ns2:ScoreSheet/ns2:Diff1/ns2:Team7Consec6" xmlDataType="string"/>
    </xmlCellPr>
  </singleXmlCell>
  <singleXmlCell id="640" r="I18" connectionId="0">
    <xmlCellPr id="1" uniqueName="ns2:Team7Consec7">
      <xmlPr mapId="4" xpath="/ns2:ScoreSheet/ns2:Diff1/ns2:Team7Consec7" xmlDataType="string"/>
    </xmlCellPr>
  </singleXmlCell>
  <singleXmlCell id="641" r="J18" connectionId="0">
    <xmlCellPr id="1" uniqueName="ns2:Team7Consec8">
      <xmlPr mapId="4" xpath="/ns2:ScoreSheet/ns2:Diff1/ns2:Team7Consec8" xmlDataType="string"/>
    </xmlCellPr>
  </singleXmlCell>
  <singleXmlCell id="642" r="K18" connectionId="0">
    <xmlCellPr id="1" uniqueName="ns2:Team7Consec9">
      <xmlPr mapId="4" xpath="/ns2:ScoreSheet/ns2:Diff1/ns2:Team7Consec9" xmlDataType="string"/>
    </xmlCellPr>
  </singleXmlCell>
  <singleXmlCell id="643" r="L18" connectionId="0">
    <xmlCellPr id="1" uniqueName="ns2:Team7Consec10">
      <xmlPr mapId="4" xpath="/ns2:ScoreSheet/ns2:Diff1/ns2:Team7Consec10" xmlDataType="string"/>
    </xmlCellPr>
  </singleXmlCell>
  <singleXmlCell id="644" r="M18" connectionId="0">
    <xmlCellPr id="1" uniqueName="ns2:Team7Consec11">
      <xmlPr mapId="4" xpath="/ns2:ScoreSheet/ns2:Diff1/ns2:Team7Consec11" xmlDataType="string"/>
    </xmlCellPr>
  </singleXmlCell>
  <singleXmlCell id="645" r="N18" connectionId="0">
    <xmlCellPr id="1" uniqueName="ns2:Team7Consec12">
      <xmlPr mapId="4" xpath="/ns2:ScoreSheet/ns2:Diff1/ns2:Team7Consec12" xmlDataType="string"/>
    </xmlCellPr>
  </singleXmlCell>
  <singleXmlCell id="646" r="O18" connectionId="0">
    <xmlCellPr id="1" uniqueName="ns2:Team7Consec13">
      <xmlPr mapId="4" xpath="/ns2:ScoreSheet/ns2:Diff1/ns2:Team7Consec13" xmlDataType="string"/>
    </xmlCellPr>
  </singleXmlCell>
  <singleXmlCell id="647" r="P18" connectionId="0">
    <xmlCellPr id="1" uniqueName="ns2:Team7Consec14">
      <xmlPr mapId="4" xpath="/ns2:ScoreSheet/ns2:Diff1/ns2:Team7Consec14" xmlDataType="string"/>
    </xmlCellPr>
  </singleXmlCell>
  <singleXmlCell id="648" r="Q18" connectionId="0">
    <xmlCellPr id="1" uniqueName="ns2:Team7Consec15">
      <xmlPr mapId="4" xpath="/ns2:ScoreSheet/ns2:Diff1/ns2:Team7Consec15" xmlDataType="string"/>
    </xmlCellPr>
  </singleXmlCell>
  <singleXmlCell id="649" r="R18" connectionId="0">
    <xmlCellPr id="1" uniqueName="ns2:Team7Consec16">
      <xmlPr mapId="4" xpath="/ns2:ScoreSheet/ns2:Diff1/ns2:Team7Consec16" xmlDataType="string"/>
    </xmlCellPr>
  </singleXmlCell>
  <singleXmlCell id="650" r="S18" connectionId="0">
    <xmlCellPr id="1" uniqueName="ns2:Team7Consec17">
      <xmlPr mapId="4" xpath="/ns2:ScoreSheet/ns2:Diff1/ns2:Team7Consec17" xmlDataType="string"/>
    </xmlCellPr>
  </singleXmlCell>
  <singleXmlCell id="651" r="T18" connectionId="0">
    <xmlCellPr id="1" uniqueName="ns2:Team7Consec18">
      <xmlPr mapId="4" xpath="/ns2:ScoreSheet/ns2:Diff1/ns2:Team7Consec18" xmlDataType="string"/>
    </xmlCellPr>
  </singleXmlCell>
  <singleXmlCell id="652" r="U18" connectionId="0">
    <xmlCellPr id="1" uniqueName="ns2:Team7Consec19">
      <xmlPr mapId="4" xpath="/ns2:ScoreSheet/ns2:Diff1/ns2:Team7Consec19" xmlDataType="string"/>
    </xmlCellPr>
  </singleXmlCell>
  <singleXmlCell id="653" r="V18" connectionId="0">
    <xmlCellPr id="1" uniqueName="ns2:Team7Consec20">
      <xmlPr mapId="4" xpath="/ns2:ScoreSheet/ns2:Diff1/ns2:Team7Consec20" xmlDataType="string"/>
    </xmlCellPr>
  </singleXmlCell>
  <singleXmlCell id="654" r="C21" connectionId="0">
    <xmlCellPr id="1" uniqueName="ns2:Team8Diff1">
      <xmlPr mapId="4" xpath="/ns2:ScoreSheet/ns2:Diff1/ns2:Team8Diff1" xmlDataType="decimal"/>
    </xmlCellPr>
  </singleXmlCell>
  <singleXmlCell id="655" r="D21" connectionId="0">
    <xmlCellPr id="1" uniqueName="ns2:Team8Diff2">
      <xmlPr mapId="4" xpath="/ns2:ScoreSheet/ns2:Diff1/ns2:Team8Diff2" xmlDataType="decimal"/>
    </xmlCellPr>
  </singleXmlCell>
  <singleXmlCell id="656" r="E21" connectionId="0">
    <xmlCellPr id="1" uniqueName="ns2:Team8Diff3">
      <xmlPr mapId="4" xpath="/ns2:ScoreSheet/ns2:Diff1/ns2:Team8Diff3" xmlDataType="decimal"/>
    </xmlCellPr>
  </singleXmlCell>
  <singleXmlCell id="657" r="F21" connectionId="0">
    <xmlCellPr id="1" uniqueName="ns2:Team8Diff4">
      <xmlPr mapId="4" xpath="/ns2:ScoreSheet/ns2:Diff1/ns2:Team8Diff4" xmlDataType="decimal"/>
    </xmlCellPr>
  </singleXmlCell>
  <singleXmlCell id="658" r="G21" connectionId="0">
    <xmlCellPr id="1" uniqueName="ns2:Team8Diff5">
      <xmlPr mapId="4" xpath="/ns2:ScoreSheet/ns2:Diff1/ns2:Team8Diff5" xmlDataType="decimal"/>
    </xmlCellPr>
  </singleXmlCell>
  <singleXmlCell id="659" r="H21" connectionId="0">
    <xmlCellPr id="1" uniqueName="ns2:Team8Diff6">
      <xmlPr mapId="4" xpath="/ns2:ScoreSheet/ns2:Diff1/ns2:Team8Diff6" xmlDataType="decimal"/>
    </xmlCellPr>
  </singleXmlCell>
  <singleXmlCell id="660" r="I21" connectionId="0">
    <xmlCellPr id="1" uniqueName="ns2:Team8Diff7">
      <xmlPr mapId="4" xpath="/ns2:ScoreSheet/ns2:Diff1/ns2:Team8Diff7" xmlDataType="decimal"/>
    </xmlCellPr>
  </singleXmlCell>
  <singleXmlCell id="661" r="J21" connectionId="0">
    <xmlCellPr id="1" uniqueName="ns2:Team8Diff8">
      <xmlPr mapId="4" xpath="/ns2:ScoreSheet/ns2:Diff1/ns2:Team8Diff8" xmlDataType="decimal"/>
    </xmlCellPr>
  </singleXmlCell>
  <singleXmlCell id="662" r="K21" connectionId="0">
    <xmlCellPr id="1" uniqueName="ns2:Team8Diff9">
      <xmlPr mapId="4" xpath="/ns2:ScoreSheet/ns2:Diff1/ns2:Team8Diff9" xmlDataType="decimal"/>
    </xmlCellPr>
  </singleXmlCell>
  <singleXmlCell id="663" r="L21" connectionId="0">
    <xmlCellPr id="1" uniqueName="ns2:Team8Diff10">
      <xmlPr mapId="4" xpath="/ns2:ScoreSheet/ns2:Diff1/ns2:Team8Diff10" xmlDataType="decimal"/>
    </xmlCellPr>
  </singleXmlCell>
  <singleXmlCell id="664" r="M21" connectionId="0">
    <xmlCellPr id="1" uniqueName="ns2:Team8Diff11">
      <xmlPr mapId="4" xpath="/ns2:ScoreSheet/ns2:Diff1/ns2:Team8Diff11" xmlDataType="decimal"/>
    </xmlCellPr>
  </singleXmlCell>
  <singleXmlCell id="665" r="N21" connectionId="0">
    <xmlCellPr id="1" uniqueName="ns2:Team8Diff12">
      <xmlPr mapId="4" xpath="/ns2:ScoreSheet/ns2:Diff1/ns2:Team8Diff12" xmlDataType="decimal"/>
    </xmlCellPr>
  </singleXmlCell>
  <singleXmlCell id="666" r="O21" connectionId="0">
    <xmlCellPr id="1" uniqueName="ns2:Team8Diff13">
      <xmlPr mapId="4" xpath="/ns2:ScoreSheet/ns2:Diff1/ns2:Team8Diff13" xmlDataType="decimal"/>
    </xmlCellPr>
  </singleXmlCell>
  <singleXmlCell id="667" r="P21" connectionId="0">
    <xmlCellPr id="1" uniqueName="ns2:Team8Diff14">
      <xmlPr mapId="4" xpath="/ns2:ScoreSheet/ns2:Diff1/ns2:Team8Diff14" xmlDataType="decimal"/>
    </xmlCellPr>
  </singleXmlCell>
  <singleXmlCell id="668" r="Q21" connectionId="0">
    <xmlCellPr id="1" uniqueName="ns2:Team8Diff15">
      <xmlPr mapId="4" xpath="/ns2:ScoreSheet/ns2:Diff1/ns2:Team8Diff15" xmlDataType="decimal"/>
    </xmlCellPr>
  </singleXmlCell>
  <singleXmlCell id="669" r="R21" connectionId="0">
    <xmlCellPr id="1" uniqueName="ns2:Team8Diff16">
      <xmlPr mapId="4" xpath="/ns2:ScoreSheet/ns2:Diff1/ns2:Team8Diff16" xmlDataType="decimal"/>
    </xmlCellPr>
  </singleXmlCell>
  <singleXmlCell id="670" r="S21" connectionId="0">
    <xmlCellPr id="1" uniqueName="ns2:Team8Diff17">
      <xmlPr mapId="4" xpath="/ns2:ScoreSheet/ns2:Diff1/ns2:Team8Diff17" xmlDataType="decimal"/>
    </xmlCellPr>
  </singleXmlCell>
  <singleXmlCell id="671" r="T21" connectionId="0">
    <xmlCellPr id="1" uniqueName="ns2:Team8Diff18">
      <xmlPr mapId="4" xpath="/ns2:ScoreSheet/ns2:Diff1/ns2:Team8Diff18" xmlDataType="decimal"/>
    </xmlCellPr>
  </singleXmlCell>
  <singleXmlCell id="672" r="U21" connectionId="0">
    <xmlCellPr id="1" uniqueName="ns2:Team8Diff19">
      <xmlPr mapId="4" xpath="/ns2:ScoreSheet/ns2:Diff1/ns2:Team8Diff19" xmlDataType="decimal"/>
    </xmlCellPr>
  </singleXmlCell>
  <singleXmlCell id="673" r="V21" connectionId="0">
    <xmlCellPr id="1" uniqueName="ns2:Team8Diff20">
      <xmlPr mapId="4" xpath="/ns2:ScoreSheet/ns2:Diff1/ns2:Team8Diff20" xmlDataType="decimal"/>
    </xmlCellPr>
  </singleXmlCell>
  <singleXmlCell id="674" r="C20" connectionId="0">
    <xmlCellPr id="1" uniqueName="ns2:Team8Consec1">
      <xmlPr mapId="4" xpath="/ns2:ScoreSheet/ns2:Diff1/ns2:Team8Consec1" xmlDataType="string"/>
    </xmlCellPr>
  </singleXmlCell>
  <singleXmlCell id="675" r="D20" connectionId="0">
    <xmlCellPr id="1" uniqueName="ns2:Team8Consec2">
      <xmlPr mapId="4" xpath="/ns2:ScoreSheet/ns2:Diff1/ns2:Team8Consec2" xmlDataType="string"/>
    </xmlCellPr>
  </singleXmlCell>
  <singleXmlCell id="676" r="E20" connectionId="0">
    <xmlCellPr id="1" uniqueName="ns2:Team8Consec3">
      <xmlPr mapId="4" xpath="/ns2:ScoreSheet/ns2:Diff1/ns2:Team8Consec3" xmlDataType="string"/>
    </xmlCellPr>
  </singleXmlCell>
  <singleXmlCell id="677" r="F20" connectionId="0">
    <xmlCellPr id="1" uniqueName="ns2:Team8Consec4">
      <xmlPr mapId="4" xpath="/ns2:ScoreSheet/ns2:Diff1/ns2:Team8Consec4" xmlDataType="string"/>
    </xmlCellPr>
  </singleXmlCell>
  <singleXmlCell id="678" r="G20" connectionId="0">
    <xmlCellPr id="1" uniqueName="ns2:Team8Consec5">
      <xmlPr mapId="4" xpath="/ns2:ScoreSheet/ns2:Diff1/ns2:Team8Consec5" xmlDataType="string"/>
    </xmlCellPr>
  </singleXmlCell>
  <singleXmlCell id="679" r="H20" connectionId="0">
    <xmlCellPr id="1" uniqueName="ns2:Team8Consec6">
      <xmlPr mapId="4" xpath="/ns2:ScoreSheet/ns2:Diff1/ns2:Team8Consec6" xmlDataType="string"/>
    </xmlCellPr>
  </singleXmlCell>
  <singleXmlCell id="680" r="I20" connectionId="0">
    <xmlCellPr id="1" uniqueName="ns2:Team8Consec7">
      <xmlPr mapId="4" xpath="/ns2:ScoreSheet/ns2:Diff1/ns2:Team8Consec7" xmlDataType="string"/>
    </xmlCellPr>
  </singleXmlCell>
  <singleXmlCell id="681" r="J20" connectionId="0">
    <xmlCellPr id="1" uniqueName="ns2:Team8Consec8">
      <xmlPr mapId="4" xpath="/ns2:ScoreSheet/ns2:Diff1/ns2:Team8Consec8" xmlDataType="string"/>
    </xmlCellPr>
  </singleXmlCell>
  <singleXmlCell id="682" r="K20" connectionId="0">
    <xmlCellPr id="1" uniqueName="ns2:Team8Consec9">
      <xmlPr mapId="4" xpath="/ns2:ScoreSheet/ns2:Diff1/ns2:Team8Consec9" xmlDataType="string"/>
    </xmlCellPr>
  </singleXmlCell>
  <singleXmlCell id="683" r="L20" connectionId="0">
    <xmlCellPr id="1" uniqueName="ns2:Team8Consec10">
      <xmlPr mapId="4" xpath="/ns2:ScoreSheet/ns2:Diff1/ns2:Team8Consec10" xmlDataType="string"/>
    </xmlCellPr>
  </singleXmlCell>
  <singleXmlCell id="684" r="M20" connectionId="0">
    <xmlCellPr id="1" uniqueName="ns2:Team8Consec11">
      <xmlPr mapId="4" xpath="/ns2:ScoreSheet/ns2:Diff1/ns2:Team8Consec11" xmlDataType="string"/>
    </xmlCellPr>
  </singleXmlCell>
  <singleXmlCell id="685" r="N20" connectionId="0">
    <xmlCellPr id="1" uniqueName="ns2:Team8Consec12">
      <xmlPr mapId="4" xpath="/ns2:ScoreSheet/ns2:Diff1/ns2:Team8Consec12" xmlDataType="string"/>
    </xmlCellPr>
  </singleXmlCell>
  <singleXmlCell id="686" r="O20" connectionId="0">
    <xmlCellPr id="1" uniqueName="ns2:Team8Consec13">
      <xmlPr mapId="4" xpath="/ns2:ScoreSheet/ns2:Diff1/ns2:Team8Consec13" xmlDataType="string"/>
    </xmlCellPr>
  </singleXmlCell>
  <singleXmlCell id="687" r="P20" connectionId="0">
    <xmlCellPr id="1" uniqueName="ns2:Team8Consec14">
      <xmlPr mapId="4" xpath="/ns2:ScoreSheet/ns2:Diff1/ns2:Team8Consec14" xmlDataType="string"/>
    </xmlCellPr>
  </singleXmlCell>
  <singleXmlCell id="688" r="Q20" connectionId="0">
    <xmlCellPr id="1" uniqueName="ns2:Team8Consec15">
      <xmlPr mapId="4" xpath="/ns2:ScoreSheet/ns2:Diff1/ns2:Team8Consec15" xmlDataType="string"/>
    </xmlCellPr>
  </singleXmlCell>
  <singleXmlCell id="689" r="R20" connectionId="0">
    <xmlCellPr id="1" uniqueName="ns2:Team8Consec16">
      <xmlPr mapId="4" xpath="/ns2:ScoreSheet/ns2:Diff1/ns2:Team8Consec16" xmlDataType="string"/>
    </xmlCellPr>
  </singleXmlCell>
  <singleXmlCell id="690" r="S20" connectionId="0">
    <xmlCellPr id="1" uniqueName="ns2:Team8Consec17">
      <xmlPr mapId="4" xpath="/ns2:ScoreSheet/ns2:Diff1/ns2:Team8Consec17" xmlDataType="string"/>
    </xmlCellPr>
  </singleXmlCell>
  <singleXmlCell id="691" r="T20" connectionId="0">
    <xmlCellPr id="1" uniqueName="ns2:Team8Consec18">
      <xmlPr mapId="4" xpath="/ns2:ScoreSheet/ns2:Diff1/ns2:Team8Consec18" xmlDataType="string"/>
    </xmlCellPr>
  </singleXmlCell>
  <singleXmlCell id="692" r="U20" connectionId="0">
    <xmlCellPr id="1" uniqueName="ns2:Team8Consec19">
      <xmlPr mapId="4" xpath="/ns2:ScoreSheet/ns2:Diff1/ns2:Team8Consec19" xmlDataType="string"/>
    </xmlCellPr>
  </singleXmlCell>
  <singleXmlCell id="693" r="V20" connectionId="0">
    <xmlCellPr id="1" uniqueName="ns2:Team8Consec20">
      <xmlPr mapId="4" xpath="/ns2:ScoreSheet/ns2:Diff1/ns2:Team8Consec20" xmlDataType="string"/>
    </xmlCellPr>
  </singleXmlCell>
  <singleXmlCell id="694" r="C23" connectionId="0">
    <xmlCellPr id="1" uniqueName="ns2:Team9Diff1">
      <xmlPr mapId="4" xpath="/ns2:ScoreSheet/ns2:Diff1/ns2:Team9Diff1" xmlDataType="decimal"/>
    </xmlCellPr>
  </singleXmlCell>
  <singleXmlCell id="695" r="D23" connectionId="0">
    <xmlCellPr id="1" uniqueName="ns2:Team9Diff2">
      <xmlPr mapId="4" xpath="/ns2:ScoreSheet/ns2:Diff1/ns2:Team9Diff2" xmlDataType="decimal"/>
    </xmlCellPr>
  </singleXmlCell>
  <singleXmlCell id="696" r="E23" connectionId="0">
    <xmlCellPr id="1" uniqueName="ns2:Team9Diff3">
      <xmlPr mapId="4" xpath="/ns2:ScoreSheet/ns2:Diff1/ns2:Team9Diff3" xmlDataType="decimal"/>
    </xmlCellPr>
  </singleXmlCell>
  <singleXmlCell id="697" r="F23" connectionId="0">
    <xmlCellPr id="1" uniqueName="ns2:Team9Diff4">
      <xmlPr mapId="4" xpath="/ns2:ScoreSheet/ns2:Diff1/ns2:Team9Diff4" xmlDataType="decimal"/>
    </xmlCellPr>
  </singleXmlCell>
  <singleXmlCell id="698" r="G23" connectionId="0">
    <xmlCellPr id="1" uniqueName="ns2:Team9Diff5">
      <xmlPr mapId="4" xpath="/ns2:ScoreSheet/ns2:Diff1/ns2:Team9Diff5" xmlDataType="decimal"/>
    </xmlCellPr>
  </singleXmlCell>
  <singleXmlCell id="699" r="H23" connectionId="0">
    <xmlCellPr id="1" uniqueName="ns2:Team9Diff6">
      <xmlPr mapId="4" xpath="/ns2:ScoreSheet/ns2:Diff1/ns2:Team9Diff6" xmlDataType="decimal"/>
    </xmlCellPr>
  </singleXmlCell>
  <singleXmlCell id="700" r="I23" connectionId="0">
    <xmlCellPr id="1" uniqueName="ns2:Team9Diff7">
      <xmlPr mapId="4" xpath="/ns2:ScoreSheet/ns2:Diff1/ns2:Team9Diff7" xmlDataType="decimal"/>
    </xmlCellPr>
  </singleXmlCell>
  <singleXmlCell id="701" r="J23" connectionId="0">
    <xmlCellPr id="1" uniqueName="ns2:Team9Diff8">
      <xmlPr mapId="4" xpath="/ns2:ScoreSheet/ns2:Diff1/ns2:Team9Diff8" xmlDataType="decimal"/>
    </xmlCellPr>
  </singleXmlCell>
  <singleXmlCell id="702" r="K23" connectionId="0">
    <xmlCellPr id="1" uniqueName="ns2:Team9Diff9">
      <xmlPr mapId="4" xpath="/ns2:ScoreSheet/ns2:Diff1/ns2:Team9Diff9" xmlDataType="decimal"/>
    </xmlCellPr>
  </singleXmlCell>
  <singleXmlCell id="703" r="L23" connectionId="0">
    <xmlCellPr id="1" uniqueName="ns2:Team9Diff10">
      <xmlPr mapId="4" xpath="/ns2:ScoreSheet/ns2:Diff1/ns2:Team9Diff10" xmlDataType="decimal"/>
    </xmlCellPr>
  </singleXmlCell>
  <singleXmlCell id="704" r="M23" connectionId="0">
    <xmlCellPr id="1" uniqueName="ns2:Team9Diff11">
      <xmlPr mapId="4" xpath="/ns2:ScoreSheet/ns2:Diff1/ns2:Team9Diff11" xmlDataType="decimal"/>
    </xmlCellPr>
  </singleXmlCell>
  <singleXmlCell id="705" r="N23" connectionId="0">
    <xmlCellPr id="1" uniqueName="ns2:Team9Diff12">
      <xmlPr mapId="4" xpath="/ns2:ScoreSheet/ns2:Diff1/ns2:Team9Diff12" xmlDataType="decimal"/>
    </xmlCellPr>
  </singleXmlCell>
  <singleXmlCell id="706" r="O23" connectionId="0">
    <xmlCellPr id="1" uniqueName="ns2:Team9Diff13">
      <xmlPr mapId="4" xpath="/ns2:ScoreSheet/ns2:Diff1/ns2:Team9Diff13" xmlDataType="decimal"/>
    </xmlCellPr>
  </singleXmlCell>
  <singleXmlCell id="707" r="P23" connectionId="0">
    <xmlCellPr id="1" uniqueName="ns2:Team9Diff14">
      <xmlPr mapId="4" xpath="/ns2:ScoreSheet/ns2:Diff1/ns2:Team9Diff14" xmlDataType="decimal"/>
    </xmlCellPr>
  </singleXmlCell>
  <singleXmlCell id="708" r="Q23" connectionId="0">
    <xmlCellPr id="1" uniqueName="ns2:Team9Diff15">
      <xmlPr mapId="4" xpath="/ns2:ScoreSheet/ns2:Diff1/ns2:Team9Diff15" xmlDataType="decimal"/>
    </xmlCellPr>
  </singleXmlCell>
  <singleXmlCell id="709" r="R23" connectionId="0">
    <xmlCellPr id="1" uniqueName="ns2:Team9Diff16">
      <xmlPr mapId="4" xpath="/ns2:ScoreSheet/ns2:Diff1/ns2:Team9Diff16" xmlDataType="decimal"/>
    </xmlCellPr>
  </singleXmlCell>
  <singleXmlCell id="710" r="S23" connectionId="0">
    <xmlCellPr id="1" uniqueName="ns2:Team9Diff17">
      <xmlPr mapId="4" xpath="/ns2:ScoreSheet/ns2:Diff1/ns2:Team9Diff17" xmlDataType="decimal"/>
    </xmlCellPr>
  </singleXmlCell>
  <singleXmlCell id="711" r="T23" connectionId="0">
    <xmlCellPr id="1" uniqueName="ns2:Team9Diff18">
      <xmlPr mapId="4" xpath="/ns2:ScoreSheet/ns2:Diff1/ns2:Team9Diff18" xmlDataType="decimal"/>
    </xmlCellPr>
  </singleXmlCell>
  <singleXmlCell id="712" r="U23" connectionId="0">
    <xmlCellPr id="1" uniqueName="ns2:Team9Diff19">
      <xmlPr mapId="4" xpath="/ns2:ScoreSheet/ns2:Diff1/ns2:Team9Diff19" xmlDataType="decimal"/>
    </xmlCellPr>
  </singleXmlCell>
  <singleXmlCell id="713" r="V23" connectionId="0">
    <xmlCellPr id="1" uniqueName="ns2:Team9Diff20">
      <xmlPr mapId="4" xpath="/ns2:ScoreSheet/ns2:Diff1/ns2:Team9Diff20" xmlDataType="decimal"/>
    </xmlCellPr>
  </singleXmlCell>
  <singleXmlCell id="714" r="C22" connectionId="0">
    <xmlCellPr id="1" uniqueName="ns2:Team9Consec1">
      <xmlPr mapId="4" xpath="/ns2:ScoreSheet/ns2:Diff1/ns2:Team9Consec1" xmlDataType="string"/>
    </xmlCellPr>
  </singleXmlCell>
  <singleXmlCell id="715" r="D22" connectionId="0">
    <xmlCellPr id="1" uniqueName="ns2:Team9Consec2">
      <xmlPr mapId="4" xpath="/ns2:ScoreSheet/ns2:Diff1/ns2:Team9Consec2" xmlDataType="string"/>
    </xmlCellPr>
  </singleXmlCell>
  <singleXmlCell id="716" r="E22" connectionId="0">
    <xmlCellPr id="1" uniqueName="ns2:Team9Consec3">
      <xmlPr mapId="4" xpath="/ns2:ScoreSheet/ns2:Diff1/ns2:Team9Consec3" xmlDataType="string"/>
    </xmlCellPr>
  </singleXmlCell>
  <singleXmlCell id="717" r="F22" connectionId="0">
    <xmlCellPr id="1" uniqueName="ns2:Team9Consec4">
      <xmlPr mapId="4" xpath="/ns2:ScoreSheet/ns2:Diff1/ns2:Team9Consec4" xmlDataType="string"/>
    </xmlCellPr>
  </singleXmlCell>
  <singleXmlCell id="718" r="G22" connectionId="0">
    <xmlCellPr id="1" uniqueName="ns2:Team9Consec5">
      <xmlPr mapId="4" xpath="/ns2:ScoreSheet/ns2:Diff1/ns2:Team9Consec5" xmlDataType="string"/>
    </xmlCellPr>
  </singleXmlCell>
  <singleXmlCell id="719" r="H22" connectionId="0">
    <xmlCellPr id="1" uniqueName="ns2:Team9Consec6">
      <xmlPr mapId="4" xpath="/ns2:ScoreSheet/ns2:Diff1/ns2:Team9Consec6" xmlDataType="string"/>
    </xmlCellPr>
  </singleXmlCell>
  <singleXmlCell id="720" r="I22" connectionId="0">
    <xmlCellPr id="1" uniqueName="ns2:Team9Consec7">
      <xmlPr mapId="4" xpath="/ns2:ScoreSheet/ns2:Diff1/ns2:Team9Consec7" xmlDataType="string"/>
    </xmlCellPr>
  </singleXmlCell>
  <singleXmlCell id="721" r="J22" connectionId="0">
    <xmlCellPr id="1" uniqueName="ns2:Team9Consec8">
      <xmlPr mapId="4" xpath="/ns2:ScoreSheet/ns2:Diff1/ns2:Team9Consec8" xmlDataType="string"/>
    </xmlCellPr>
  </singleXmlCell>
  <singleXmlCell id="722" r="K22" connectionId="0">
    <xmlCellPr id="1" uniqueName="ns2:Team9Consec9">
      <xmlPr mapId="4" xpath="/ns2:ScoreSheet/ns2:Diff1/ns2:Team9Consec9" xmlDataType="string"/>
    </xmlCellPr>
  </singleXmlCell>
  <singleXmlCell id="723" r="L22" connectionId="0">
    <xmlCellPr id="1" uniqueName="ns2:Team9Consec10">
      <xmlPr mapId="4" xpath="/ns2:ScoreSheet/ns2:Diff1/ns2:Team9Consec10" xmlDataType="string"/>
    </xmlCellPr>
  </singleXmlCell>
  <singleXmlCell id="724" r="M22" connectionId="0">
    <xmlCellPr id="1" uniqueName="ns2:Team9Consec11">
      <xmlPr mapId="4" xpath="/ns2:ScoreSheet/ns2:Diff1/ns2:Team9Consec11" xmlDataType="string"/>
    </xmlCellPr>
  </singleXmlCell>
  <singleXmlCell id="725" r="N22" connectionId="0">
    <xmlCellPr id="1" uniqueName="ns2:Team9Consec12">
      <xmlPr mapId="4" xpath="/ns2:ScoreSheet/ns2:Diff1/ns2:Team9Consec12" xmlDataType="string"/>
    </xmlCellPr>
  </singleXmlCell>
  <singleXmlCell id="726" r="O22" connectionId="0">
    <xmlCellPr id="1" uniqueName="ns2:Team9Consec13">
      <xmlPr mapId="4" xpath="/ns2:ScoreSheet/ns2:Diff1/ns2:Team9Consec13" xmlDataType="string"/>
    </xmlCellPr>
  </singleXmlCell>
  <singleXmlCell id="727" r="P22" connectionId="0">
    <xmlCellPr id="1" uniqueName="ns2:Team9Consec14">
      <xmlPr mapId="4" xpath="/ns2:ScoreSheet/ns2:Diff1/ns2:Team9Consec14" xmlDataType="string"/>
    </xmlCellPr>
  </singleXmlCell>
  <singleXmlCell id="728" r="Q22" connectionId="0">
    <xmlCellPr id="1" uniqueName="ns2:Team9Consec15">
      <xmlPr mapId="4" xpath="/ns2:ScoreSheet/ns2:Diff1/ns2:Team9Consec15" xmlDataType="string"/>
    </xmlCellPr>
  </singleXmlCell>
  <singleXmlCell id="729" r="R22" connectionId="0">
    <xmlCellPr id="1" uniqueName="ns2:Team9Consec16">
      <xmlPr mapId="4" xpath="/ns2:ScoreSheet/ns2:Diff1/ns2:Team9Consec16" xmlDataType="string"/>
    </xmlCellPr>
  </singleXmlCell>
  <singleXmlCell id="730" r="S22" connectionId="0">
    <xmlCellPr id="1" uniqueName="ns2:Team9Consec17">
      <xmlPr mapId="4" xpath="/ns2:ScoreSheet/ns2:Diff1/ns2:Team9Consec17" xmlDataType="string"/>
    </xmlCellPr>
  </singleXmlCell>
  <singleXmlCell id="731" r="T22" connectionId="0">
    <xmlCellPr id="1" uniqueName="ns2:Team9Consec18">
      <xmlPr mapId="4" xpath="/ns2:ScoreSheet/ns2:Diff1/ns2:Team9Consec18" xmlDataType="string"/>
    </xmlCellPr>
  </singleXmlCell>
  <singleXmlCell id="732" r="U22" connectionId="0">
    <xmlCellPr id="1" uniqueName="ns2:Team9Consec19">
      <xmlPr mapId="4" xpath="/ns2:ScoreSheet/ns2:Diff1/ns2:Team9Consec19" xmlDataType="string"/>
    </xmlCellPr>
  </singleXmlCell>
  <singleXmlCell id="733" r="V22" connectionId="0">
    <xmlCellPr id="1" uniqueName="ns2:Team9Consec20">
      <xmlPr mapId="4" xpath="/ns2:ScoreSheet/ns2:Diff1/ns2:Team9Consec20" xmlDataType="string"/>
    </xmlCellPr>
  </singleXmlCell>
  <singleXmlCell id="734" r="C25" connectionId="0">
    <xmlCellPr id="1" uniqueName="ns2:Team10Diff1">
      <xmlPr mapId="4" xpath="/ns2:ScoreSheet/ns2:Diff1/ns2:Team10Diff1" xmlDataType="decimal"/>
    </xmlCellPr>
  </singleXmlCell>
  <singleXmlCell id="735" r="D25" connectionId="0">
    <xmlCellPr id="1" uniqueName="ns2:Team10Diff2">
      <xmlPr mapId="4" xpath="/ns2:ScoreSheet/ns2:Diff1/ns2:Team10Diff2" xmlDataType="decimal"/>
    </xmlCellPr>
  </singleXmlCell>
  <singleXmlCell id="736" r="E25" connectionId="0">
    <xmlCellPr id="1" uniqueName="ns2:Team10Diff3">
      <xmlPr mapId="4" xpath="/ns2:ScoreSheet/ns2:Diff1/ns2:Team10Diff3" xmlDataType="decimal"/>
    </xmlCellPr>
  </singleXmlCell>
  <singleXmlCell id="737" r="F25" connectionId="0">
    <xmlCellPr id="1" uniqueName="ns2:Team10Diff4">
      <xmlPr mapId="4" xpath="/ns2:ScoreSheet/ns2:Diff1/ns2:Team10Diff4" xmlDataType="decimal"/>
    </xmlCellPr>
  </singleXmlCell>
  <singleXmlCell id="738" r="G25" connectionId="0">
    <xmlCellPr id="1" uniqueName="ns2:Team10Diff5">
      <xmlPr mapId="4" xpath="/ns2:ScoreSheet/ns2:Diff1/ns2:Team10Diff5" xmlDataType="decimal"/>
    </xmlCellPr>
  </singleXmlCell>
  <singleXmlCell id="739" r="H25" connectionId="0">
    <xmlCellPr id="1" uniqueName="ns2:Team10Diff6">
      <xmlPr mapId="4" xpath="/ns2:ScoreSheet/ns2:Diff1/ns2:Team10Diff6" xmlDataType="decimal"/>
    </xmlCellPr>
  </singleXmlCell>
  <singleXmlCell id="740" r="I25" connectionId="0">
    <xmlCellPr id="1" uniqueName="ns2:Team10Diff7">
      <xmlPr mapId="4" xpath="/ns2:ScoreSheet/ns2:Diff1/ns2:Team10Diff7" xmlDataType="decimal"/>
    </xmlCellPr>
  </singleXmlCell>
  <singleXmlCell id="741" r="J25" connectionId="0">
    <xmlCellPr id="1" uniqueName="ns2:Team10Diff8">
      <xmlPr mapId="4" xpath="/ns2:ScoreSheet/ns2:Diff1/ns2:Team10Diff8" xmlDataType="decimal"/>
    </xmlCellPr>
  </singleXmlCell>
  <singleXmlCell id="742" r="K25" connectionId="0">
    <xmlCellPr id="1" uniqueName="ns2:Team10Diff9">
      <xmlPr mapId="4" xpath="/ns2:ScoreSheet/ns2:Diff1/ns2:Team10Diff9" xmlDataType="decimal"/>
    </xmlCellPr>
  </singleXmlCell>
  <singleXmlCell id="743" r="L25" connectionId="0">
    <xmlCellPr id="1" uniqueName="ns2:Team10Diff10">
      <xmlPr mapId="4" xpath="/ns2:ScoreSheet/ns2:Diff1/ns2:Team10Diff10" xmlDataType="decimal"/>
    </xmlCellPr>
  </singleXmlCell>
  <singleXmlCell id="744" r="M25" connectionId="0">
    <xmlCellPr id="1" uniqueName="ns2:Team10Diff11">
      <xmlPr mapId="4" xpath="/ns2:ScoreSheet/ns2:Diff1/ns2:Team10Diff11" xmlDataType="decimal"/>
    </xmlCellPr>
  </singleXmlCell>
  <singleXmlCell id="745" r="N25" connectionId="0">
    <xmlCellPr id="1" uniqueName="ns2:Team10Diff12">
      <xmlPr mapId="4" xpath="/ns2:ScoreSheet/ns2:Diff1/ns2:Team10Diff12" xmlDataType="decimal"/>
    </xmlCellPr>
  </singleXmlCell>
  <singleXmlCell id="746" r="O25" connectionId="0">
    <xmlCellPr id="1" uniqueName="ns2:Team10Diff13">
      <xmlPr mapId="4" xpath="/ns2:ScoreSheet/ns2:Diff1/ns2:Team10Diff13" xmlDataType="decimal"/>
    </xmlCellPr>
  </singleXmlCell>
  <singleXmlCell id="747" r="P25" connectionId="0">
    <xmlCellPr id="1" uniqueName="ns2:Team10Diff14">
      <xmlPr mapId="4" xpath="/ns2:ScoreSheet/ns2:Diff1/ns2:Team10Diff14" xmlDataType="decimal"/>
    </xmlCellPr>
  </singleXmlCell>
  <singleXmlCell id="748" r="Q25" connectionId="0">
    <xmlCellPr id="1" uniqueName="ns2:Team10Diff15">
      <xmlPr mapId="4" xpath="/ns2:ScoreSheet/ns2:Diff1/ns2:Team10Diff15" xmlDataType="decimal"/>
    </xmlCellPr>
  </singleXmlCell>
  <singleXmlCell id="749" r="R25" connectionId="0">
    <xmlCellPr id="1" uniqueName="ns2:Team10Diff16">
      <xmlPr mapId="4" xpath="/ns2:ScoreSheet/ns2:Diff1/ns2:Team10Diff16" xmlDataType="decimal"/>
    </xmlCellPr>
  </singleXmlCell>
  <singleXmlCell id="750" r="S25" connectionId="0">
    <xmlCellPr id="1" uniqueName="ns2:Team10Diff17">
      <xmlPr mapId="4" xpath="/ns2:ScoreSheet/ns2:Diff1/ns2:Team10Diff17" xmlDataType="decimal"/>
    </xmlCellPr>
  </singleXmlCell>
  <singleXmlCell id="751" r="T25" connectionId="0">
    <xmlCellPr id="1" uniqueName="ns2:Team10Diff18">
      <xmlPr mapId="4" xpath="/ns2:ScoreSheet/ns2:Diff1/ns2:Team10Diff18" xmlDataType="decimal"/>
    </xmlCellPr>
  </singleXmlCell>
  <singleXmlCell id="752" r="U25" connectionId="0">
    <xmlCellPr id="1" uniqueName="ns2:Team10Diff19">
      <xmlPr mapId="4" xpath="/ns2:ScoreSheet/ns2:Diff1/ns2:Team10Diff19" xmlDataType="decimal"/>
    </xmlCellPr>
  </singleXmlCell>
  <singleXmlCell id="753" r="V25" connectionId="0">
    <xmlCellPr id="1" uniqueName="ns2:Team10Diff20">
      <xmlPr mapId="4" xpath="/ns2:ScoreSheet/ns2:Diff1/ns2:Team10Diff20" xmlDataType="decimal"/>
    </xmlCellPr>
  </singleXmlCell>
  <singleXmlCell id="754" r="C24" connectionId="0">
    <xmlCellPr id="1" uniqueName="ns2:Team10Consec1">
      <xmlPr mapId="4" xpath="/ns2:ScoreSheet/ns2:Diff1/ns2:Team10Consec1" xmlDataType="string"/>
    </xmlCellPr>
  </singleXmlCell>
  <singleXmlCell id="755" r="D24" connectionId="0">
    <xmlCellPr id="1" uniqueName="ns2:Team10Consec2">
      <xmlPr mapId="4" xpath="/ns2:ScoreSheet/ns2:Diff1/ns2:Team10Consec2" xmlDataType="string"/>
    </xmlCellPr>
  </singleXmlCell>
  <singleXmlCell id="756" r="E24" connectionId="0">
    <xmlCellPr id="1" uniqueName="ns2:Team10Consec3">
      <xmlPr mapId="4" xpath="/ns2:ScoreSheet/ns2:Diff1/ns2:Team10Consec3" xmlDataType="string"/>
    </xmlCellPr>
  </singleXmlCell>
  <singleXmlCell id="757" r="F24" connectionId="0">
    <xmlCellPr id="1" uniqueName="ns2:Team10Consec4">
      <xmlPr mapId="4" xpath="/ns2:ScoreSheet/ns2:Diff1/ns2:Team10Consec4" xmlDataType="string"/>
    </xmlCellPr>
  </singleXmlCell>
  <singleXmlCell id="758" r="G24" connectionId="0">
    <xmlCellPr id="1" uniqueName="ns2:Team10Consec5">
      <xmlPr mapId="4" xpath="/ns2:ScoreSheet/ns2:Diff1/ns2:Team10Consec5" xmlDataType="string"/>
    </xmlCellPr>
  </singleXmlCell>
  <singleXmlCell id="759" r="H24" connectionId="0">
    <xmlCellPr id="1" uniqueName="ns2:Team10Consec6">
      <xmlPr mapId="4" xpath="/ns2:ScoreSheet/ns2:Diff1/ns2:Team10Consec6" xmlDataType="string"/>
    </xmlCellPr>
  </singleXmlCell>
  <singleXmlCell id="760" r="I24" connectionId="0">
    <xmlCellPr id="1" uniqueName="ns2:Team10Consec7">
      <xmlPr mapId="4" xpath="/ns2:ScoreSheet/ns2:Diff1/ns2:Team10Consec7" xmlDataType="string"/>
    </xmlCellPr>
  </singleXmlCell>
  <singleXmlCell id="761" r="J24" connectionId="0">
    <xmlCellPr id="1" uniqueName="ns2:Team10Consec8">
      <xmlPr mapId="4" xpath="/ns2:ScoreSheet/ns2:Diff1/ns2:Team10Consec8" xmlDataType="string"/>
    </xmlCellPr>
  </singleXmlCell>
  <singleXmlCell id="762" r="K24" connectionId="0">
    <xmlCellPr id="1" uniqueName="ns2:Team10Consec9">
      <xmlPr mapId="4" xpath="/ns2:ScoreSheet/ns2:Diff1/ns2:Team10Consec9" xmlDataType="string"/>
    </xmlCellPr>
  </singleXmlCell>
  <singleXmlCell id="763" r="L24" connectionId="0">
    <xmlCellPr id="1" uniqueName="ns2:Team10Consec10">
      <xmlPr mapId="4" xpath="/ns2:ScoreSheet/ns2:Diff1/ns2:Team10Consec10" xmlDataType="string"/>
    </xmlCellPr>
  </singleXmlCell>
  <singleXmlCell id="764" r="M24" connectionId="0">
    <xmlCellPr id="1" uniqueName="ns2:Team10Consec11">
      <xmlPr mapId="4" xpath="/ns2:ScoreSheet/ns2:Diff1/ns2:Team10Consec11" xmlDataType="string"/>
    </xmlCellPr>
  </singleXmlCell>
  <singleXmlCell id="765" r="N24" connectionId="0">
    <xmlCellPr id="1" uniqueName="ns2:Team10Consec12">
      <xmlPr mapId="4" xpath="/ns2:ScoreSheet/ns2:Diff1/ns2:Team10Consec12" xmlDataType="string"/>
    </xmlCellPr>
  </singleXmlCell>
  <singleXmlCell id="766" r="O24" connectionId="0">
    <xmlCellPr id="1" uniqueName="ns2:Team10Consec13">
      <xmlPr mapId="4" xpath="/ns2:ScoreSheet/ns2:Diff1/ns2:Team10Consec13" xmlDataType="string"/>
    </xmlCellPr>
  </singleXmlCell>
  <singleXmlCell id="767" r="P24" connectionId="0">
    <xmlCellPr id="1" uniqueName="ns2:Team10Consec14">
      <xmlPr mapId="4" xpath="/ns2:ScoreSheet/ns2:Diff1/ns2:Team10Consec14" xmlDataType="string"/>
    </xmlCellPr>
  </singleXmlCell>
  <singleXmlCell id="768" r="Q24" connectionId="0">
    <xmlCellPr id="1" uniqueName="ns2:Team10Consec15">
      <xmlPr mapId="4" xpath="/ns2:ScoreSheet/ns2:Diff1/ns2:Team10Consec15" xmlDataType="string"/>
    </xmlCellPr>
  </singleXmlCell>
  <singleXmlCell id="769" r="R24" connectionId="0">
    <xmlCellPr id="1" uniqueName="ns2:Team10Consec16">
      <xmlPr mapId="4" xpath="/ns2:ScoreSheet/ns2:Diff1/ns2:Team10Consec16" xmlDataType="string"/>
    </xmlCellPr>
  </singleXmlCell>
  <singleXmlCell id="770" r="S24" connectionId="0">
    <xmlCellPr id="1" uniqueName="ns2:Team10Consec17">
      <xmlPr mapId="4" xpath="/ns2:ScoreSheet/ns2:Diff1/ns2:Team10Consec17" xmlDataType="string"/>
    </xmlCellPr>
  </singleXmlCell>
  <singleXmlCell id="771" r="T24" connectionId="0">
    <xmlCellPr id="1" uniqueName="ns2:Team10Consec18">
      <xmlPr mapId="4" xpath="/ns2:ScoreSheet/ns2:Diff1/ns2:Team10Consec18" xmlDataType="string"/>
    </xmlCellPr>
  </singleXmlCell>
  <singleXmlCell id="772" r="U24" connectionId="0">
    <xmlCellPr id="1" uniqueName="ns2:Team10Consec19">
      <xmlPr mapId="4" xpath="/ns2:ScoreSheet/ns2:Diff1/ns2:Team10Consec19" xmlDataType="string"/>
    </xmlCellPr>
  </singleXmlCell>
  <singleXmlCell id="773" r="V24" connectionId="0">
    <xmlCellPr id="1" uniqueName="ns2:Team10Consec20">
      <xmlPr mapId="4" xpath="/ns2:ScoreSheet/ns2:Diff1/ns2:Team10Consec20" xmlDataType="string"/>
    </xmlCellPr>
  </singleXmlCell>
</singleXmlCells>
</file>

<file path=xl/tables/tableSingleCells9.xml><?xml version="1.0" encoding="utf-8"?>
<singleXmlCells xmlns="http://schemas.openxmlformats.org/spreadsheetml/2006/main">
  <singleXmlCell id="285" r="C7" connectionId="0">
    <xmlCellPr id="1" uniqueName="ns2:Team1Diff1">
      <xmlPr mapId="4" xpath="/ns2:ScoreSheet/ns2:Diff2/ns2:Team1Diff1" xmlDataType="decimal"/>
    </xmlCellPr>
  </singleXmlCell>
  <singleXmlCell id="286" r="D7" connectionId="0">
    <xmlCellPr id="1" uniqueName="ns2:Team1Diff2">
      <xmlPr mapId="4" xpath="/ns2:ScoreSheet/ns2:Diff2/ns2:Team1Diff2" xmlDataType="decimal"/>
    </xmlCellPr>
  </singleXmlCell>
  <singleXmlCell id="287" r="E7" connectionId="0">
    <xmlCellPr id="1" uniqueName="ns2:Team1Diff3">
      <xmlPr mapId="4" xpath="/ns2:ScoreSheet/ns2:Diff2/ns2:Team1Diff3" xmlDataType="decimal"/>
    </xmlCellPr>
  </singleXmlCell>
  <singleXmlCell id="474" r="F7" connectionId="0">
    <xmlCellPr id="1" uniqueName="ns2:Team1Diff4">
      <xmlPr mapId="4" xpath="/ns2:ScoreSheet/ns2:Diff2/ns2:Team1Diff4" xmlDataType="decimal"/>
    </xmlCellPr>
  </singleXmlCell>
  <singleXmlCell id="475" r="G7" connectionId="0">
    <xmlCellPr id="1" uniqueName="ns2:Team1Diff5">
      <xmlPr mapId="4" xpath="/ns2:ScoreSheet/ns2:Diff2/ns2:Team1Diff5" xmlDataType="decimal"/>
    </xmlCellPr>
  </singleXmlCell>
  <singleXmlCell id="476" r="H7" connectionId="0">
    <xmlCellPr id="1" uniqueName="ns2:Team1Diff6">
      <xmlPr mapId="4" xpath="/ns2:ScoreSheet/ns2:Diff2/ns2:Team1Diff6" xmlDataType="decimal"/>
    </xmlCellPr>
  </singleXmlCell>
  <singleXmlCell id="477" r="I7" connectionId="0">
    <xmlCellPr id="1" uniqueName="ns2:Team1Diff7">
      <xmlPr mapId="4" xpath="/ns2:ScoreSheet/ns2:Diff2/ns2:Team1Diff7" xmlDataType="decimal"/>
    </xmlCellPr>
  </singleXmlCell>
  <singleXmlCell id="478" r="J7" connectionId="0">
    <xmlCellPr id="1" uniqueName="ns2:Team1Diff8">
      <xmlPr mapId="4" xpath="/ns2:ScoreSheet/ns2:Diff2/ns2:Team1Diff8" xmlDataType="decimal"/>
    </xmlCellPr>
  </singleXmlCell>
  <singleXmlCell id="479" r="K7" connectionId="0">
    <xmlCellPr id="1" uniqueName="ns2:Team1Diff9">
      <xmlPr mapId="4" xpath="/ns2:ScoreSheet/ns2:Diff2/ns2:Team1Diff9" xmlDataType="decimal"/>
    </xmlCellPr>
  </singleXmlCell>
  <singleXmlCell id="480" r="L7" connectionId="0">
    <xmlCellPr id="1" uniqueName="ns2:Team1Diff10">
      <xmlPr mapId="4" xpath="/ns2:ScoreSheet/ns2:Diff2/ns2:Team1Diff10" xmlDataType="decimal"/>
    </xmlCellPr>
  </singleXmlCell>
  <singleXmlCell id="481" r="M7" connectionId="0">
    <xmlCellPr id="1" uniqueName="ns2:Team1Diff11">
      <xmlPr mapId="4" xpath="/ns2:ScoreSheet/ns2:Diff2/ns2:Team1Diff11" xmlDataType="decimal"/>
    </xmlCellPr>
  </singleXmlCell>
  <singleXmlCell id="482" r="N7" connectionId="0">
    <xmlCellPr id="1" uniqueName="ns2:Team1Diff12">
      <xmlPr mapId="4" xpath="/ns2:ScoreSheet/ns2:Diff2/ns2:Team1Diff12" xmlDataType="decimal"/>
    </xmlCellPr>
  </singleXmlCell>
  <singleXmlCell id="483" r="O7" connectionId="0">
    <xmlCellPr id="1" uniqueName="ns2:Team1Diff13">
      <xmlPr mapId="4" xpath="/ns2:ScoreSheet/ns2:Diff2/ns2:Team1Diff13" xmlDataType="decimal"/>
    </xmlCellPr>
  </singleXmlCell>
  <singleXmlCell id="484" r="P7" connectionId="0">
    <xmlCellPr id="1" uniqueName="ns2:Team1Diff14">
      <xmlPr mapId="4" xpath="/ns2:ScoreSheet/ns2:Diff2/ns2:Team1Diff14" xmlDataType="decimal"/>
    </xmlCellPr>
  </singleXmlCell>
  <singleXmlCell id="485" r="Q7" connectionId="0">
    <xmlCellPr id="1" uniqueName="ns2:Team1Diff15">
      <xmlPr mapId="4" xpath="/ns2:ScoreSheet/ns2:Diff2/ns2:Team1Diff15" xmlDataType="decimal"/>
    </xmlCellPr>
  </singleXmlCell>
  <singleXmlCell id="486" r="R7" connectionId="0">
    <xmlCellPr id="1" uniqueName="ns2:Team1Diff16">
      <xmlPr mapId="4" xpath="/ns2:ScoreSheet/ns2:Diff2/ns2:Team1Diff16" xmlDataType="decimal"/>
    </xmlCellPr>
  </singleXmlCell>
  <singleXmlCell id="487" r="S7" connectionId="0">
    <xmlCellPr id="1" uniqueName="ns2:Team1Diff17">
      <xmlPr mapId="4" xpath="/ns2:ScoreSheet/ns2:Diff2/ns2:Team1Diff17" xmlDataType="decimal"/>
    </xmlCellPr>
  </singleXmlCell>
  <singleXmlCell id="488" r="T7" connectionId="0">
    <xmlCellPr id="1" uniqueName="ns2:Team1Diff18">
      <xmlPr mapId="4" xpath="/ns2:ScoreSheet/ns2:Diff2/ns2:Team1Diff18" xmlDataType="decimal"/>
    </xmlCellPr>
  </singleXmlCell>
  <singleXmlCell id="489" r="U7" connectionId="0">
    <xmlCellPr id="1" uniqueName="ns2:Team1Diff19">
      <xmlPr mapId="4" xpath="/ns2:ScoreSheet/ns2:Diff2/ns2:Team1Diff19" xmlDataType="decimal"/>
    </xmlCellPr>
  </singleXmlCell>
  <singleXmlCell id="490" r="V7" connectionId="0">
    <xmlCellPr id="1" uniqueName="ns2:Team1Diff20">
      <xmlPr mapId="4" xpath="/ns2:ScoreSheet/ns2:Diff2/ns2:Team1Diff20" xmlDataType="decimal"/>
    </xmlCellPr>
  </singleXmlCell>
  <singleXmlCell id="491" r="C6" connectionId="0">
    <xmlCellPr id="1" uniqueName="ns2:Team1Consec1">
      <xmlPr mapId="4" xpath="/ns2:ScoreSheet/ns2:Diff2/ns2:Team1Consec1" xmlDataType="string"/>
    </xmlCellPr>
  </singleXmlCell>
  <singleXmlCell id="492" r="D6" connectionId="0">
    <xmlCellPr id="1" uniqueName="ns2:Team1Consec2">
      <xmlPr mapId="4" xpath="/ns2:ScoreSheet/ns2:Diff2/ns2:Team1Consec2" xmlDataType="string"/>
    </xmlCellPr>
  </singleXmlCell>
  <singleXmlCell id="493" r="E6" connectionId="0">
    <xmlCellPr id="1" uniqueName="ns2:Team1Consec3">
      <xmlPr mapId="4" xpath="/ns2:ScoreSheet/ns2:Diff2/ns2:Team1Consec3" xmlDataType="string"/>
    </xmlCellPr>
  </singleXmlCell>
  <singleXmlCell id="774" r="F6" connectionId="0">
    <xmlCellPr id="1" uniqueName="ns2:Team1Consec4">
      <xmlPr mapId="4" xpath="/ns2:ScoreSheet/ns2:Diff2/ns2:Team1Consec4" xmlDataType="string"/>
    </xmlCellPr>
  </singleXmlCell>
  <singleXmlCell id="775" r="G6" connectionId="0">
    <xmlCellPr id="1" uniqueName="ns2:Team1Consec5">
      <xmlPr mapId="4" xpath="/ns2:ScoreSheet/ns2:Diff2/ns2:Team1Consec5" xmlDataType="string"/>
    </xmlCellPr>
  </singleXmlCell>
  <singleXmlCell id="776" r="H6" connectionId="0">
    <xmlCellPr id="1" uniqueName="ns2:Team1Consec6">
      <xmlPr mapId="4" xpath="/ns2:ScoreSheet/ns2:Diff2/ns2:Team1Consec6" xmlDataType="string"/>
    </xmlCellPr>
  </singleXmlCell>
  <singleXmlCell id="777" r="I6" connectionId="0">
    <xmlCellPr id="1" uniqueName="ns2:Team1Consec7">
      <xmlPr mapId="4" xpath="/ns2:ScoreSheet/ns2:Diff2/ns2:Team1Consec7" xmlDataType="string"/>
    </xmlCellPr>
  </singleXmlCell>
  <singleXmlCell id="778" r="J6" connectionId="0">
    <xmlCellPr id="1" uniqueName="ns2:Team1Consec8">
      <xmlPr mapId="4" xpath="/ns2:ScoreSheet/ns2:Diff2/ns2:Team1Consec8" xmlDataType="string"/>
    </xmlCellPr>
  </singleXmlCell>
  <singleXmlCell id="779" r="K6" connectionId="0">
    <xmlCellPr id="1" uniqueName="ns2:Team1Consec9">
      <xmlPr mapId="4" xpath="/ns2:ScoreSheet/ns2:Diff2/ns2:Team1Consec9" xmlDataType="string"/>
    </xmlCellPr>
  </singleXmlCell>
  <singleXmlCell id="780" r="L6" connectionId="0">
    <xmlCellPr id="1" uniqueName="ns2:Team1Consec10">
      <xmlPr mapId="4" xpath="/ns2:ScoreSheet/ns2:Diff2/ns2:Team1Consec10" xmlDataType="string"/>
    </xmlCellPr>
  </singleXmlCell>
  <singleXmlCell id="781" r="M6" connectionId="0">
    <xmlCellPr id="1" uniqueName="ns2:Team1Consec11">
      <xmlPr mapId="4" xpath="/ns2:ScoreSheet/ns2:Diff2/ns2:Team1Consec11" xmlDataType="string"/>
    </xmlCellPr>
  </singleXmlCell>
  <singleXmlCell id="782" r="N6" connectionId="0">
    <xmlCellPr id="1" uniqueName="ns2:Team1Consec12">
      <xmlPr mapId="4" xpath="/ns2:ScoreSheet/ns2:Diff2/ns2:Team1Consec12" xmlDataType="string"/>
    </xmlCellPr>
  </singleXmlCell>
  <singleXmlCell id="783" r="O6" connectionId="0">
    <xmlCellPr id="1" uniqueName="ns2:Team1Consec13">
      <xmlPr mapId="4" xpath="/ns2:ScoreSheet/ns2:Diff2/ns2:Team1Consec13" xmlDataType="string"/>
    </xmlCellPr>
  </singleXmlCell>
  <singleXmlCell id="784" r="P6" connectionId="0">
    <xmlCellPr id="1" uniqueName="ns2:Team1Consec14">
      <xmlPr mapId="4" xpath="/ns2:ScoreSheet/ns2:Diff2/ns2:Team1Consec14" xmlDataType="string"/>
    </xmlCellPr>
  </singleXmlCell>
  <singleXmlCell id="785" r="Q6" connectionId="0">
    <xmlCellPr id="1" uniqueName="ns2:Team1Consec15">
      <xmlPr mapId="4" xpath="/ns2:ScoreSheet/ns2:Diff2/ns2:Team1Consec15" xmlDataType="string"/>
    </xmlCellPr>
  </singleXmlCell>
  <singleXmlCell id="786" r="R6" connectionId="0">
    <xmlCellPr id="1" uniqueName="ns2:Team1Consec16">
      <xmlPr mapId="4" xpath="/ns2:ScoreSheet/ns2:Diff2/ns2:Team1Consec16" xmlDataType="string"/>
    </xmlCellPr>
  </singleXmlCell>
  <singleXmlCell id="787" r="S6" connectionId="0">
    <xmlCellPr id="1" uniqueName="ns2:Team1Consec17">
      <xmlPr mapId="4" xpath="/ns2:ScoreSheet/ns2:Diff2/ns2:Team1Consec17" xmlDataType="string"/>
    </xmlCellPr>
  </singleXmlCell>
  <singleXmlCell id="788" r="T6" connectionId="0">
    <xmlCellPr id="1" uniqueName="ns2:Team1Consec18">
      <xmlPr mapId="4" xpath="/ns2:ScoreSheet/ns2:Diff2/ns2:Team1Consec18" xmlDataType="string"/>
    </xmlCellPr>
  </singleXmlCell>
  <singleXmlCell id="789" r="U6" connectionId="0">
    <xmlCellPr id="1" uniqueName="ns2:Team1Consec19">
      <xmlPr mapId="4" xpath="/ns2:ScoreSheet/ns2:Diff2/ns2:Team1Consec19" xmlDataType="string"/>
    </xmlCellPr>
  </singleXmlCell>
  <singleXmlCell id="790" r="V6" connectionId="0">
    <xmlCellPr id="1" uniqueName="ns2:Team1Consec20">
      <xmlPr mapId="4" xpath="/ns2:ScoreSheet/ns2:Diff2/ns2:Team1Consec20" xmlDataType="string"/>
    </xmlCellPr>
  </singleXmlCell>
  <singleXmlCell id="791" r="C9" connectionId="0">
    <xmlCellPr id="1" uniqueName="ns2:Team2Diff1">
      <xmlPr mapId="4" xpath="/ns2:ScoreSheet/ns2:Diff2/ns2:Team2Diff1" xmlDataType="decimal"/>
    </xmlCellPr>
  </singleXmlCell>
  <singleXmlCell id="792" r="D9" connectionId="0">
    <xmlCellPr id="1" uniqueName="ns2:Team2Diff2">
      <xmlPr mapId="4" xpath="/ns2:ScoreSheet/ns2:Diff2/ns2:Team2Diff2" xmlDataType="decimal"/>
    </xmlCellPr>
  </singleXmlCell>
  <singleXmlCell id="793" r="E9" connectionId="0">
    <xmlCellPr id="1" uniqueName="ns2:Team2Diff3">
      <xmlPr mapId="4" xpath="/ns2:ScoreSheet/ns2:Diff2/ns2:Team2Diff3" xmlDataType="decimal"/>
    </xmlCellPr>
  </singleXmlCell>
  <singleXmlCell id="794" r="F9" connectionId="0">
    <xmlCellPr id="1" uniqueName="ns2:Team2Diff4">
      <xmlPr mapId="4" xpath="/ns2:ScoreSheet/ns2:Diff2/ns2:Team2Diff4" xmlDataType="decimal"/>
    </xmlCellPr>
  </singleXmlCell>
  <singleXmlCell id="795" r="G9" connectionId="0">
    <xmlCellPr id="1" uniqueName="ns2:Team2Diff5">
      <xmlPr mapId="4" xpath="/ns2:ScoreSheet/ns2:Diff2/ns2:Team2Diff5" xmlDataType="decimal"/>
    </xmlCellPr>
  </singleXmlCell>
  <singleXmlCell id="796" r="H9" connectionId="0">
    <xmlCellPr id="1" uniqueName="ns2:Team2Diff6">
      <xmlPr mapId="4" xpath="/ns2:ScoreSheet/ns2:Diff2/ns2:Team2Diff6" xmlDataType="decimal"/>
    </xmlCellPr>
  </singleXmlCell>
  <singleXmlCell id="797" r="I9" connectionId="0">
    <xmlCellPr id="1" uniqueName="ns2:Team2Diff7">
      <xmlPr mapId="4" xpath="/ns2:ScoreSheet/ns2:Diff2/ns2:Team2Diff7" xmlDataType="decimal"/>
    </xmlCellPr>
  </singleXmlCell>
  <singleXmlCell id="798" r="J9" connectionId="0">
    <xmlCellPr id="1" uniqueName="ns2:Team2Diff8">
      <xmlPr mapId="4" xpath="/ns2:ScoreSheet/ns2:Diff2/ns2:Team2Diff8" xmlDataType="decimal"/>
    </xmlCellPr>
  </singleXmlCell>
  <singleXmlCell id="799" r="K9" connectionId="0">
    <xmlCellPr id="1" uniqueName="ns2:Team2Diff9">
      <xmlPr mapId="4" xpath="/ns2:ScoreSheet/ns2:Diff2/ns2:Team2Diff9" xmlDataType="decimal"/>
    </xmlCellPr>
  </singleXmlCell>
  <singleXmlCell id="800" r="L9" connectionId="0">
    <xmlCellPr id="1" uniqueName="ns2:Team2Diff10">
      <xmlPr mapId="4" xpath="/ns2:ScoreSheet/ns2:Diff2/ns2:Team2Diff10" xmlDataType="decimal"/>
    </xmlCellPr>
  </singleXmlCell>
  <singleXmlCell id="801" r="M9" connectionId="0">
    <xmlCellPr id="1" uniqueName="ns2:Team2Diff11">
      <xmlPr mapId="4" xpath="/ns2:ScoreSheet/ns2:Diff2/ns2:Team2Diff11" xmlDataType="decimal"/>
    </xmlCellPr>
  </singleXmlCell>
  <singleXmlCell id="802" r="N9" connectionId="0">
    <xmlCellPr id="1" uniqueName="ns2:Team2Diff12">
      <xmlPr mapId="4" xpath="/ns2:ScoreSheet/ns2:Diff2/ns2:Team2Diff12" xmlDataType="decimal"/>
    </xmlCellPr>
  </singleXmlCell>
  <singleXmlCell id="803" r="O9" connectionId="0">
    <xmlCellPr id="1" uniqueName="ns2:Team2Diff13">
      <xmlPr mapId="4" xpath="/ns2:ScoreSheet/ns2:Diff2/ns2:Team2Diff13" xmlDataType="decimal"/>
    </xmlCellPr>
  </singleXmlCell>
  <singleXmlCell id="804" r="P9" connectionId="0">
    <xmlCellPr id="1" uniqueName="ns2:Team2Diff14">
      <xmlPr mapId="4" xpath="/ns2:ScoreSheet/ns2:Diff2/ns2:Team2Diff14" xmlDataType="decimal"/>
    </xmlCellPr>
  </singleXmlCell>
  <singleXmlCell id="805" r="Q9" connectionId="0">
    <xmlCellPr id="1" uniqueName="ns2:Team2Diff15">
      <xmlPr mapId="4" xpath="/ns2:ScoreSheet/ns2:Diff2/ns2:Team2Diff15" xmlDataType="decimal"/>
    </xmlCellPr>
  </singleXmlCell>
  <singleXmlCell id="806" r="R9" connectionId="0">
    <xmlCellPr id="1" uniqueName="ns2:Team2Diff16">
      <xmlPr mapId="4" xpath="/ns2:ScoreSheet/ns2:Diff2/ns2:Team2Diff16" xmlDataType="decimal"/>
    </xmlCellPr>
  </singleXmlCell>
  <singleXmlCell id="807" r="S9" connectionId="0">
    <xmlCellPr id="1" uniqueName="ns2:Team2Diff17">
      <xmlPr mapId="4" xpath="/ns2:ScoreSheet/ns2:Diff2/ns2:Team2Diff17" xmlDataType="decimal"/>
    </xmlCellPr>
  </singleXmlCell>
  <singleXmlCell id="808" r="T9" connectionId="0">
    <xmlCellPr id="1" uniqueName="ns2:Team2Diff18">
      <xmlPr mapId="4" xpath="/ns2:ScoreSheet/ns2:Diff2/ns2:Team2Diff18" xmlDataType="decimal"/>
    </xmlCellPr>
  </singleXmlCell>
  <singleXmlCell id="809" r="U9" connectionId="0">
    <xmlCellPr id="1" uniqueName="ns2:Team2Diff19">
      <xmlPr mapId="4" xpath="/ns2:ScoreSheet/ns2:Diff2/ns2:Team2Diff19" xmlDataType="decimal"/>
    </xmlCellPr>
  </singleXmlCell>
  <singleXmlCell id="810" r="V9" connectionId="0">
    <xmlCellPr id="1" uniqueName="ns2:Team2Diff20">
      <xmlPr mapId="4" xpath="/ns2:ScoreSheet/ns2:Diff2/ns2:Team2Diff20" xmlDataType="decimal"/>
    </xmlCellPr>
  </singleXmlCell>
  <singleXmlCell id="811" r="C8" connectionId="0">
    <xmlCellPr id="1" uniqueName="ns2:Team2Consec1">
      <xmlPr mapId="4" xpath="/ns2:ScoreSheet/ns2:Diff2/ns2:Team2Consec1" xmlDataType="string"/>
    </xmlCellPr>
  </singleXmlCell>
  <singleXmlCell id="812" r="D8" connectionId="0">
    <xmlCellPr id="1" uniqueName="ns2:Team2Consec2">
      <xmlPr mapId="4" xpath="/ns2:ScoreSheet/ns2:Diff2/ns2:Team2Consec2" xmlDataType="string"/>
    </xmlCellPr>
  </singleXmlCell>
  <singleXmlCell id="813" r="E8" connectionId="0">
    <xmlCellPr id="1" uniqueName="ns2:Team2Consec3">
      <xmlPr mapId="4" xpath="/ns2:ScoreSheet/ns2:Diff2/ns2:Team2Consec3" xmlDataType="string"/>
    </xmlCellPr>
  </singleXmlCell>
  <singleXmlCell id="814" r="F8" connectionId="0">
    <xmlCellPr id="1" uniqueName="ns2:Team2Consec4">
      <xmlPr mapId="4" xpath="/ns2:ScoreSheet/ns2:Diff2/ns2:Team2Consec4" xmlDataType="string"/>
    </xmlCellPr>
  </singleXmlCell>
  <singleXmlCell id="815" r="G8" connectionId="0">
    <xmlCellPr id="1" uniqueName="ns2:Team2Consec5">
      <xmlPr mapId="4" xpath="/ns2:ScoreSheet/ns2:Diff2/ns2:Team2Consec5" xmlDataType="string"/>
    </xmlCellPr>
  </singleXmlCell>
  <singleXmlCell id="816" r="H8" connectionId="0">
    <xmlCellPr id="1" uniqueName="ns2:Team2Consec6">
      <xmlPr mapId="4" xpath="/ns2:ScoreSheet/ns2:Diff2/ns2:Team2Consec6" xmlDataType="string"/>
    </xmlCellPr>
  </singleXmlCell>
  <singleXmlCell id="817" r="I8" connectionId="0">
    <xmlCellPr id="1" uniqueName="ns2:Team2Consec7">
      <xmlPr mapId="4" xpath="/ns2:ScoreSheet/ns2:Diff2/ns2:Team2Consec7" xmlDataType="string"/>
    </xmlCellPr>
  </singleXmlCell>
  <singleXmlCell id="818" r="J8" connectionId="0">
    <xmlCellPr id="1" uniqueName="ns2:Team2Consec8">
      <xmlPr mapId="4" xpath="/ns2:ScoreSheet/ns2:Diff2/ns2:Team2Consec8" xmlDataType="string"/>
    </xmlCellPr>
  </singleXmlCell>
  <singleXmlCell id="819" r="K8" connectionId="0">
    <xmlCellPr id="1" uniqueName="ns2:Team2Consec9">
      <xmlPr mapId="4" xpath="/ns2:ScoreSheet/ns2:Diff2/ns2:Team2Consec9" xmlDataType="string"/>
    </xmlCellPr>
  </singleXmlCell>
  <singleXmlCell id="820" r="L8" connectionId="0">
    <xmlCellPr id="1" uniqueName="ns2:Team2Consec10">
      <xmlPr mapId="4" xpath="/ns2:ScoreSheet/ns2:Diff2/ns2:Team2Consec10" xmlDataType="string"/>
    </xmlCellPr>
  </singleXmlCell>
  <singleXmlCell id="821" r="M8" connectionId="0">
    <xmlCellPr id="1" uniqueName="ns2:Team2Consec11">
      <xmlPr mapId="4" xpath="/ns2:ScoreSheet/ns2:Diff2/ns2:Team2Consec11" xmlDataType="string"/>
    </xmlCellPr>
  </singleXmlCell>
  <singleXmlCell id="822" r="N8" connectionId="0">
    <xmlCellPr id="1" uniqueName="ns2:Team2Consec12">
      <xmlPr mapId="4" xpath="/ns2:ScoreSheet/ns2:Diff2/ns2:Team2Consec12" xmlDataType="string"/>
    </xmlCellPr>
  </singleXmlCell>
  <singleXmlCell id="823" r="O8" connectionId="0">
    <xmlCellPr id="1" uniqueName="ns2:Team2Consec13">
      <xmlPr mapId="4" xpath="/ns2:ScoreSheet/ns2:Diff2/ns2:Team2Consec13" xmlDataType="string"/>
    </xmlCellPr>
  </singleXmlCell>
  <singleXmlCell id="824" r="P8" connectionId="0">
    <xmlCellPr id="1" uniqueName="ns2:Team2Consec14">
      <xmlPr mapId="4" xpath="/ns2:ScoreSheet/ns2:Diff2/ns2:Team2Consec14" xmlDataType="string"/>
    </xmlCellPr>
  </singleXmlCell>
  <singleXmlCell id="825" r="Q8" connectionId="0">
    <xmlCellPr id="1" uniqueName="ns2:Team2Consec15">
      <xmlPr mapId="4" xpath="/ns2:ScoreSheet/ns2:Diff2/ns2:Team2Consec15" xmlDataType="string"/>
    </xmlCellPr>
  </singleXmlCell>
  <singleXmlCell id="826" r="R8" connectionId="0">
    <xmlCellPr id="1" uniqueName="ns2:Team2Consec16">
      <xmlPr mapId="4" xpath="/ns2:ScoreSheet/ns2:Diff2/ns2:Team2Consec16" xmlDataType="string"/>
    </xmlCellPr>
  </singleXmlCell>
  <singleXmlCell id="827" r="S8" connectionId="0">
    <xmlCellPr id="1" uniqueName="ns2:Team2Consec17">
      <xmlPr mapId="4" xpath="/ns2:ScoreSheet/ns2:Diff2/ns2:Team2Consec17" xmlDataType="string"/>
    </xmlCellPr>
  </singleXmlCell>
  <singleXmlCell id="828" r="T8" connectionId="0">
    <xmlCellPr id="1" uniqueName="ns2:Team2Consec18">
      <xmlPr mapId="4" xpath="/ns2:ScoreSheet/ns2:Diff2/ns2:Team2Consec18" xmlDataType="string"/>
    </xmlCellPr>
  </singleXmlCell>
  <singleXmlCell id="829" r="U8" connectionId="0">
    <xmlCellPr id="1" uniqueName="ns2:Team2Consec19">
      <xmlPr mapId="4" xpath="/ns2:ScoreSheet/ns2:Diff2/ns2:Team2Consec19" xmlDataType="string"/>
    </xmlCellPr>
  </singleXmlCell>
  <singleXmlCell id="830" r="V8" connectionId="0">
    <xmlCellPr id="1" uniqueName="ns2:Team2Consec20">
      <xmlPr mapId="4" xpath="/ns2:ScoreSheet/ns2:Diff2/ns2:Team2Consec20" xmlDataType="string"/>
    </xmlCellPr>
  </singleXmlCell>
  <singleXmlCell id="831" r="C11" connectionId="0">
    <xmlCellPr id="1" uniqueName="ns2:Team3Diff1">
      <xmlPr mapId="4" xpath="/ns2:ScoreSheet/ns2:Diff2/ns2:Team3Diff1" xmlDataType="decimal"/>
    </xmlCellPr>
  </singleXmlCell>
  <singleXmlCell id="832" r="D11" connectionId="0">
    <xmlCellPr id="1" uniqueName="ns2:Team3Diff2">
      <xmlPr mapId="4" xpath="/ns2:ScoreSheet/ns2:Diff2/ns2:Team3Diff2" xmlDataType="decimal"/>
    </xmlCellPr>
  </singleXmlCell>
  <singleXmlCell id="833" r="E11" connectionId="0">
    <xmlCellPr id="1" uniqueName="ns2:Team3Diff3">
      <xmlPr mapId="4" xpath="/ns2:ScoreSheet/ns2:Diff2/ns2:Team3Diff3" xmlDataType="decimal"/>
    </xmlCellPr>
  </singleXmlCell>
  <singleXmlCell id="834" r="F11" connectionId="0">
    <xmlCellPr id="1" uniqueName="ns2:Team3Diff4">
      <xmlPr mapId="4" xpath="/ns2:ScoreSheet/ns2:Diff2/ns2:Team3Diff4" xmlDataType="decimal"/>
    </xmlCellPr>
  </singleXmlCell>
  <singleXmlCell id="835" r="G11" connectionId="0">
    <xmlCellPr id="1" uniqueName="ns2:Team3Diff5">
      <xmlPr mapId="4" xpath="/ns2:ScoreSheet/ns2:Diff2/ns2:Team3Diff5" xmlDataType="decimal"/>
    </xmlCellPr>
  </singleXmlCell>
  <singleXmlCell id="836" r="H11" connectionId="0">
    <xmlCellPr id="1" uniqueName="ns2:Team3Diff6">
      <xmlPr mapId="4" xpath="/ns2:ScoreSheet/ns2:Diff2/ns2:Team3Diff6" xmlDataType="decimal"/>
    </xmlCellPr>
  </singleXmlCell>
  <singleXmlCell id="837" r="I11" connectionId="0">
    <xmlCellPr id="1" uniqueName="ns2:Team3Diff7">
      <xmlPr mapId="4" xpath="/ns2:ScoreSheet/ns2:Diff2/ns2:Team3Diff7" xmlDataType="decimal"/>
    </xmlCellPr>
  </singleXmlCell>
  <singleXmlCell id="838" r="J11" connectionId="0">
    <xmlCellPr id="1" uniqueName="ns2:Team3Diff8">
      <xmlPr mapId="4" xpath="/ns2:ScoreSheet/ns2:Diff2/ns2:Team3Diff8" xmlDataType="decimal"/>
    </xmlCellPr>
  </singleXmlCell>
  <singleXmlCell id="839" r="K11" connectionId="0">
    <xmlCellPr id="1" uniqueName="ns2:Team3Diff9">
      <xmlPr mapId="4" xpath="/ns2:ScoreSheet/ns2:Diff2/ns2:Team3Diff9" xmlDataType="decimal"/>
    </xmlCellPr>
  </singleXmlCell>
  <singleXmlCell id="840" r="L11" connectionId="0">
    <xmlCellPr id="1" uniqueName="ns2:Team3Diff10">
      <xmlPr mapId="4" xpath="/ns2:ScoreSheet/ns2:Diff2/ns2:Team3Diff10" xmlDataType="decimal"/>
    </xmlCellPr>
  </singleXmlCell>
  <singleXmlCell id="841" r="M11" connectionId="0">
    <xmlCellPr id="1" uniqueName="ns2:Team3Diff11">
      <xmlPr mapId="4" xpath="/ns2:ScoreSheet/ns2:Diff2/ns2:Team3Diff11" xmlDataType="decimal"/>
    </xmlCellPr>
  </singleXmlCell>
  <singleXmlCell id="842" r="N11" connectionId="0">
    <xmlCellPr id="1" uniqueName="ns2:Team3Diff12">
      <xmlPr mapId="4" xpath="/ns2:ScoreSheet/ns2:Diff2/ns2:Team3Diff12" xmlDataType="decimal"/>
    </xmlCellPr>
  </singleXmlCell>
  <singleXmlCell id="843" r="O11" connectionId="0">
    <xmlCellPr id="1" uniqueName="ns2:Team3Diff13">
      <xmlPr mapId="4" xpath="/ns2:ScoreSheet/ns2:Diff2/ns2:Team3Diff13" xmlDataType="decimal"/>
    </xmlCellPr>
  </singleXmlCell>
  <singleXmlCell id="844" r="P11" connectionId="0">
    <xmlCellPr id="1" uniqueName="ns2:Team3Diff14">
      <xmlPr mapId="4" xpath="/ns2:ScoreSheet/ns2:Diff2/ns2:Team3Diff14" xmlDataType="decimal"/>
    </xmlCellPr>
  </singleXmlCell>
  <singleXmlCell id="845" r="Q11" connectionId="0">
    <xmlCellPr id="1" uniqueName="ns2:Team3Diff15">
      <xmlPr mapId="4" xpath="/ns2:ScoreSheet/ns2:Diff2/ns2:Team3Diff15" xmlDataType="decimal"/>
    </xmlCellPr>
  </singleXmlCell>
  <singleXmlCell id="846" r="R11" connectionId="0">
    <xmlCellPr id="1" uniqueName="ns2:Team3Diff16">
      <xmlPr mapId="4" xpath="/ns2:ScoreSheet/ns2:Diff2/ns2:Team3Diff16" xmlDataType="decimal"/>
    </xmlCellPr>
  </singleXmlCell>
  <singleXmlCell id="847" r="S11" connectionId="0">
    <xmlCellPr id="1" uniqueName="ns2:Team3Diff17">
      <xmlPr mapId="4" xpath="/ns2:ScoreSheet/ns2:Diff2/ns2:Team3Diff17" xmlDataType="decimal"/>
    </xmlCellPr>
  </singleXmlCell>
  <singleXmlCell id="848" r="T11" connectionId="0">
    <xmlCellPr id="1" uniqueName="ns2:Team3Diff18">
      <xmlPr mapId="4" xpath="/ns2:ScoreSheet/ns2:Diff2/ns2:Team3Diff18" xmlDataType="decimal"/>
    </xmlCellPr>
  </singleXmlCell>
  <singleXmlCell id="849" r="U11" connectionId="0">
    <xmlCellPr id="1" uniqueName="ns2:Team3Diff19">
      <xmlPr mapId="4" xpath="/ns2:ScoreSheet/ns2:Diff2/ns2:Team3Diff19" xmlDataType="decimal"/>
    </xmlCellPr>
  </singleXmlCell>
  <singleXmlCell id="850" r="V11" connectionId="0">
    <xmlCellPr id="1" uniqueName="ns2:Team3Diff20">
      <xmlPr mapId="4" xpath="/ns2:ScoreSheet/ns2:Diff2/ns2:Team3Diff20" xmlDataType="decimal"/>
    </xmlCellPr>
  </singleXmlCell>
  <singleXmlCell id="851" r="C10" connectionId="0">
    <xmlCellPr id="1" uniqueName="ns2:Team3Consec1">
      <xmlPr mapId="4" xpath="/ns2:ScoreSheet/ns2:Diff2/ns2:Team3Consec1" xmlDataType="string"/>
    </xmlCellPr>
  </singleXmlCell>
  <singleXmlCell id="852" r="D10" connectionId="0">
    <xmlCellPr id="1" uniqueName="ns2:Team3Consec2">
      <xmlPr mapId="4" xpath="/ns2:ScoreSheet/ns2:Diff2/ns2:Team3Consec2" xmlDataType="string"/>
    </xmlCellPr>
  </singleXmlCell>
  <singleXmlCell id="853" r="E10" connectionId="0">
    <xmlCellPr id="1" uniqueName="ns2:Team3Consec3">
      <xmlPr mapId="4" xpath="/ns2:ScoreSheet/ns2:Diff2/ns2:Team3Consec3" xmlDataType="string"/>
    </xmlCellPr>
  </singleXmlCell>
  <singleXmlCell id="854" r="F10" connectionId="0">
    <xmlCellPr id="1" uniqueName="ns2:Team3Consec4">
      <xmlPr mapId="4" xpath="/ns2:ScoreSheet/ns2:Diff2/ns2:Team3Consec4" xmlDataType="string"/>
    </xmlCellPr>
  </singleXmlCell>
  <singleXmlCell id="855" r="G10" connectionId="0">
    <xmlCellPr id="1" uniqueName="ns2:Team3Consec5">
      <xmlPr mapId="4" xpath="/ns2:ScoreSheet/ns2:Diff2/ns2:Team3Consec5" xmlDataType="string"/>
    </xmlCellPr>
  </singleXmlCell>
  <singleXmlCell id="856" r="H10" connectionId="0">
    <xmlCellPr id="1" uniqueName="ns2:Team3Consec6">
      <xmlPr mapId="4" xpath="/ns2:ScoreSheet/ns2:Diff2/ns2:Team3Consec6" xmlDataType="string"/>
    </xmlCellPr>
  </singleXmlCell>
  <singleXmlCell id="857" r="I10" connectionId="0">
    <xmlCellPr id="1" uniqueName="ns2:Team3Consec7">
      <xmlPr mapId="4" xpath="/ns2:ScoreSheet/ns2:Diff2/ns2:Team3Consec7" xmlDataType="string"/>
    </xmlCellPr>
  </singleXmlCell>
  <singleXmlCell id="858" r="J10" connectionId="0">
    <xmlCellPr id="1" uniqueName="ns2:Team3Consec8">
      <xmlPr mapId="4" xpath="/ns2:ScoreSheet/ns2:Diff2/ns2:Team3Consec8" xmlDataType="string"/>
    </xmlCellPr>
  </singleXmlCell>
  <singleXmlCell id="859" r="K10" connectionId="0">
    <xmlCellPr id="1" uniqueName="ns2:Team3Consec9">
      <xmlPr mapId="4" xpath="/ns2:ScoreSheet/ns2:Diff2/ns2:Team3Consec9" xmlDataType="string"/>
    </xmlCellPr>
  </singleXmlCell>
  <singleXmlCell id="860" r="L10" connectionId="0">
    <xmlCellPr id="1" uniqueName="ns2:Team3Consec10">
      <xmlPr mapId="4" xpath="/ns2:ScoreSheet/ns2:Diff2/ns2:Team3Consec10" xmlDataType="string"/>
    </xmlCellPr>
  </singleXmlCell>
  <singleXmlCell id="861" r="M10" connectionId="0">
    <xmlCellPr id="1" uniqueName="ns2:Team3Consec11">
      <xmlPr mapId="4" xpath="/ns2:ScoreSheet/ns2:Diff2/ns2:Team3Consec11" xmlDataType="string"/>
    </xmlCellPr>
  </singleXmlCell>
  <singleXmlCell id="862" r="N10" connectionId="0">
    <xmlCellPr id="1" uniqueName="ns2:Team3Consec12">
      <xmlPr mapId="4" xpath="/ns2:ScoreSheet/ns2:Diff2/ns2:Team3Consec12" xmlDataType="string"/>
    </xmlCellPr>
  </singleXmlCell>
  <singleXmlCell id="863" r="O10" connectionId="0">
    <xmlCellPr id="1" uniqueName="ns2:Team3Consec13">
      <xmlPr mapId="4" xpath="/ns2:ScoreSheet/ns2:Diff2/ns2:Team3Consec13" xmlDataType="string"/>
    </xmlCellPr>
  </singleXmlCell>
  <singleXmlCell id="864" r="P10" connectionId="0">
    <xmlCellPr id="1" uniqueName="ns2:Team3Consec14">
      <xmlPr mapId="4" xpath="/ns2:ScoreSheet/ns2:Diff2/ns2:Team3Consec14" xmlDataType="string"/>
    </xmlCellPr>
  </singleXmlCell>
  <singleXmlCell id="865" r="Q10" connectionId="0">
    <xmlCellPr id="1" uniqueName="ns2:Team3Consec15">
      <xmlPr mapId="4" xpath="/ns2:ScoreSheet/ns2:Diff2/ns2:Team3Consec15" xmlDataType="string"/>
    </xmlCellPr>
  </singleXmlCell>
  <singleXmlCell id="866" r="R10" connectionId="0">
    <xmlCellPr id="1" uniqueName="ns2:Team3Consec16">
      <xmlPr mapId="4" xpath="/ns2:ScoreSheet/ns2:Diff2/ns2:Team3Consec16" xmlDataType="string"/>
    </xmlCellPr>
  </singleXmlCell>
  <singleXmlCell id="867" r="S10" connectionId="0">
    <xmlCellPr id="1" uniqueName="ns2:Team3Consec17">
      <xmlPr mapId="4" xpath="/ns2:ScoreSheet/ns2:Diff2/ns2:Team3Consec17" xmlDataType="string"/>
    </xmlCellPr>
  </singleXmlCell>
  <singleXmlCell id="868" r="T10" connectionId="0">
    <xmlCellPr id="1" uniqueName="ns2:Team3Consec18">
      <xmlPr mapId="4" xpath="/ns2:ScoreSheet/ns2:Diff2/ns2:Team3Consec18" xmlDataType="string"/>
    </xmlCellPr>
  </singleXmlCell>
  <singleXmlCell id="869" r="U10" connectionId="0">
    <xmlCellPr id="1" uniqueName="ns2:Team3Consec19">
      <xmlPr mapId="4" xpath="/ns2:ScoreSheet/ns2:Diff2/ns2:Team3Consec19" xmlDataType="string"/>
    </xmlCellPr>
  </singleXmlCell>
  <singleXmlCell id="870" r="V10" connectionId="0">
    <xmlCellPr id="1" uniqueName="ns2:Team3Consec20">
      <xmlPr mapId="4" xpath="/ns2:ScoreSheet/ns2:Diff2/ns2:Team3Consec20" xmlDataType="string"/>
    </xmlCellPr>
  </singleXmlCell>
  <singleXmlCell id="871" r="C13" connectionId="0">
    <xmlCellPr id="1" uniqueName="ns2:Team4Diff1">
      <xmlPr mapId="4" xpath="/ns2:ScoreSheet/ns2:Diff2/ns2:Team4Diff1" xmlDataType="decimal"/>
    </xmlCellPr>
  </singleXmlCell>
  <singleXmlCell id="872" r="D13" connectionId="0">
    <xmlCellPr id="1" uniqueName="ns2:Team4Diff2">
      <xmlPr mapId="4" xpath="/ns2:ScoreSheet/ns2:Diff2/ns2:Team4Diff2" xmlDataType="decimal"/>
    </xmlCellPr>
  </singleXmlCell>
  <singleXmlCell id="873" r="E13" connectionId="0">
    <xmlCellPr id="1" uniqueName="ns2:Team4Diff3">
      <xmlPr mapId="4" xpath="/ns2:ScoreSheet/ns2:Diff2/ns2:Team4Diff3" xmlDataType="decimal"/>
    </xmlCellPr>
  </singleXmlCell>
  <singleXmlCell id="874" r="F13" connectionId="0">
    <xmlCellPr id="1" uniqueName="ns2:Team4Diff4">
      <xmlPr mapId="4" xpath="/ns2:ScoreSheet/ns2:Diff2/ns2:Team4Diff4" xmlDataType="decimal"/>
    </xmlCellPr>
  </singleXmlCell>
  <singleXmlCell id="875" r="G13" connectionId="0">
    <xmlCellPr id="1" uniqueName="ns2:Team4Diff5">
      <xmlPr mapId="4" xpath="/ns2:ScoreSheet/ns2:Diff2/ns2:Team4Diff5" xmlDataType="decimal"/>
    </xmlCellPr>
  </singleXmlCell>
  <singleXmlCell id="876" r="H13" connectionId="0">
    <xmlCellPr id="1" uniqueName="ns2:Team4Diff6">
      <xmlPr mapId="4" xpath="/ns2:ScoreSheet/ns2:Diff2/ns2:Team4Diff6" xmlDataType="decimal"/>
    </xmlCellPr>
  </singleXmlCell>
  <singleXmlCell id="877" r="I13" connectionId="0">
    <xmlCellPr id="1" uniqueName="ns2:Team4Diff7">
      <xmlPr mapId="4" xpath="/ns2:ScoreSheet/ns2:Diff2/ns2:Team4Diff7" xmlDataType="decimal"/>
    </xmlCellPr>
  </singleXmlCell>
  <singleXmlCell id="878" r="J13" connectionId="0">
    <xmlCellPr id="1" uniqueName="ns2:Team4Diff8">
      <xmlPr mapId="4" xpath="/ns2:ScoreSheet/ns2:Diff2/ns2:Team4Diff8" xmlDataType="decimal"/>
    </xmlCellPr>
  </singleXmlCell>
  <singleXmlCell id="879" r="K13" connectionId="0">
    <xmlCellPr id="1" uniqueName="ns2:Team4Diff9">
      <xmlPr mapId="4" xpath="/ns2:ScoreSheet/ns2:Diff2/ns2:Team4Diff9" xmlDataType="decimal"/>
    </xmlCellPr>
  </singleXmlCell>
  <singleXmlCell id="880" r="L13" connectionId="0">
    <xmlCellPr id="1" uniqueName="ns2:Team4Diff10">
      <xmlPr mapId="4" xpath="/ns2:ScoreSheet/ns2:Diff2/ns2:Team4Diff10" xmlDataType="decimal"/>
    </xmlCellPr>
  </singleXmlCell>
  <singleXmlCell id="881" r="M13" connectionId="0">
    <xmlCellPr id="1" uniqueName="ns2:Team4Diff11">
      <xmlPr mapId="4" xpath="/ns2:ScoreSheet/ns2:Diff2/ns2:Team4Diff11" xmlDataType="decimal"/>
    </xmlCellPr>
  </singleXmlCell>
  <singleXmlCell id="882" r="N13" connectionId="0">
    <xmlCellPr id="1" uniqueName="ns2:Team4Diff12">
      <xmlPr mapId="4" xpath="/ns2:ScoreSheet/ns2:Diff2/ns2:Team4Diff12" xmlDataType="decimal"/>
    </xmlCellPr>
  </singleXmlCell>
  <singleXmlCell id="883" r="O13" connectionId="0">
    <xmlCellPr id="1" uniqueName="ns2:Team4Diff13">
      <xmlPr mapId="4" xpath="/ns2:ScoreSheet/ns2:Diff2/ns2:Team4Diff13" xmlDataType="decimal"/>
    </xmlCellPr>
  </singleXmlCell>
  <singleXmlCell id="884" r="P13" connectionId="0">
    <xmlCellPr id="1" uniqueName="ns2:Team4Diff14">
      <xmlPr mapId="4" xpath="/ns2:ScoreSheet/ns2:Diff2/ns2:Team4Diff14" xmlDataType="decimal"/>
    </xmlCellPr>
  </singleXmlCell>
  <singleXmlCell id="885" r="Q13" connectionId="0">
    <xmlCellPr id="1" uniqueName="ns2:Team4Diff15">
      <xmlPr mapId="4" xpath="/ns2:ScoreSheet/ns2:Diff2/ns2:Team4Diff15" xmlDataType="decimal"/>
    </xmlCellPr>
  </singleXmlCell>
  <singleXmlCell id="886" r="R13" connectionId="0">
    <xmlCellPr id="1" uniqueName="ns2:Team4Diff16">
      <xmlPr mapId="4" xpath="/ns2:ScoreSheet/ns2:Diff2/ns2:Team4Diff16" xmlDataType="decimal"/>
    </xmlCellPr>
  </singleXmlCell>
  <singleXmlCell id="887" r="S13" connectionId="0">
    <xmlCellPr id="1" uniqueName="ns2:Team4Diff17">
      <xmlPr mapId="4" xpath="/ns2:ScoreSheet/ns2:Diff2/ns2:Team4Diff17" xmlDataType="decimal"/>
    </xmlCellPr>
  </singleXmlCell>
  <singleXmlCell id="888" r="T13" connectionId="0">
    <xmlCellPr id="1" uniqueName="ns2:Team4Diff18">
      <xmlPr mapId="4" xpath="/ns2:ScoreSheet/ns2:Diff2/ns2:Team4Diff18" xmlDataType="decimal"/>
    </xmlCellPr>
  </singleXmlCell>
  <singleXmlCell id="889" r="U13" connectionId="0">
    <xmlCellPr id="1" uniqueName="ns2:Team4Diff19">
      <xmlPr mapId="4" xpath="/ns2:ScoreSheet/ns2:Diff2/ns2:Team4Diff19" xmlDataType="decimal"/>
    </xmlCellPr>
  </singleXmlCell>
  <singleXmlCell id="890" r="V13" connectionId="0">
    <xmlCellPr id="1" uniqueName="ns2:Team4Diff20">
      <xmlPr mapId="4" xpath="/ns2:ScoreSheet/ns2:Diff2/ns2:Team4Diff20" xmlDataType="decimal"/>
    </xmlCellPr>
  </singleXmlCell>
  <singleXmlCell id="891" r="C12" connectionId="0">
    <xmlCellPr id="1" uniqueName="ns2:Team4Consec1">
      <xmlPr mapId="4" xpath="/ns2:ScoreSheet/ns2:Diff2/ns2:Team4Consec1" xmlDataType="string"/>
    </xmlCellPr>
  </singleXmlCell>
  <singleXmlCell id="892" r="D12" connectionId="0">
    <xmlCellPr id="1" uniqueName="ns2:Team4Consec2">
      <xmlPr mapId="4" xpath="/ns2:ScoreSheet/ns2:Diff2/ns2:Team4Consec2" xmlDataType="string"/>
    </xmlCellPr>
  </singleXmlCell>
  <singleXmlCell id="893" r="E12" connectionId="0">
    <xmlCellPr id="1" uniqueName="ns2:Team4Consec3">
      <xmlPr mapId="4" xpath="/ns2:ScoreSheet/ns2:Diff2/ns2:Team4Consec3" xmlDataType="string"/>
    </xmlCellPr>
  </singleXmlCell>
  <singleXmlCell id="894" r="F12" connectionId="0">
    <xmlCellPr id="1" uniqueName="ns2:Team4Consec4">
      <xmlPr mapId="4" xpath="/ns2:ScoreSheet/ns2:Diff2/ns2:Team4Consec4" xmlDataType="string"/>
    </xmlCellPr>
  </singleXmlCell>
  <singleXmlCell id="895" r="G12" connectionId="0">
    <xmlCellPr id="1" uniqueName="ns2:Team4Consec5">
      <xmlPr mapId="4" xpath="/ns2:ScoreSheet/ns2:Diff2/ns2:Team4Consec5" xmlDataType="string"/>
    </xmlCellPr>
  </singleXmlCell>
  <singleXmlCell id="896" r="H12" connectionId="0">
    <xmlCellPr id="1" uniqueName="ns2:Team4Consec6">
      <xmlPr mapId="4" xpath="/ns2:ScoreSheet/ns2:Diff2/ns2:Team4Consec6" xmlDataType="string"/>
    </xmlCellPr>
  </singleXmlCell>
  <singleXmlCell id="897" r="I12" connectionId="0">
    <xmlCellPr id="1" uniqueName="ns2:Team4Consec7">
      <xmlPr mapId="4" xpath="/ns2:ScoreSheet/ns2:Diff2/ns2:Team4Consec7" xmlDataType="string"/>
    </xmlCellPr>
  </singleXmlCell>
  <singleXmlCell id="898" r="J12" connectionId="0">
    <xmlCellPr id="1" uniqueName="ns2:Team4Consec8">
      <xmlPr mapId="4" xpath="/ns2:ScoreSheet/ns2:Diff2/ns2:Team4Consec8" xmlDataType="string"/>
    </xmlCellPr>
  </singleXmlCell>
  <singleXmlCell id="899" r="K12" connectionId="0">
    <xmlCellPr id="1" uniqueName="ns2:Team4Consec9">
      <xmlPr mapId="4" xpath="/ns2:ScoreSheet/ns2:Diff2/ns2:Team4Consec9" xmlDataType="string"/>
    </xmlCellPr>
  </singleXmlCell>
  <singleXmlCell id="900" r="L12" connectionId="0">
    <xmlCellPr id="1" uniqueName="ns2:Team4Consec10">
      <xmlPr mapId="4" xpath="/ns2:ScoreSheet/ns2:Diff2/ns2:Team4Consec10" xmlDataType="string"/>
    </xmlCellPr>
  </singleXmlCell>
  <singleXmlCell id="901" r="M12" connectionId="0">
    <xmlCellPr id="1" uniqueName="ns2:Team4Consec11">
      <xmlPr mapId="4" xpath="/ns2:ScoreSheet/ns2:Diff2/ns2:Team4Consec11" xmlDataType="string"/>
    </xmlCellPr>
  </singleXmlCell>
  <singleXmlCell id="902" r="N12" connectionId="0">
    <xmlCellPr id="1" uniqueName="ns2:Team4Consec12">
      <xmlPr mapId="4" xpath="/ns2:ScoreSheet/ns2:Diff2/ns2:Team4Consec12" xmlDataType="string"/>
    </xmlCellPr>
  </singleXmlCell>
  <singleXmlCell id="903" r="O12" connectionId="0">
    <xmlCellPr id="1" uniqueName="ns2:Team4Consec13">
      <xmlPr mapId="4" xpath="/ns2:ScoreSheet/ns2:Diff2/ns2:Team4Consec13" xmlDataType="string"/>
    </xmlCellPr>
  </singleXmlCell>
  <singleXmlCell id="904" r="P12" connectionId="0">
    <xmlCellPr id="1" uniqueName="ns2:Team4Consec14">
      <xmlPr mapId="4" xpath="/ns2:ScoreSheet/ns2:Diff2/ns2:Team4Consec14" xmlDataType="string"/>
    </xmlCellPr>
  </singleXmlCell>
  <singleXmlCell id="905" r="Q12" connectionId="0">
    <xmlCellPr id="1" uniqueName="ns2:Team4Consec15">
      <xmlPr mapId="4" xpath="/ns2:ScoreSheet/ns2:Diff2/ns2:Team4Consec15" xmlDataType="string"/>
    </xmlCellPr>
  </singleXmlCell>
  <singleXmlCell id="906" r="R12" connectionId="0">
    <xmlCellPr id="1" uniqueName="ns2:Team4Consec16">
      <xmlPr mapId="4" xpath="/ns2:ScoreSheet/ns2:Diff2/ns2:Team4Consec16" xmlDataType="string"/>
    </xmlCellPr>
  </singleXmlCell>
  <singleXmlCell id="907" r="S12" connectionId="0">
    <xmlCellPr id="1" uniqueName="ns2:Team4Consec17">
      <xmlPr mapId="4" xpath="/ns2:ScoreSheet/ns2:Diff2/ns2:Team4Consec17" xmlDataType="string"/>
    </xmlCellPr>
  </singleXmlCell>
  <singleXmlCell id="908" r="T12" connectionId="0">
    <xmlCellPr id="1" uniqueName="ns2:Team4Consec18">
      <xmlPr mapId="4" xpath="/ns2:ScoreSheet/ns2:Diff2/ns2:Team4Consec18" xmlDataType="string"/>
    </xmlCellPr>
  </singleXmlCell>
  <singleXmlCell id="909" r="U12" connectionId="0">
    <xmlCellPr id="1" uniqueName="ns2:Team4Consec19">
      <xmlPr mapId="4" xpath="/ns2:ScoreSheet/ns2:Diff2/ns2:Team4Consec19" xmlDataType="string"/>
    </xmlCellPr>
  </singleXmlCell>
  <singleXmlCell id="910" r="V12" connectionId="0">
    <xmlCellPr id="1" uniqueName="ns2:Team4Consec20">
      <xmlPr mapId="4" xpath="/ns2:ScoreSheet/ns2:Diff2/ns2:Team4Consec20" xmlDataType="string"/>
    </xmlCellPr>
  </singleXmlCell>
  <singleXmlCell id="911" r="C15" connectionId="0">
    <xmlCellPr id="1" uniqueName="ns2:Team5Diff1">
      <xmlPr mapId="4" xpath="/ns2:ScoreSheet/ns2:Diff2/ns2:Team5Diff1" xmlDataType="decimal"/>
    </xmlCellPr>
  </singleXmlCell>
  <singleXmlCell id="912" r="D15" connectionId="0">
    <xmlCellPr id="1" uniqueName="ns2:Team5Diff2">
      <xmlPr mapId="4" xpath="/ns2:ScoreSheet/ns2:Diff2/ns2:Team5Diff2" xmlDataType="decimal"/>
    </xmlCellPr>
  </singleXmlCell>
  <singleXmlCell id="913" r="E15" connectionId="0">
    <xmlCellPr id="1" uniqueName="ns2:Team5Diff3">
      <xmlPr mapId="4" xpath="/ns2:ScoreSheet/ns2:Diff2/ns2:Team5Diff3" xmlDataType="decimal"/>
    </xmlCellPr>
  </singleXmlCell>
  <singleXmlCell id="914" r="F15" connectionId="0">
    <xmlCellPr id="1" uniqueName="ns2:Team5Diff4">
      <xmlPr mapId="4" xpath="/ns2:ScoreSheet/ns2:Diff2/ns2:Team5Diff4" xmlDataType="decimal"/>
    </xmlCellPr>
  </singleXmlCell>
  <singleXmlCell id="915" r="G15" connectionId="0">
    <xmlCellPr id="1" uniqueName="ns2:Team5Diff5">
      <xmlPr mapId="4" xpath="/ns2:ScoreSheet/ns2:Diff2/ns2:Team5Diff5" xmlDataType="decimal"/>
    </xmlCellPr>
  </singleXmlCell>
  <singleXmlCell id="916" r="H15" connectionId="0">
    <xmlCellPr id="1" uniqueName="ns2:Team5Diff6">
      <xmlPr mapId="4" xpath="/ns2:ScoreSheet/ns2:Diff2/ns2:Team5Diff6" xmlDataType="decimal"/>
    </xmlCellPr>
  </singleXmlCell>
  <singleXmlCell id="917" r="I15" connectionId="0">
    <xmlCellPr id="1" uniqueName="ns2:Team5Diff7">
      <xmlPr mapId="4" xpath="/ns2:ScoreSheet/ns2:Diff2/ns2:Team5Diff7" xmlDataType="decimal"/>
    </xmlCellPr>
  </singleXmlCell>
  <singleXmlCell id="918" r="J15" connectionId="0">
    <xmlCellPr id="1" uniqueName="ns2:Team5Diff8">
      <xmlPr mapId="4" xpath="/ns2:ScoreSheet/ns2:Diff2/ns2:Team5Diff8" xmlDataType="decimal"/>
    </xmlCellPr>
  </singleXmlCell>
  <singleXmlCell id="919" r="K15" connectionId="0">
    <xmlCellPr id="1" uniqueName="ns2:Team5Diff9">
      <xmlPr mapId="4" xpath="/ns2:ScoreSheet/ns2:Diff2/ns2:Team5Diff9" xmlDataType="decimal"/>
    </xmlCellPr>
  </singleXmlCell>
  <singleXmlCell id="920" r="L15" connectionId="0">
    <xmlCellPr id="1" uniqueName="ns2:Team5Diff10">
      <xmlPr mapId="4" xpath="/ns2:ScoreSheet/ns2:Diff2/ns2:Team5Diff10" xmlDataType="decimal"/>
    </xmlCellPr>
  </singleXmlCell>
  <singleXmlCell id="921" r="M15" connectionId="0">
    <xmlCellPr id="1" uniqueName="ns2:Team5Diff11">
      <xmlPr mapId="4" xpath="/ns2:ScoreSheet/ns2:Diff2/ns2:Team5Diff11" xmlDataType="decimal"/>
    </xmlCellPr>
  </singleXmlCell>
  <singleXmlCell id="922" r="N15" connectionId="0">
    <xmlCellPr id="1" uniqueName="ns2:Team5Diff12">
      <xmlPr mapId="4" xpath="/ns2:ScoreSheet/ns2:Diff2/ns2:Team5Diff12" xmlDataType="decimal"/>
    </xmlCellPr>
  </singleXmlCell>
  <singleXmlCell id="923" r="O15" connectionId="0">
    <xmlCellPr id="1" uniqueName="ns2:Team5Diff13">
      <xmlPr mapId="4" xpath="/ns2:ScoreSheet/ns2:Diff2/ns2:Team5Diff13" xmlDataType="decimal"/>
    </xmlCellPr>
  </singleXmlCell>
  <singleXmlCell id="924" r="P15" connectionId="0">
    <xmlCellPr id="1" uniqueName="ns2:Team5Diff14">
      <xmlPr mapId="4" xpath="/ns2:ScoreSheet/ns2:Diff2/ns2:Team5Diff14" xmlDataType="decimal"/>
    </xmlCellPr>
  </singleXmlCell>
  <singleXmlCell id="925" r="Q15" connectionId="0">
    <xmlCellPr id="1" uniqueName="ns2:Team5Diff15">
      <xmlPr mapId="4" xpath="/ns2:ScoreSheet/ns2:Diff2/ns2:Team5Diff15" xmlDataType="decimal"/>
    </xmlCellPr>
  </singleXmlCell>
  <singleXmlCell id="926" r="R15" connectionId="0">
    <xmlCellPr id="1" uniqueName="ns2:Team5Diff16">
      <xmlPr mapId="4" xpath="/ns2:ScoreSheet/ns2:Diff2/ns2:Team5Diff16" xmlDataType="decimal"/>
    </xmlCellPr>
  </singleXmlCell>
  <singleXmlCell id="927" r="S15" connectionId="0">
    <xmlCellPr id="1" uniqueName="ns2:Team5Diff17">
      <xmlPr mapId="4" xpath="/ns2:ScoreSheet/ns2:Diff2/ns2:Team5Diff17" xmlDataType="decimal"/>
    </xmlCellPr>
  </singleXmlCell>
  <singleXmlCell id="928" r="T15" connectionId="0">
    <xmlCellPr id="1" uniqueName="ns2:Team5Diff18">
      <xmlPr mapId="4" xpath="/ns2:ScoreSheet/ns2:Diff2/ns2:Team5Diff18" xmlDataType="decimal"/>
    </xmlCellPr>
  </singleXmlCell>
  <singleXmlCell id="929" r="U15" connectionId="0">
    <xmlCellPr id="1" uniqueName="ns2:Team5Diff19">
      <xmlPr mapId="4" xpath="/ns2:ScoreSheet/ns2:Diff2/ns2:Team5Diff19" xmlDataType="decimal"/>
    </xmlCellPr>
  </singleXmlCell>
  <singleXmlCell id="930" r="V15" connectionId="0">
    <xmlCellPr id="1" uniqueName="ns2:Team5Diff20">
      <xmlPr mapId="4" xpath="/ns2:ScoreSheet/ns2:Diff2/ns2:Team5Diff20" xmlDataType="decimal"/>
    </xmlCellPr>
  </singleXmlCell>
  <singleXmlCell id="931" r="C14" connectionId="0">
    <xmlCellPr id="1" uniqueName="ns2:Team5Consec1">
      <xmlPr mapId="4" xpath="/ns2:ScoreSheet/ns2:Diff2/ns2:Team5Consec1" xmlDataType="string"/>
    </xmlCellPr>
  </singleXmlCell>
  <singleXmlCell id="932" r="D14" connectionId="0">
    <xmlCellPr id="1" uniqueName="ns2:Team5Consec2">
      <xmlPr mapId="4" xpath="/ns2:ScoreSheet/ns2:Diff2/ns2:Team5Consec2" xmlDataType="string"/>
    </xmlCellPr>
  </singleXmlCell>
  <singleXmlCell id="933" r="E14" connectionId="0">
    <xmlCellPr id="1" uniqueName="ns2:Team5Consec3">
      <xmlPr mapId="4" xpath="/ns2:ScoreSheet/ns2:Diff2/ns2:Team5Consec3" xmlDataType="string"/>
    </xmlCellPr>
  </singleXmlCell>
  <singleXmlCell id="934" r="F14" connectionId="0">
    <xmlCellPr id="1" uniqueName="ns2:Team5Consec4">
      <xmlPr mapId="4" xpath="/ns2:ScoreSheet/ns2:Diff2/ns2:Team5Consec4" xmlDataType="string"/>
    </xmlCellPr>
  </singleXmlCell>
  <singleXmlCell id="935" r="G14" connectionId="0">
    <xmlCellPr id="1" uniqueName="ns2:Team5Consec5">
      <xmlPr mapId="4" xpath="/ns2:ScoreSheet/ns2:Diff2/ns2:Team5Consec5" xmlDataType="string"/>
    </xmlCellPr>
  </singleXmlCell>
  <singleXmlCell id="936" r="H14" connectionId="0">
    <xmlCellPr id="1" uniqueName="ns2:Team5Consec6">
      <xmlPr mapId="4" xpath="/ns2:ScoreSheet/ns2:Diff2/ns2:Team5Consec6" xmlDataType="string"/>
    </xmlCellPr>
  </singleXmlCell>
  <singleXmlCell id="937" r="I14" connectionId="0">
    <xmlCellPr id="1" uniqueName="ns2:Team5Consec7">
      <xmlPr mapId="4" xpath="/ns2:ScoreSheet/ns2:Diff2/ns2:Team5Consec7" xmlDataType="string"/>
    </xmlCellPr>
  </singleXmlCell>
  <singleXmlCell id="938" r="J14" connectionId="0">
    <xmlCellPr id="1" uniqueName="ns2:Team5Consec8">
      <xmlPr mapId="4" xpath="/ns2:ScoreSheet/ns2:Diff2/ns2:Team5Consec8" xmlDataType="string"/>
    </xmlCellPr>
  </singleXmlCell>
  <singleXmlCell id="939" r="K14" connectionId="0">
    <xmlCellPr id="1" uniqueName="ns2:Team5Consec9">
      <xmlPr mapId="4" xpath="/ns2:ScoreSheet/ns2:Diff2/ns2:Team5Consec9" xmlDataType="string"/>
    </xmlCellPr>
  </singleXmlCell>
  <singleXmlCell id="940" r="L14" connectionId="0">
    <xmlCellPr id="1" uniqueName="ns2:Team5Consec10">
      <xmlPr mapId="4" xpath="/ns2:ScoreSheet/ns2:Diff2/ns2:Team5Consec10" xmlDataType="string"/>
    </xmlCellPr>
  </singleXmlCell>
  <singleXmlCell id="941" r="M14" connectionId="0">
    <xmlCellPr id="1" uniqueName="ns2:Team5Consec11">
      <xmlPr mapId="4" xpath="/ns2:ScoreSheet/ns2:Diff2/ns2:Team5Consec11" xmlDataType="string"/>
    </xmlCellPr>
  </singleXmlCell>
  <singleXmlCell id="942" r="N14" connectionId="0">
    <xmlCellPr id="1" uniqueName="ns2:Team5Consec12">
      <xmlPr mapId="4" xpath="/ns2:ScoreSheet/ns2:Diff2/ns2:Team5Consec12" xmlDataType="string"/>
    </xmlCellPr>
  </singleXmlCell>
  <singleXmlCell id="943" r="O14" connectionId="0">
    <xmlCellPr id="1" uniqueName="ns2:Team5Consec13">
      <xmlPr mapId="4" xpath="/ns2:ScoreSheet/ns2:Diff2/ns2:Team5Consec13" xmlDataType="string"/>
    </xmlCellPr>
  </singleXmlCell>
  <singleXmlCell id="944" r="P14" connectionId="0">
    <xmlCellPr id="1" uniqueName="ns2:Team5Consec14">
      <xmlPr mapId="4" xpath="/ns2:ScoreSheet/ns2:Diff2/ns2:Team5Consec14" xmlDataType="string"/>
    </xmlCellPr>
  </singleXmlCell>
  <singleXmlCell id="945" r="Q14" connectionId="0">
    <xmlCellPr id="1" uniqueName="ns2:Team5Consec15">
      <xmlPr mapId="4" xpath="/ns2:ScoreSheet/ns2:Diff2/ns2:Team5Consec15" xmlDataType="string"/>
    </xmlCellPr>
  </singleXmlCell>
  <singleXmlCell id="946" r="R14" connectionId="0">
    <xmlCellPr id="1" uniqueName="ns2:Team5Consec16">
      <xmlPr mapId="4" xpath="/ns2:ScoreSheet/ns2:Diff2/ns2:Team5Consec16" xmlDataType="string"/>
    </xmlCellPr>
  </singleXmlCell>
  <singleXmlCell id="947" r="S14" connectionId="0">
    <xmlCellPr id="1" uniqueName="ns2:Team5Consec17">
      <xmlPr mapId="4" xpath="/ns2:ScoreSheet/ns2:Diff2/ns2:Team5Consec17" xmlDataType="string"/>
    </xmlCellPr>
  </singleXmlCell>
  <singleXmlCell id="948" r="T14" connectionId="0">
    <xmlCellPr id="1" uniqueName="ns2:Team5Consec18">
      <xmlPr mapId="4" xpath="/ns2:ScoreSheet/ns2:Diff2/ns2:Team5Consec18" xmlDataType="string"/>
    </xmlCellPr>
  </singleXmlCell>
  <singleXmlCell id="949" r="U14" connectionId="0">
    <xmlCellPr id="1" uniqueName="ns2:Team5Consec19">
      <xmlPr mapId="4" xpath="/ns2:ScoreSheet/ns2:Diff2/ns2:Team5Consec19" xmlDataType="string"/>
    </xmlCellPr>
  </singleXmlCell>
  <singleXmlCell id="950" r="V14" connectionId="0">
    <xmlCellPr id="1" uniqueName="ns2:Team5Consec20">
      <xmlPr mapId="4" xpath="/ns2:ScoreSheet/ns2:Diff2/ns2:Team5Consec20" xmlDataType="string"/>
    </xmlCellPr>
  </singleXmlCell>
  <singleXmlCell id="951" r="C17" connectionId="0">
    <xmlCellPr id="1" uniqueName="ns2:Team6Diff1">
      <xmlPr mapId="4" xpath="/ns2:ScoreSheet/ns2:Diff2/ns2:Team6Diff1" xmlDataType="decimal"/>
    </xmlCellPr>
  </singleXmlCell>
  <singleXmlCell id="952" r="D17" connectionId="0">
    <xmlCellPr id="1" uniqueName="ns2:Team6Diff2">
      <xmlPr mapId="4" xpath="/ns2:ScoreSheet/ns2:Diff2/ns2:Team6Diff2" xmlDataType="decimal"/>
    </xmlCellPr>
  </singleXmlCell>
  <singleXmlCell id="953" r="E17" connectionId="0">
    <xmlCellPr id="1" uniqueName="ns2:Team6Diff3">
      <xmlPr mapId="4" xpath="/ns2:ScoreSheet/ns2:Diff2/ns2:Team6Diff3" xmlDataType="decimal"/>
    </xmlCellPr>
  </singleXmlCell>
  <singleXmlCell id="954" r="F17" connectionId="0">
    <xmlCellPr id="1" uniqueName="ns2:Team6Diff4">
      <xmlPr mapId="4" xpath="/ns2:ScoreSheet/ns2:Diff2/ns2:Team6Diff4" xmlDataType="decimal"/>
    </xmlCellPr>
  </singleXmlCell>
  <singleXmlCell id="955" r="G17" connectionId="0">
    <xmlCellPr id="1" uniqueName="ns2:Team6Diff5">
      <xmlPr mapId="4" xpath="/ns2:ScoreSheet/ns2:Diff2/ns2:Team6Diff5" xmlDataType="decimal"/>
    </xmlCellPr>
  </singleXmlCell>
  <singleXmlCell id="956" r="H17" connectionId="0">
    <xmlCellPr id="1" uniqueName="ns2:Team6Diff6">
      <xmlPr mapId="4" xpath="/ns2:ScoreSheet/ns2:Diff2/ns2:Team6Diff6" xmlDataType="decimal"/>
    </xmlCellPr>
  </singleXmlCell>
  <singleXmlCell id="957" r="I17" connectionId="0">
    <xmlCellPr id="1" uniqueName="ns2:Team6Diff7">
      <xmlPr mapId="4" xpath="/ns2:ScoreSheet/ns2:Diff2/ns2:Team6Diff7" xmlDataType="decimal"/>
    </xmlCellPr>
  </singleXmlCell>
  <singleXmlCell id="958" r="J17" connectionId="0">
    <xmlCellPr id="1" uniqueName="ns2:Team6Diff8">
      <xmlPr mapId="4" xpath="/ns2:ScoreSheet/ns2:Diff2/ns2:Team6Diff8" xmlDataType="decimal"/>
    </xmlCellPr>
  </singleXmlCell>
  <singleXmlCell id="959" r="K17" connectionId="0">
    <xmlCellPr id="1" uniqueName="ns2:Team6Diff9">
      <xmlPr mapId="4" xpath="/ns2:ScoreSheet/ns2:Diff2/ns2:Team6Diff9" xmlDataType="decimal"/>
    </xmlCellPr>
  </singleXmlCell>
  <singleXmlCell id="960" r="L17" connectionId="0">
    <xmlCellPr id="1" uniqueName="ns2:Team6Diff10">
      <xmlPr mapId="4" xpath="/ns2:ScoreSheet/ns2:Diff2/ns2:Team6Diff10" xmlDataType="decimal"/>
    </xmlCellPr>
  </singleXmlCell>
  <singleXmlCell id="961" r="M17" connectionId="0">
    <xmlCellPr id="1" uniqueName="ns2:Team6Diff11">
      <xmlPr mapId="4" xpath="/ns2:ScoreSheet/ns2:Diff2/ns2:Team6Diff11" xmlDataType="decimal"/>
    </xmlCellPr>
  </singleXmlCell>
  <singleXmlCell id="962" r="N17" connectionId="0">
    <xmlCellPr id="1" uniqueName="ns2:Team6Diff12">
      <xmlPr mapId="4" xpath="/ns2:ScoreSheet/ns2:Diff2/ns2:Team6Diff12" xmlDataType="decimal"/>
    </xmlCellPr>
  </singleXmlCell>
  <singleXmlCell id="963" r="O17" connectionId="0">
    <xmlCellPr id="1" uniqueName="ns2:Team6Diff13">
      <xmlPr mapId="4" xpath="/ns2:ScoreSheet/ns2:Diff2/ns2:Team6Diff13" xmlDataType="decimal"/>
    </xmlCellPr>
  </singleXmlCell>
  <singleXmlCell id="964" r="P17" connectionId="0">
    <xmlCellPr id="1" uniqueName="ns2:Team6Diff14">
      <xmlPr mapId="4" xpath="/ns2:ScoreSheet/ns2:Diff2/ns2:Team6Diff14" xmlDataType="decimal"/>
    </xmlCellPr>
  </singleXmlCell>
  <singleXmlCell id="965" r="Q17" connectionId="0">
    <xmlCellPr id="1" uniqueName="ns2:Team6Diff15">
      <xmlPr mapId="4" xpath="/ns2:ScoreSheet/ns2:Diff2/ns2:Team6Diff15" xmlDataType="decimal"/>
    </xmlCellPr>
  </singleXmlCell>
  <singleXmlCell id="966" r="R17" connectionId="0">
    <xmlCellPr id="1" uniqueName="ns2:Team6Diff16">
      <xmlPr mapId="4" xpath="/ns2:ScoreSheet/ns2:Diff2/ns2:Team6Diff16" xmlDataType="decimal"/>
    </xmlCellPr>
  </singleXmlCell>
  <singleXmlCell id="967" r="S17" connectionId="0">
    <xmlCellPr id="1" uniqueName="ns2:Team6Diff17">
      <xmlPr mapId="4" xpath="/ns2:ScoreSheet/ns2:Diff2/ns2:Team6Diff17" xmlDataType="decimal"/>
    </xmlCellPr>
  </singleXmlCell>
  <singleXmlCell id="968" r="T17" connectionId="0">
    <xmlCellPr id="1" uniqueName="ns2:Team6Diff18">
      <xmlPr mapId="4" xpath="/ns2:ScoreSheet/ns2:Diff2/ns2:Team6Diff18" xmlDataType="decimal"/>
    </xmlCellPr>
  </singleXmlCell>
  <singleXmlCell id="969" r="U17" connectionId="0">
    <xmlCellPr id="1" uniqueName="ns2:Team6Diff19">
      <xmlPr mapId="4" xpath="/ns2:ScoreSheet/ns2:Diff2/ns2:Team6Diff19" xmlDataType="decimal"/>
    </xmlCellPr>
  </singleXmlCell>
  <singleXmlCell id="970" r="V17" connectionId="0">
    <xmlCellPr id="1" uniqueName="ns2:Team6Diff20">
      <xmlPr mapId="4" xpath="/ns2:ScoreSheet/ns2:Diff2/ns2:Team6Diff20" xmlDataType="decimal"/>
    </xmlCellPr>
  </singleXmlCell>
  <singleXmlCell id="971" r="C16" connectionId="0">
    <xmlCellPr id="1" uniqueName="ns2:Team6Consec1">
      <xmlPr mapId="4" xpath="/ns2:ScoreSheet/ns2:Diff2/ns2:Team6Consec1" xmlDataType="string"/>
    </xmlCellPr>
  </singleXmlCell>
  <singleXmlCell id="972" r="D16" connectionId="0">
    <xmlCellPr id="1" uniqueName="ns2:Team6Consec2">
      <xmlPr mapId="4" xpath="/ns2:ScoreSheet/ns2:Diff2/ns2:Team6Consec2" xmlDataType="string"/>
    </xmlCellPr>
  </singleXmlCell>
  <singleXmlCell id="973" r="E16" connectionId="0">
    <xmlCellPr id="1" uniqueName="ns2:Team6Consec3">
      <xmlPr mapId="4" xpath="/ns2:ScoreSheet/ns2:Diff2/ns2:Team6Consec3" xmlDataType="string"/>
    </xmlCellPr>
  </singleXmlCell>
  <singleXmlCell id="974" r="F16" connectionId="0">
    <xmlCellPr id="1" uniqueName="ns2:Team6Consec4">
      <xmlPr mapId="4" xpath="/ns2:ScoreSheet/ns2:Diff2/ns2:Team6Consec4" xmlDataType="string"/>
    </xmlCellPr>
  </singleXmlCell>
  <singleXmlCell id="975" r="G16" connectionId="0">
    <xmlCellPr id="1" uniqueName="ns2:Team6Consec5">
      <xmlPr mapId="4" xpath="/ns2:ScoreSheet/ns2:Diff2/ns2:Team6Consec5" xmlDataType="string"/>
    </xmlCellPr>
  </singleXmlCell>
  <singleXmlCell id="976" r="H16" connectionId="0">
    <xmlCellPr id="1" uniqueName="ns2:Team6Consec6">
      <xmlPr mapId="4" xpath="/ns2:ScoreSheet/ns2:Diff2/ns2:Team6Consec6" xmlDataType="string"/>
    </xmlCellPr>
  </singleXmlCell>
  <singleXmlCell id="977" r="I16" connectionId="0">
    <xmlCellPr id="1" uniqueName="ns2:Team6Consec7">
      <xmlPr mapId="4" xpath="/ns2:ScoreSheet/ns2:Diff2/ns2:Team6Consec7" xmlDataType="string"/>
    </xmlCellPr>
  </singleXmlCell>
  <singleXmlCell id="978" r="J16" connectionId="0">
    <xmlCellPr id="1" uniqueName="ns2:Team6Consec8">
      <xmlPr mapId="4" xpath="/ns2:ScoreSheet/ns2:Diff2/ns2:Team6Consec8" xmlDataType="string"/>
    </xmlCellPr>
  </singleXmlCell>
  <singleXmlCell id="979" r="K16" connectionId="0">
    <xmlCellPr id="1" uniqueName="ns2:Team6Consec9">
      <xmlPr mapId="4" xpath="/ns2:ScoreSheet/ns2:Diff2/ns2:Team6Consec9" xmlDataType="string"/>
    </xmlCellPr>
  </singleXmlCell>
  <singleXmlCell id="980" r="L16" connectionId="0">
    <xmlCellPr id="1" uniqueName="ns2:Team6Consec10">
      <xmlPr mapId="4" xpath="/ns2:ScoreSheet/ns2:Diff2/ns2:Team6Consec10" xmlDataType="string"/>
    </xmlCellPr>
  </singleXmlCell>
  <singleXmlCell id="981" r="M16" connectionId="0">
    <xmlCellPr id="1" uniqueName="ns2:Team6Consec11">
      <xmlPr mapId="4" xpath="/ns2:ScoreSheet/ns2:Diff2/ns2:Team6Consec11" xmlDataType="string"/>
    </xmlCellPr>
  </singleXmlCell>
  <singleXmlCell id="982" r="N16" connectionId="0">
    <xmlCellPr id="1" uniqueName="ns2:Team6Consec12">
      <xmlPr mapId="4" xpath="/ns2:ScoreSheet/ns2:Diff2/ns2:Team6Consec12" xmlDataType="string"/>
    </xmlCellPr>
  </singleXmlCell>
  <singleXmlCell id="983" r="O16" connectionId="0">
    <xmlCellPr id="1" uniqueName="ns2:Team6Consec13">
      <xmlPr mapId="4" xpath="/ns2:ScoreSheet/ns2:Diff2/ns2:Team6Consec13" xmlDataType="string"/>
    </xmlCellPr>
  </singleXmlCell>
  <singleXmlCell id="984" r="P16" connectionId="0">
    <xmlCellPr id="1" uniqueName="ns2:Team6Consec14">
      <xmlPr mapId="4" xpath="/ns2:ScoreSheet/ns2:Diff2/ns2:Team6Consec14" xmlDataType="string"/>
    </xmlCellPr>
  </singleXmlCell>
  <singleXmlCell id="985" r="Q16" connectionId="0">
    <xmlCellPr id="1" uniqueName="ns2:Team6Consec15">
      <xmlPr mapId="4" xpath="/ns2:ScoreSheet/ns2:Diff2/ns2:Team6Consec15" xmlDataType="string"/>
    </xmlCellPr>
  </singleXmlCell>
  <singleXmlCell id="986" r="R16" connectionId="0">
    <xmlCellPr id="1" uniqueName="ns2:Team6Consec16">
      <xmlPr mapId="4" xpath="/ns2:ScoreSheet/ns2:Diff2/ns2:Team6Consec16" xmlDataType="string"/>
    </xmlCellPr>
  </singleXmlCell>
  <singleXmlCell id="987" r="S16" connectionId="0">
    <xmlCellPr id="1" uniqueName="ns2:Team6Consec17">
      <xmlPr mapId="4" xpath="/ns2:ScoreSheet/ns2:Diff2/ns2:Team6Consec17" xmlDataType="string"/>
    </xmlCellPr>
  </singleXmlCell>
  <singleXmlCell id="988" r="T16" connectionId="0">
    <xmlCellPr id="1" uniqueName="ns2:Team6Consec18">
      <xmlPr mapId="4" xpath="/ns2:ScoreSheet/ns2:Diff2/ns2:Team6Consec18" xmlDataType="string"/>
    </xmlCellPr>
  </singleXmlCell>
  <singleXmlCell id="989" r="U16" connectionId="0">
    <xmlCellPr id="1" uniqueName="ns2:Team6Consec19">
      <xmlPr mapId="4" xpath="/ns2:ScoreSheet/ns2:Diff2/ns2:Team6Consec19" xmlDataType="string"/>
    </xmlCellPr>
  </singleXmlCell>
  <singleXmlCell id="990" r="V16" connectionId="0">
    <xmlCellPr id="1" uniqueName="ns2:Team6Consec20">
      <xmlPr mapId="4" xpath="/ns2:ScoreSheet/ns2:Diff2/ns2:Team6Consec20" xmlDataType="string"/>
    </xmlCellPr>
  </singleXmlCell>
  <singleXmlCell id="991" r="C19" connectionId="0">
    <xmlCellPr id="1" uniqueName="ns2:Team7Diff1">
      <xmlPr mapId="4" xpath="/ns2:ScoreSheet/ns2:Diff2/ns2:Team7Diff1" xmlDataType="decimal"/>
    </xmlCellPr>
  </singleXmlCell>
  <singleXmlCell id="992" r="D19" connectionId="0">
    <xmlCellPr id="1" uniqueName="ns2:Team7Diff2">
      <xmlPr mapId="4" xpath="/ns2:ScoreSheet/ns2:Diff2/ns2:Team7Diff2" xmlDataType="decimal"/>
    </xmlCellPr>
  </singleXmlCell>
  <singleXmlCell id="993" r="E19" connectionId="0">
    <xmlCellPr id="1" uniqueName="ns2:Team7Diff3">
      <xmlPr mapId="4" xpath="/ns2:ScoreSheet/ns2:Diff2/ns2:Team7Diff3" xmlDataType="decimal"/>
    </xmlCellPr>
  </singleXmlCell>
  <singleXmlCell id="994" r="F19" connectionId="0">
    <xmlCellPr id="1" uniqueName="ns2:Team7Diff4">
      <xmlPr mapId="4" xpath="/ns2:ScoreSheet/ns2:Diff2/ns2:Team7Diff4" xmlDataType="decimal"/>
    </xmlCellPr>
  </singleXmlCell>
  <singleXmlCell id="995" r="G19" connectionId="0">
    <xmlCellPr id="1" uniqueName="ns2:Team7Diff5">
      <xmlPr mapId="4" xpath="/ns2:ScoreSheet/ns2:Diff2/ns2:Team7Diff5" xmlDataType="decimal"/>
    </xmlCellPr>
  </singleXmlCell>
  <singleXmlCell id="996" r="H19" connectionId="0">
    <xmlCellPr id="1" uniqueName="ns2:Team7Diff6">
      <xmlPr mapId="4" xpath="/ns2:ScoreSheet/ns2:Diff2/ns2:Team7Diff6" xmlDataType="decimal"/>
    </xmlCellPr>
  </singleXmlCell>
  <singleXmlCell id="997" r="I19" connectionId="0">
    <xmlCellPr id="1" uniqueName="ns2:Team7Diff7">
      <xmlPr mapId="4" xpath="/ns2:ScoreSheet/ns2:Diff2/ns2:Team7Diff7" xmlDataType="decimal"/>
    </xmlCellPr>
  </singleXmlCell>
  <singleXmlCell id="998" r="J19" connectionId="0">
    <xmlCellPr id="1" uniqueName="ns2:Team7Diff8">
      <xmlPr mapId="4" xpath="/ns2:ScoreSheet/ns2:Diff2/ns2:Team7Diff8" xmlDataType="decimal"/>
    </xmlCellPr>
  </singleXmlCell>
  <singleXmlCell id="999" r="K19" connectionId="0">
    <xmlCellPr id="1" uniqueName="ns2:Team7Diff9">
      <xmlPr mapId="4" xpath="/ns2:ScoreSheet/ns2:Diff2/ns2:Team7Diff9" xmlDataType="decimal"/>
    </xmlCellPr>
  </singleXmlCell>
  <singleXmlCell id="1000" r="L19" connectionId="0">
    <xmlCellPr id="1" uniqueName="ns2:Team7Diff10">
      <xmlPr mapId="4" xpath="/ns2:ScoreSheet/ns2:Diff2/ns2:Team7Diff10" xmlDataType="decimal"/>
    </xmlCellPr>
  </singleXmlCell>
  <singleXmlCell id="1001" r="M19" connectionId="0">
    <xmlCellPr id="1" uniqueName="ns2:Team7Diff11">
      <xmlPr mapId="4" xpath="/ns2:ScoreSheet/ns2:Diff2/ns2:Team7Diff11" xmlDataType="decimal"/>
    </xmlCellPr>
  </singleXmlCell>
  <singleXmlCell id="1002" r="N19" connectionId="0">
    <xmlCellPr id="1" uniqueName="ns2:Team7Diff12">
      <xmlPr mapId="4" xpath="/ns2:ScoreSheet/ns2:Diff2/ns2:Team7Diff12" xmlDataType="decimal"/>
    </xmlCellPr>
  </singleXmlCell>
  <singleXmlCell id="1003" r="O19" connectionId="0">
    <xmlCellPr id="1" uniqueName="ns2:Team7Diff13">
      <xmlPr mapId="4" xpath="/ns2:ScoreSheet/ns2:Diff2/ns2:Team7Diff13" xmlDataType="decimal"/>
    </xmlCellPr>
  </singleXmlCell>
  <singleXmlCell id="1004" r="P19" connectionId="0">
    <xmlCellPr id="1" uniqueName="ns2:Team7Diff14">
      <xmlPr mapId="4" xpath="/ns2:ScoreSheet/ns2:Diff2/ns2:Team7Diff14" xmlDataType="decimal"/>
    </xmlCellPr>
  </singleXmlCell>
  <singleXmlCell id="1005" r="Q19" connectionId="0">
    <xmlCellPr id="1" uniqueName="ns2:Team7Diff15">
      <xmlPr mapId="4" xpath="/ns2:ScoreSheet/ns2:Diff2/ns2:Team7Diff15" xmlDataType="decimal"/>
    </xmlCellPr>
  </singleXmlCell>
  <singleXmlCell id="1006" r="R19" connectionId="0">
    <xmlCellPr id="1" uniqueName="ns2:Team7Diff16">
      <xmlPr mapId="4" xpath="/ns2:ScoreSheet/ns2:Diff2/ns2:Team7Diff16" xmlDataType="decimal"/>
    </xmlCellPr>
  </singleXmlCell>
  <singleXmlCell id="1007" r="S19" connectionId="0">
    <xmlCellPr id="1" uniqueName="ns2:Team7Diff17">
      <xmlPr mapId="4" xpath="/ns2:ScoreSheet/ns2:Diff2/ns2:Team7Diff17" xmlDataType="decimal"/>
    </xmlCellPr>
  </singleXmlCell>
  <singleXmlCell id="1008" r="T19" connectionId="0">
    <xmlCellPr id="1" uniqueName="ns2:Team7Diff18">
      <xmlPr mapId="4" xpath="/ns2:ScoreSheet/ns2:Diff2/ns2:Team7Diff18" xmlDataType="decimal"/>
    </xmlCellPr>
  </singleXmlCell>
  <singleXmlCell id="1009" r="U19" connectionId="0">
    <xmlCellPr id="1" uniqueName="ns2:Team7Diff19">
      <xmlPr mapId="4" xpath="/ns2:ScoreSheet/ns2:Diff2/ns2:Team7Diff19" xmlDataType="decimal"/>
    </xmlCellPr>
  </singleXmlCell>
  <singleXmlCell id="1010" r="V19" connectionId="0">
    <xmlCellPr id="1" uniqueName="ns2:Team7Diff20">
      <xmlPr mapId="4" xpath="/ns2:ScoreSheet/ns2:Diff2/ns2:Team7Diff20" xmlDataType="decimal"/>
    </xmlCellPr>
  </singleXmlCell>
  <singleXmlCell id="1011" r="C18" connectionId="0">
    <xmlCellPr id="1" uniqueName="ns2:Team7Consec1">
      <xmlPr mapId="4" xpath="/ns2:ScoreSheet/ns2:Diff2/ns2:Team7Consec1" xmlDataType="string"/>
    </xmlCellPr>
  </singleXmlCell>
  <singleXmlCell id="1012" r="D18" connectionId="0">
    <xmlCellPr id="1" uniqueName="ns2:Team7Consec2">
      <xmlPr mapId="4" xpath="/ns2:ScoreSheet/ns2:Diff2/ns2:Team7Consec2" xmlDataType="string"/>
    </xmlCellPr>
  </singleXmlCell>
  <singleXmlCell id="1013" r="E18" connectionId="0">
    <xmlCellPr id="1" uniqueName="ns2:Team7Consec3">
      <xmlPr mapId="4" xpath="/ns2:ScoreSheet/ns2:Diff2/ns2:Team7Consec3" xmlDataType="string"/>
    </xmlCellPr>
  </singleXmlCell>
  <singleXmlCell id="1014" r="F18" connectionId="0">
    <xmlCellPr id="1" uniqueName="ns2:Team7Consec4">
      <xmlPr mapId="4" xpath="/ns2:ScoreSheet/ns2:Diff2/ns2:Team7Consec4" xmlDataType="string"/>
    </xmlCellPr>
  </singleXmlCell>
  <singleXmlCell id="1015" r="G18" connectionId="0">
    <xmlCellPr id="1" uniqueName="ns2:Team7Consec5">
      <xmlPr mapId="4" xpath="/ns2:ScoreSheet/ns2:Diff2/ns2:Team7Consec5" xmlDataType="string"/>
    </xmlCellPr>
  </singleXmlCell>
  <singleXmlCell id="1016" r="H18" connectionId="0">
    <xmlCellPr id="1" uniqueName="ns2:Team7Consec6">
      <xmlPr mapId="4" xpath="/ns2:ScoreSheet/ns2:Diff2/ns2:Team7Consec6" xmlDataType="string"/>
    </xmlCellPr>
  </singleXmlCell>
  <singleXmlCell id="1017" r="I18" connectionId="0">
    <xmlCellPr id="1" uniqueName="ns2:Team7Consec7">
      <xmlPr mapId="4" xpath="/ns2:ScoreSheet/ns2:Diff2/ns2:Team7Consec7" xmlDataType="string"/>
    </xmlCellPr>
  </singleXmlCell>
  <singleXmlCell id="1018" r="J18" connectionId="0">
    <xmlCellPr id="1" uniqueName="ns2:Team7Consec8">
      <xmlPr mapId="4" xpath="/ns2:ScoreSheet/ns2:Diff2/ns2:Team7Consec8" xmlDataType="string"/>
    </xmlCellPr>
  </singleXmlCell>
  <singleXmlCell id="1019" r="K18" connectionId="0">
    <xmlCellPr id="1" uniqueName="ns2:Team7Consec9">
      <xmlPr mapId="4" xpath="/ns2:ScoreSheet/ns2:Diff2/ns2:Team7Consec9" xmlDataType="string"/>
    </xmlCellPr>
  </singleXmlCell>
  <singleXmlCell id="1020" r="L18" connectionId="0">
    <xmlCellPr id="1" uniqueName="ns2:Team7Consec10">
      <xmlPr mapId="4" xpath="/ns2:ScoreSheet/ns2:Diff2/ns2:Team7Consec10" xmlDataType="string"/>
    </xmlCellPr>
  </singleXmlCell>
  <singleXmlCell id="1021" r="M18" connectionId="0">
    <xmlCellPr id="1" uniqueName="ns2:Team7Consec11">
      <xmlPr mapId="4" xpath="/ns2:ScoreSheet/ns2:Diff2/ns2:Team7Consec11" xmlDataType="string"/>
    </xmlCellPr>
  </singleXmlCell>
  <singleXmlCell id="1022" r="N18" connectionId="0">
    <xmlCellPr id="1" uniqueName="ns2:Team7Consec12">
      <xmlPr mapId="4" xpath="/ns2:ScoreSheet/ns2:Diff2/ns2:Team7Consec12" xmlDataType="string"/>
    </xmlCellPr>
  </singleXmlCell>
  <singleXmlCell id="1023" r="O18" connectionId="0">
    <xmlCellPr id="1" uniqueName="ns2:Team7Consec13">
      <xmlPr mapId="4" xpath="/ns2:ScoreSheet/ns2:Diff2/ns2:Team7Consec13" xmlDataType="string"/>
    </xmlCellPr>
  </singleXmlCell>
  <singleXmlCell id="1024" r="P18" connectionId="0">
    <xmlCellPr id="1" uniqueName="ns2:Team7Consec14">
      <xmlPr mapId="4" xpath="/ns2:ScoreSheet/ns2:Diff2/ns2:Team7Consec14" xmlDataType="string"/>
    </xmlCellPr>
  </singleXmlCell>
  <singleXmlCell id="1025" r="Q18" connectionId="0">
    <xmlCellPr id="1" uniqueName="ns2:Team7Consec15">
      <xmlPr mapId="4" xpath="/ns2:ScoreSheet/ns2:Diff2/ns2:Team7Consec15" xmlDataType="string"/>
    </xmlCellPr>
  </singleXmlCell>
  <singleXmlCell id="1026" r="R18" connectionId="0">
    <xmlCellPr id="1" uniqueName="ns2:Team7Consec16">
      <xmlPr mapId="4" xpath="/ns2:ScoreSheet/ns2:Diff2/ns2:Team7Consec16" xmlDataType="string"/>
    </xmlCellPr>
  </singleXmlCell>
  <singleXmlCell id="1027" r="S18" connectionId="0">
    <xmlCellPr id="1" uniqueName="ns2:Team7Consec17">
      <xmlPr mapId="4" xpath="/ns2:ScoreSheet/ns2:Diff2/ns2:Team7Consec17" xmlDataType="string"/>
    </xmlCellPr>
  </singleXmlCell>
  <singleXmlCell id="1028" r="T18" connectionId="0">
    <xmlCellPr id="1" uniqueName="ns2:Team7Consec18">
      <xmlPr mapId="4" xpath="/ns2:ScoreSheet/ns2:Diff2/ns2:Team7Consec18" xmlDataType="string"/>
    </xmlCellPr>
  </singleXmlCell>
  <singleXmlCell id="1029" r="U18" connectionId="0">
    <xmlCellPr id="1" uniqueName="ns2:Team7Consec19">
      <xmlPr mapId="4" xpath="/ns2:ScoreSheet/ns2:Diff2/ns2:Team7Consec19" xmlDataType="string"/>
    </xmlCellPr>
  </singleXmlCell>
  <singleXmlCell id="1030" r="V18" connectionId="0">
    <xmlCellPr id="1" uniqueName="ns2:Team7Consec20">
      <xmlPr mapId="4" xpath="/ns2:ScoreSheet/ns2:Diff2/ns2:Team7Consec20" xmlDataType="string"/>
    </xmlCellPr>
  </singleXmlCell>
  <singleXmlCell id="1031" r="C21" connectionId="0">
    <xmlCellPr id="1" uniqueName="ns2:Team8Diff1">
      <xmlPr mapId="4" xpath="/ns2:ScoreSheet/ns2:Diff2/ns2:Team8Diff1" xmlDataType="decimal"/>
    </xmlCellPr>
  </singleXmlCell>
  <singleXmlCell id="1032" r="D21" connectionId="0">
    <xmlCellPr id="1" uniqueName="ns2:Team8Diff2">
      <xmlPr mapId="4" xpath="/ns2:ScoreSheet/ns2:Diff2/ns2:Team8Diff2" xmlDataType="decimal"/>
    </xmlCellPr>
  </singleXmlCell>
  <singleXmlCell id="1033" r="E21" connectionId="0">
    <xmlCellPr id="1" uniqueName="ns2:Team8Diff3">
      <xmlPr mapId="4" xpath="/ns2:ScoreSheet/ns2:Diff2/ns2:Team8Diff3" xmlDataType="decimal"/>
    </xmlCellPr>
  </singleXmlCell>
  <singleXmlCell id="1034" r="F21" connectionId="0">
    <xmlCellPr id="1" uniqueName="ns2:Team8Diff4">
      <xmlPr mapId="4" xpath="/ns2:ScoreSheet/ns2:Diff2/ns2:Team8Diff4" xmlDataType="decimal"/>
    </xmlCellPr>
  </singleXmlCell>
  <singleXmlCell id="1035" r="G21" connectionId="0">
    <xmlCellPr id="1" uniqueName="ns2:Team8Diff5">
      <xmlPr mapId="4" xpath="/ns2:ScoreSheet/ns2:Diff2/ns2:Team8Diff5" xmlDataType="decimal"/>
    </xmlCellPr>
  </singleXmlCell>
  <singleXmlCell id="1036" r="H21" connectionId="0">
    <xmlCellPr id="1" uniqueName="ns2:Team8Diff6">
      <xmlPr mapId="4" xpath="/ns2:ScoreSheet/ns2:Diff2/ns2:Team8Diff6" xmlDataType="decimal"/>
    </xmlCellPr>
  </singleXmlCell>
  <singleXmlCell id="1037" r="I21" connectionId="0">
    <xmlCellPr id="1" uniqueName="ns2:Team8Diff7">
      <xmlPr mapId="4" xpath="/ns2:ScoreSheet/ns2:Diff2/ns2:Team8Diff7" xmlDataType="decimal"/>
    </xmlCellPr>
  </singleXmlCell>
  <singleXmlCell id="1038" r="J21" connectionId="0">
    <xmlCellPr id="1" uniqueName="ns2:Team8Diff8">
      <xmlPr mapId="4" xpath="/ns2:ScoreSheet/ns2:Diff2/ns2:Team8Diff8" xmlDataType="decimal"/>
    </xmlCellPr>
  </singleXmlCell>
  <singleXmlCell id="1039" r="K21" connectionId="0">
    <xmlCellPr id="1" uniqueName="ns2:Team8Diff9">
      <xmlPr mapId="4" xpath="/ns2:ScoreSheet/ns2:Diff2/ns2:Team8Diff9" xmlDataType="decimal"/>
    </xmlCellPr>
  </singleXmlCell>
  <singleXmlCell id="1040" r="L21" connectionId="0">
    <xmlCellPr id="1" uniqueName="ns2:Team8Diff10">
      <xmlPr mapId="4" xpath="/ns2:ScoreSheet/ns2:Diff2/ns2:Team8Diff10" xmlDataType="decimal"/>
    </xmlCellPr>
  </singleXmlCell>
  <singleXmlCell id="1041" r="M21" connectionId="0">
    <xmlCellPr id="1" uniqueName="ns2:Team8Diff11">
      <xmlPr mapId="4" xpath="/ns2:ScoreSheet/ns2:Diff2/ns2:Team8Diff11" xmlDataType="decimal"/>
    </xmlCellPr>
  </singleXmlCell>
  <singleXmlCell id="1042" r="N21" connectionId="0">
    <xmlCellPr id="1" uniqueName="ns2:Team8Diff12">
      <xmlPr mapId="4" xpath="/ns2:ScoreSheet/ns2:Diff2/ns2:Team8Diff12" xmlDataType="decimal"/>
    </xmlCellPr>
  </singleXmlCell>
  <singleXmlCell id="1043" r="O21" connectionId="0">
    <xmlCellPr id="1" uniqueName="ns2:Team8Diff13">
      <xmlPr mapId="4" xpath="/ns2:ScoreSheet/ns2:Diff2/ns2:Team8Diff13" xmlDataType="decimal"/>
    </xmlCellPr>
  </singleXmlCell>
  <singleXmlCell id="1044" r="P21" connectionId="0">
    <xmlCellPr id="1" uniqueName="ns2:Team8Diff14">
      <xmlPr mapId="4" xpath="/ns2:ScoreSheet/ns2:Diff2/ns2:Team8Diff14" xmlDataType="decimal"/>
    </xmlCellPr>
  </singleXmlCell>
  <singleXmlCell id="1045" r="Q21" connectionId="0">
    <xmlCellPr id="1" uniqueName="ns2:Team8Diff15">
      <xmlPr mapId="4" xpath="/ns2:ScoreSheet/ns2:Diff2/ns2:Team8Diff15" xmlDataType="decimal"/>
    </xmlCellPr>
  </singleXmlCell>
  <singleXmlCell id="1046" r="R21" connectionId="0">
    <xmlCellPr id="1" uniqueName="ns2:Team8Diff16">
      <xmlPr mapId="4" xpath="/ns2:ScoreSheet/ns2:Diff2/ns2:Team8Diff16" xmlDataType="decimal"/>
    </xmlCellPr>
  </singleXmlCell>
  <singleXmlCell id="1047" r="S21" connectionId="0">
    <xmlCellPr id="1" uniqueName="ns2:Team8Diff17">
      <xmlPr mapId="4" xpath="/ns2:ScoreSheet/ns2:Diff2/ns2:Team8Diff17" xmlDataType="decimal"/>
    </xmlCellPr>
  </singleXmlCell>
  <singleXmlCell id="1048" r="T21" connectionId="0">
    <xmlCellPr id="1" uniqueName="ns2:Team8Diff18">
      <xmlPr mapId="4" xpath="/ns2:ScoreSheet/ns2:Diff2/ns2:Team8Diff18" xmlDataType="decimal"/>
    </xmlCellPr>
  </singleXmlCell>
  <singleXmlCell id="1049" r="U21" connectionId="0">
    <xmlCellPr id="1" uniqueName="ns2:Team8Diff19">
      <xmlPr mapId="4" xpath="/ns2:ScoreSheet/ns2:Diff2/ns2:Team8Diff19" xmlDataType="decimal"/>
    </xmlCellPr>
  </singleXmlCell>
  <singleXmlCell id="1050" r="V21" connectionId="0">
    <xmlCellPr id="1" uniqueName="ns2:Team8Diff20">
      <xmlPr mapId="4" xpath="/ns2:ScoreSheet/ns2:Diff2/ns2:Team8Diff20" xmlDataType="decimal"/>
    </xmlCellPr>
  </singleXmlCell>
  <singleXmlCell id="1051" r="C20" connectionId="0">
    <xmlCellPr id="1" uniqueName="ns2:Team8Consec1">
      <xmlPr mapId="4" xpath="/ns2:ScoreSheet/ns2:Diff2/ns2:Team8Consec1" xmlDataType="string"/>
    </xmlCellPr>
  </singleXmlCell>
  <singleXmlCell id="1052" r="D20" connectionId="0">
    <xmlCellPr id="1" uniqueName="ns2:Team8Consec2">
      <xmlPr mapId="4" xpath="/ns2:ScoreSheet/ns2:Diff2/ns2:Team8Consec2" xmlDataType="string"/>
    </xmlCellPr>
  </singleXmlCell>
  <singleXmlCell id="1053" r="E20" connectionId="0">
    <xmlCellPr id="1" uniqueName="ns2:Team8Consec3">
      <xmlPr mapId="4" xpath="/ns2:ScoreSheet/ns2:Diff2/ns2:Team8Consec3" xmlDataType="string"/>
    </xmlCellPr>
  </singleXmlCell>
  <singleXmlCell id="1054" r="F20" connectionId="0">
    <xmlCellPr id="1" uniqueName="ns2:Team8Consec4">
      <xmlPr mapId="4" xpath="/ns2:ScoreSheet/ns2:Diff2/ns2:Team8Consec4" xmlDataType="string"/>
    </xmlCellPr>
  </singleXmlCell>
  <singleXmlCell id="1055" r="G20" connectionId="0">
    <xmlCellPr id="1" uniqueName="ns2:Team8Consec5">
      <xmlPr mapId="4" xpath="/ns2:ScoreSheet/ns2:Diff2/ns2:Team8Consec5" xmlDataType="string"/>
    </xmlCellPr>
  </singleXmlCell>
  <singleXmlCell id="1056" r="H20" connectionId="0">
    <xmlCellPr id="1" uniqueName="ns2:Team8Consec6">
      <xmlPr mapId="4" xpath="/ns2:ScoreSheet/ns2:Diff2/ns2:Team8Consec6" xmlDataType="string"/>
    </xmlCellPr>
  </singleXmlCell>
  <singleXmlCell id="1057" r="I20" connectionId="0">
    <xmlCellPr id="1" uniqueName="ns2:Team8Consec7">
      <xmlPr mapId="4" xpath="/ns2:ScoreSheet/ns2:Diff2/ns2:Team8Consec7" xmlDataType="string"/>
    </xmlCellPr>
  </singleXmlCell>
  <singleXmlCell id="1058" r="J20" connectionId="0">
    <xmlCellPr id="1" uniqueName="ns2:Team8Consec8">
      <xmlPr mapId="4" xpath="/ns2:ScoreSheet/ns2:Diff2/ns2:Team8Consec8" xmlDataType="string"/>
    </xmlCellPr>
  </singleXmlCell>
  <singleXmlCell id="1059" r="K20" connectionId="0">
    <xmlCellPr id="1" uniqueName="ns2:Team8Consec9">
      <xmlPr mapId="4" xpath="/ns2:ScoreSheet/ns2:Diff2/ns2:Team8Consec9" xmlDataType="string"/>
    </xmlCellPr>
  </singleXmlCell>
  <singleXmlCell id="1060" r="L20" connectionId="0">
    <xmlCellPr id="1" uniqueName="ns2:Team8Consec10">
      <xmlPr mapId="4" xpath="/ns2:ScoreSheet/ns2:Diff2/ns2:Team8Consec10" xmlDataType="string"/>
    </xmlCellPr>
  </singleXmlCell>
  <singleXmlCell id="1061" r="M20" connectionId="0">
    <xmlCellPr id="1" uniqueName="ns2:Team8Consec11">
      <xmlPr mapId="4" xpath="/ns2:ScoreSheet/ns2:Diff2/ns2:Team8Consec11" xmlDataType="string"/>
    </xmlCellPr>
  </singleXmlCell>
  <singleXmlCell id="1062" r="N20" connectionId="0">
    <xmlCellPr id="1" uniqueName="ns2:Team8Consec12">
      <xmlPr mapId="4" xpath="/ns2:ScoreSheet/ns2:Diff2/ns2:Team8Consec12" xmlDataType="string"/>
    </xmlCellPr>
  </singleXmlCell>
  <singleXmlCell id="1063" r="O20" connectionId="0">
    <xmlCellPr id="1" uniqueName="ns2:Team8Consec13">
      <xmlPr mapId="4" xpath="/ns2:ScoreSheet/ns2:Diff2/ns2:Team8Consec13" xmlDataType="string"/>
    </xmlCellPr>
  </singleXmlCell>
  <singleXmlCell id="1064" r="P20" connectionId="0">
    <xmlCellPr id="1" uniqueName="ns2:Team8Consec14">
      <xmlPr mapId="4" xpath="/ns2:ScoreSheet/ns2:Diff2/ns2:Team8Consec14" xmlDataType="string"/>
    </xmlCellPr>
  </singleXmlCell>
  <singleXmlCell id="1065" r="Q20" connectionId="0">
    <xmlCellPr id="1" uniqueName="ns2:Team8Consec15">
      <xmlPr mapId="4" xpath="/ns2:ScoreSheet/ns2:Diff2/ns2:Team8Consec15" xmlDataType="string"/>
    </xmlCellPr>
  </singleXmlCell>
  <singleXmlCell id="1066" r="R20" connectionId="0">
    <xmlCellPr id="1" uniqueName="ns2:Team8Consec16">
      <xmlPr mapId="4" xpath="/ns2:ScoreSheet/ns2:Diff2/ns2:Team8Consec16" xmlDataType="string"/>
    </xmlCellPr>
  </singleXmlCell>
  <singleXmlCell id="1067" r="S20" connectionId="0">
    <xmlCellPr id="1" uniqueName="ns2:Team8Consec17">
      <xmlPr mapId="4" xpath="/ns2:ScoreSheet/ns2:Diff2/ns2:Team8Consec17" xmlDataType="string"/>
    </xmlCellPr>
  </singleXmlCell>
  <singleXmlCell id="1068" r="T20" connectionId="0">
    <xmlCellPr id="1" uniqueName="ns2:Team8Consec18">
      <xmlPr mapId="4" xpath="/ns2:ScoreSheet/ns2:Diff2/ns2:Team8Consec18" xmlDataType="string"/>
    </xmlCellPr>
  </singleXmlCell>
  <singleXmlCell id="1069" r="U20" connectionId="0">
    <xmlCellPr id="1" uniqueName="ns2:Team8Consec19">
      <xmlPr mapId="4" xpath="/ns2:ScoreSheet/ns2:Diff2/ns2:Team8Consec19" xmlDataType="string"/>
    </xmlCellPr>
  </singleXmlCell>
  <singleXmlCell id="1070" r="V20" connectionId="0">
    <xmlCellPr id="1" uniqueName="ns2:Team8Consec20">
      <xmlPr mapId="4" xpath="/ns2:ScoreSheet/ns2:Diff2/ns2:Team8Consec20" xmlDataType="string"/>
    </xmlCellPr>
  </singleXmlCell>
  <singleXmlCell id="1071" r="C23" connectionId="0">
    <xmlCellPr id="1" uniqueName="ns2:Team9Diff1">
      <xmlPr mapId="4" xpath="/ns2:ScoreSheet/ns2:Diff2/ns2:Team9Diff1" xmlDataType="decimal"/>
    </xmlCellPr>
  </singleXmlCell>
  <singleXmlCell id="1072" r="D23" connectionId="0">
    <xmlCellPr id="1" uniqueName="ns2:Team9Diff2">
      <xmlPr mapId="4" xpath="/ns2:ScoreSheet/ns2:Diff2/ns2:Team9Diff2" xmlDataType="decimal"/>
    </xmlCellPr>
  </singleXmlCell>
  <singleXmlCell id="1073" r="E23" connectionId="0">
    <xmlCellPr id="1" uniqueName="ns2:Team9Diff3">
      <xmlPr mapId="4" xpath="/ns2:ScoreSheet/ns2:Diff2/ns2:Team9Diff3" xmlDataType="decimal"/>
    </xmlCellPr>
  </singleXmlCell>
  <singleXmlCell id="1074" r="F23" connectionId="0">
    <xmlCellPr id="1" uniqueName="ns2:Team9Diff4">
      <xmlPr mapId="4" xpath="/ns2:ScoreSheet/ns2:Diff2/ns2:Team9Diff4" xmlDataType="decimal"/>
    </xmlCellPr>
  </singleXmlCell>
  <singleXmlCell id="1075" r="G23" connectionId="0">
    <xmlCellPr id="1" uniqueName="ns2:Team9Diff5">
      <xmlPr mapId="4" xpath="/ns2:ScoreSheet/ns2:Diff2/ns2:Team9Diff5" xmlDataType="decimal"/>
    </xmlCellPr>
  </singleXmlCell>
  <singleXmlCell id="1076" r="H23" connectionId="0">
    <xmlCellPr id="1" uniqueName="ns2:Team9Diff6">
      <xmlPr mapId="4" xpath="/ns2:ScoreSheet/ns2:Diff2/ns2:Team9Diff6" xmlDataType="decimal"/>
    </xmlCellPr>
  </singleXmlCell>
  <singleXmlCell id="1077" r="I23" connectionId="0">
    <xmlCellPr id="1" uniqueName="ns2:Team9Diff7">
      <xmlPr mapId="4" xpath="/ns2:ScoreSheet/ns2:Diff2/ns2:Team9Diff7" xmlDataType="decimal"/>
    </xmlCellPr>
  </singleXmlCell>
  <singleXmlCell id="1078" r="J23" connectionId="0">
    <xmlCellPr id="1" uniqueName="ns2:Team9Diff8">
      <xmlPr mapId="4" xpath="/ns2:ScoreSheet/ns2:Diff2/ns2:Team9Diff8" xmlDataType="decimal"/>
    </xmlCellPr>
  </singleXmlCell>
  <singleXmlCell id="1079" r="K23" connectionId="0">
    <xmlCellPr id="1" uniqueName="ns2:Team9Diff9">
      <xmlPr mapId="4" xpath="/ns2:ScoreSheet/ns2:Diff2/ns2:Team9Diff9" xmlDataType="decimal"/>
    </xmlCellPr>
  </singleXmlCell>
  <singleXmlCell id="1080" r="L23" connectionId="0">
    <xmlCellPr id="1" uniqueName="ns2:Team9Diff10">
      <xmlPr mapId="4" xpath="/ns2:ScoreSheet/ns2:Diff2/ns2:Team9Diff10" xmlDataType="decimal"/>
    </xmlCellPr>
  </singleXmlCell>
  <singleXmlCell id="1081" r="M23" connectionId="0">
    <xmlCellPr id="1" uniqueName="ns2:Team9Diff11">
      <xmlPr mapId="4" xpath="/ns2:ScoreSheet/ns2:Diff2/ns2:Team9Diff11" xmlDataType="decimal"/>
    </xmlCellPr>
  </singleXmlCell>
  <singleXmlCell id="1082" r="N23" connectionId="0">
    <xmlCellPr id="1" uniqueName="ns2:Team9Diff12">
      <xmlPr mapId="4" xpath="/ns2:ScoreSheet/ns2:Diff2/ns2:Team9Diff12" xmlDataType="decimal"/>
    </xmlCellPr>
  </singleXmlCell>
  <singleXmlCell id="1083" r="O23" connectionId="0">
    <xmlCellPr id="1" uniqueName="ns2:Team9Diff13">
      <xmlPr mapId="4" xpath="/ns2:ScoreSheet/ns2:Diff2/ns2:Team9Diff13" xmlDataType="decimal"/>
    </xmlCellPr>
  </singleXmlCell>
  <singleXmlCell id="1084" r="P23" connectionId="0">
    <xmlCellPr id="1" uniqueName="ns2:Team9Diff14">
      <xmlPr mapId="4" xpath="/ns2:ScoreSheet/ns2:Diff2/ns2:Team9Diff14" xmlDataType="decimal"/>
    </xmlCellPr>
  </singleXmlCell>
  <singleXmlCell id="1085" r="Q23" connectionId="0">
    <xmlCellPr id="1" uniqueName="ns2:Team9Diff15">
      <xmlPr mapId="4" xpath="/ns2:ScoreSheet/ns2:Diff2/ns2:Team9Diff15" xmlDataType="decimal"/>
    </xmlCellPr>
  </singleXmlCell>
  <singleXmlCell id="1086" r="R23" connectionId="0">
    <xmlCellPr id="1" uniqueName="ns2:Team9Diff16">
      <xmlPr mapId="4" xpath="/ns2:ScoreSheet/ns2:Diff2/ns2:Team9Diff16" xmlDataType="decimal"/>
    </xmlCellPr>
  </singleXmlCell>
  <singleXmlCell id="1087" r="S23" connectionId="0">
    <xmlCellPr id="1" uniqueName="ns2:Team9Diff17">
      <xmlPr mapId="4" xpath="/ns2:ScoreSheet/ns2:Diff2/ns2:Team9Diff17" xmlDataType="decimal"/>
    </xmlCellPr>
  </singleXmlCell>
  <singleXmlCell id="1088" r="T23" connectionId="0">
    <xmlCellPr id="1" uniqueName="ns2:Team9Diff18">
      <xmlPr mapId="4" xpath="/ns2:ScoreSheet/ns2:Diff2/ns2:Team9Diff18" xmlDataType="decimal"/>
    </xmlCellPr>
  </singleXmlCell>
  <singleXmlCell id="1089" r="U23" connectionId="0">
    <xmlCellPr id="1" uniqueName="ns2:Team9Diff19">
      <xmlPr mapId="4" xpath="/ns2:ScoreSheet/ns2:Diff2/ns2:Team9Diff19" xmlDataType="decimal"/>
    </xmlCellPr>
  </singleXmlCell>
  <singleXmlCell id="1090" r="V23" connectionId="0">
    <xmlCellPr id="1" uniqueName="ns2:Team9Diff20">
      <xmlPr mapId="4" xpath="/ns2:ScoreSheet/ns2:Diff2/ns2:Team9Diff20" xmlDataType="decimal"/>
    </xmlCellPr>
  </singleXmlCell>
  <singleXmlCell id="1091" r="C22" connectionId="0">
    <xmlCellPr id="1" uniqueName="ns2:Team9Consec1">
      <xmlPr mapId="4" xpath="/ns2:ScoreSheet/ns2:Diff2/ns2:Team9Consec1" xmlDataType="string"/>
    </xmlCellPr>
  </singleXmlCell>
  <singleXmlCell id="1092" r="D22" connectionId="0">
    <xmlCellPr id="1" uniqueName="ns2:Team9Consec2">
      <xmlPr mapId="4" xpath="/ns2:ScoreSheet/ns2:Diff2/ns2:Team9Consec2" xmlDataType="string"/>
    </xmlCellPr>
  </singleXmlCell>
  <singleXmlCell id="1093" r="E22" connectionId="0">
    <xmlCellPr id="1" uniqueName="ns2:Team9Consec3">
      <xmlPr mapId="4" xpath="/ns2:ScoreSheet/ns2:Diff2/ns2:Team9Consec3" xmlDataType="string"/>
    </xmlCellPr>
  </singleXmlCell>
  <singleXmlCell id="1094" r="F22" connectionId="0">
    <xmlCellPr id="1" uniqueName="ns2:Team9Consec4">
      <xmlPr mapId="4" xpath="/ns2:ScoreSheet/ns2:Diff2/ns2:Team9Consec4" xmlDataType="string"/>
    </xmlCellPr>
  </singleXmlCell>
  <singleXmlCell id="1095" r="G22" connectionId="0">
    <xmlCellPr id="1" uniqueName="ns2:Team9Consec5">
      <xmlPr mapId="4" xpath="/ns2:ScoreSheet/ns2:Diff2/ns2:Team9Consec5" xmlDataType="string"/>
    </xmlCellPr>
  </singleXmlCell>
  <singleXmlCell id="1096" r="H22" connectionId="0">
    <xmlCellPr id="1" uniqueName="ns2:Team9Consec6">
      <xmlPr mapId="4" xpath="/ns2:ScoreSheet/ns2:Diff2/ns2:Team9Consec6" xmlDataType="string"/>
    </xmlCellPr>
  </singleXmlCell>
  <singleXmlCell id="1097" r="I22" connectionId="0">
    <xmlCellPr id="1" uniqueName="ns2:Team9Consec7">
      <xmlPr mapId="4" xpath="/ns2:ScoreSheet/ns2:Diff2/ns2:Team9Consec7" xmlDataType="string"/>
    </xmlCellPr>
  </singleXmlCell>
  <singleXmlCell id="1098" r="J22" connectionId="0">
    <xmlCellPr id="1" uniqueName="ns2:Team9Consec8">
      <xmlPr mapId="4" xpath="/ns2:ScoreSheet/ns2:Diff2/ns2:Team9Consec8" xmlDataType="string"/>
    </xmlCellPr>
  </singleXmlCell>
  <singleXmlCell id="1099" r="K22" connectionId="0">
    <xmlCellPr id="1" uniqueName="ns2:Team9Consec9">
      <xmlPr mapId="4" xpath="/ns2:ScoreSheet/ns2:Diff2/ns2:Team9Consec9" xmlDataType="string"/>
    </xmlCellPr>
  </singleXmlCell>
  <singleXmlCell id="1100" r="L22" connectionId="0">
    <xmlCellPr id="1" uniqueName="ns2:Team9Consec10">
      <xmlPr mapId="4" xpath="/ns2:ScoreSheet/ns2:Diff2/ns2:Team9Consec10" xmlDataType="string"/>
    </xmlCellPr>
  </singleXmlCell>
  <singleXmlCell id="1101" r="M22" connectionId="0">
    <xmlCellPr id="1" uniqueName="ns2:Team9Consec11">
      <xmlPr mapId="4" xpath="/ns2:ScoreSheet/ns2:Diff2/ns2:Team9Consec11" xmlDataType="string"/>
    </xmlCellPr>
  </singleXmlCell>
  <singleXmlCell id="1102" r="N22" connectionId="0">
    <xmlCellPr id="1" uniqueName="ns2:Team9Consec12">
      <xmlPr mapId="4" xpath="/ns2:ScoreSheet/ns2:Diff2/ns2:Team9Consec12" xmlDataType="string"/>
    </xmlCellPr>
  </singleXmlCell>
  <singleXmlCell id="1103" r="O22" connectionId="0">
    <xmlCellPr id="1" uniqueName="ns2:Team9Consec13">
      <xmlPr mapId="4" xpath="/ns2:ScoreSheet/ns2:Diff2/ns2:Team9Consec13" xmlDataType="string"/>
    </xmlCellPr>
  </singleXmlCell>
  <singleXmlCell id="1104" r="P22" connectionId="0">
    <xmlCellPr id="1" uniqueName="ns2:Team9Consec14">
      <xmlPr mapId="4" xpath="/ns2:ScoreSheet/ns2:Diff2/ns2:Team9Consec14" xmlDataType="string"/>
    </xmlCellPr>
  </singleXmlCell>
  <singleXmlCell id="1105" r="Q22" connectionId="0">
    <xmlCellPr id="1" uniqueName="ns2:Team9Consec15">
      <xmlPr mapId="4" xpath="/ns2:ScoreSheet/ns2:Diff2/ns2:Team9Consec15" xmlDataType="string"/>
    </xmlCellPr>
  </singleXmlCell>
  <singleXmlCell id="1106" r="R22" connectionId="0">
    <xmlCellPr id="1" uniqueName="ns2:Team9Consec16">
      <xmlPr mapId="4" xpath="/ns2:ScoreSheet/ns2:Diff2/ns2:Team9Consec16" xmlDataType="string"/>
    </xmlCellPr>
  </singleXmlCell>
  <singleXmlCell id="1107" r="S22" connectionId="0">
    <xmlCellPr id="1" uniqueName="ns2:Team9Consec17">
      <xmlPr mapId="4" xpath="/ns2:ScoreSheet/ns2:Diff2/ns2:Team9Consec17" xmlDataType="string"/>
    </xmlCellPr>
  </singleXmlCell>
  <singleXmlCell id="1108" r="T22" connectionId="0">
    <xmlCellPr id="1" uniqueName="ns2:Team9Consec18">
      <xmlPr mapId="4" xpath="/ns2:ScoreSheet/ns2:Diff2/ns2:Team9Consec18" xmlDataType="string"/>
    </xmlCellPr>
  </singleXmlCell>
  <singleXmlCell id="1109" r="U22" connectionId="0">
    <xmlCellPr id="1" uniqueName="ns2:Team9Consec19">
      <xmlPr mapId="4" xpath="/ns2:ScoreSheet/ns2:Diff2/ns2:Team9Consec19" xmlDataType="string"/>
    </xmlCellPr>
  </singleXmlCell>
  <singleXmlCell id="1110" r="V22" connectionId="0">
    <xmlCellPr id="1" uniqueName="ns2:Team9Consec20">
      <xmlPr mapId="4" xpath="/ns2:ScoreSheet/ns2:Diff2/ns2:Team9Consec20" xmlDataType="string"/>
    </xmlCellPr>
  </singleXmlCell>
  <singleXmlCell id="1111" r="C25" connectionId="0">
    <xmlCellPr id="1" uniqueName="ns2:Team10Diff1">
      <xmlPr mapId="4" xpath="/ns2:ScoreSheet/ns2:Diff2/ns2:Team10Diff1" xmlDataType="decimal"/>
    </xmlCellPr>
  </singleXmlCell>
  <singleXmlCell id="1112" r="D25" connectionId="0">
    <xmlCellPr id="1" uniqueName="ns2:Team10Diff2">
      <xmlPr mapId="4" xpath="/ns2:ScoreSheet/ns2:Diff2/ns2:Team10Diff2" xmlDataType="decimal"/>
    </xmlCellPr>
  </singleXmlCell>
  <singleXmlCell id="1113" r="E25" connectionId="0">
    <xmlCellPr id="1" uniqueName="ns2:Team10Diff3">
      <xmlPr mapId="4" xpath="/ns2:ScoreSheet/ns2:Diff2/ns2:Team10Diff3" xmlDataType="decimal"/>
    </xmlCellPr>
  </singleXmlCell>
  <singleXmlCell id="1114" r="F25" connectionId="0">
    <xmlCellPr id="1" uniqueName="ns2:Team10Diff4">
      <xmlPr mapId="4" xpath="/ns2:ScoreSheet/ns2:Diff2/ns2:Team10Diff4" xmlDataType="decimal"/>
    </xmlCellPr>
  </singleXmlCell>
  <singleXmlCell id="1115" r="G25" connectionId="0">
    <xmlCellPr id="1" uniqueName="ns2:Team10Diff5">
      <xmlPr mapId="4" xpath="/ns2:ScoreSheet/ns2:Diff2/ns2:Team10Diff5" xmlDataType="decimal"/>
    </xmlCellPr>
  </singleXmlCell>
  <singleXmlCell id="1116" r="H25" connectionId="0">
    <xmlCellPr id="1" uniqueName="ns2:Team10Diff6">
      <xmlPr mapId="4" xpath="/ns2:ScoreSheet/ns2:Diff2/ns2:Team10Diff6" xmlDataType="decimal"/>
    </xmlCellPr>
  </singleXmlCell>
  <singleXmlCell id="1117" r="I25" connectionId="0">
    <xmlCellPr id="1" uniqueName="ns2:Team10Diff7">
      <xmlPr mapId="4" xpath="/ns2:ScoreSheet/ns2:Diff2/ns2:Team10Diff7" xmlDataType="decimal"/>
    </xmlCellPr>
  </singleXmlCell>
  <singleXmlCell id="1118" r="J25" connectionId="0">
    <xmlCellPr id="1" uniqueName="ns2:Team10Diff8">
      <xmlPr mapId="4" xpath="/ns2:ScoreSheet/ns2:Diff2/ns2:Team10Diff8" xmlDataType="decimal"/>
    </xmlCellPr>
  </singleXmlCell>
  <singleXmlCell id="1119" r="K25" connectionId="0">
    <xmlCellPr id="1" uniqueName="ns2:Team10Diff9">
      <xmlPr mapId="4" xpath="/ns2:ScoreSheet/ns2:Diff2/ns2:Team10Diff9" xmlDataType="decimal"/>
    </xmlCellPr>
  </singleXmlCell>
  <singleXmlCell id="1120" r="L25" connectionId="0">
    <xmlCellPr id="1" uniqueName="ns2:Team10Diff10">
      <xmlPr mapId="4" xpath="/ns2:ScoreSheet/ns2:Diff2/ns2:Team10Diff10" xmlDataType="decimal"/>
    </xmlCellPr>
  </singleXmlCell>
  <singleXmlCell id="1121" r="M25" connectionId="0">
    <xmlCellPr id="1" uniqueName="ns2:Team10Diff11">
      <xmlPr mapId="4" xpath="/ns2:ScoreSheet/ns2:Diff2/ns2:Team10Diff11" xmlDataType="decimal"/>
    </xmlCellPr>
  </singleXmlCell>
  <singleXmlCell id="1122" r="N25" connectionId="0">
    <xmlCellPr id="1" uniqueName="ns2:Team10Diff12">
      <xmlPr mapId="4" xpath="/ns2:ScoreSheet/ns2:Diff2/ns2:Team10Diff12" xmlDataType="decimal"/>
    </xmlCellPr>
  </singleXmlCell>
  <singleXmlCell id="1123" r="O25" connectionId="0">
    <xmlCellPr id="1" uniqueName="ns2:Team10Diff13">
      <xmlPr mapId="4" xpath="/ns2:ScoreSheet/ns2:Diff2/ns2:Team10Diff13" xmlDataType="decimal"/>
    </xmlCellPr>
  </singleXmlCell>
  <singleXmlCell id="1124" r="P25" connectionId="0">
    <xmlCellPr id="1" uniqueName="ns2:Team10Diff14">
      <xmlPr mapId="4" xpath="/ns2:ScoreSheet/ns2:Diff2/ns2:Team10Diff14" xmlDataType="decimal"/>
    </xmlCellPr>
  </singleXmlCell>
  <singleXmlCell id="1125" r="Q25" connectionId="0">
    <xmlCellPr id="1" uniqueName="ns2:Team10Diff15">
      <xmlPr mapId="4" xpath="/ns2:ScoreSheet/ns2:Diff2/ns2:Team10Diff15" xmlDataType="decimal"/>
    </xmlCellPr>
  </singleXmlCell>
  <singleXmlCell id="1126" r="R25" connectionId="0">
    <xmlCellPr id="1" uniqueName="ns2:Team10Diff16">
      <xmlPr mapId="4" xpath="/ns2:ScoreSheet/ns2:Diff2/ns2:Team10Diff16" xmlDataType="decimal"/>
    </xmlCellPr>
  </singleXmlCell>
  <singleXmlCell id="1127" r="S25" connectionId="0">
    <xmlCellPr id="1" uniqueName="ns2:Team10Diff17">
      <xmlPr mapId="4" xpath="/ns2:ScoreSheet/ns2:Diff2/ns2:Team10Diff17" xmlDataType="decimal"/>
    </xmlCellPr>
  </singleXmlCell>
  <singleXmlCell id="1128" r="T25" connectionId="0">
    <xmlCellPr id="1" uniqueName="ns2:Team10Diff18">
      <xmlPr mapId="4" xpath="/ns2:ScoreSheet/ns2:Diff2/ns2:Team10Diff18" xmlDataType="decimal"/>
    </xmlCellPr>
  </singleXmlCell>
  <singleXmlCell id="1129" r="U25" connectionId="0">
    <xmlCellPr id="1" uniqueName="ns2:Team10Diff19">
      <xmlPr mapId="4" xpath="/ns2:ScoreSheet/ns2:Diff2/ns2:Team10Diff19" xmlDataType="decimal"/>
    </xmlCellPr>
  </singleXmlCell>
  <singleXmlCell id="1130" r="V25" connectionId="0">
    <xmlCellPr id="1" uniqueName="ns2:Team10Diff20">
      <xmlPr mapId="4" xpath="/ns2:ScoreSheet/ns2:Diff2/ns2:Team10Diff20" xmlDataType="decimal"/>
    </xmlCellPr>
  </singleXmlCell>
  <singleXmlCell id="1131" r="C24" connectionId="0">
    <xmlCellPr id="1" uniqueName="ns2:Team10Consec1">
      <xmlPr mapId="4" xpath="/ns2:ScoreSheet/ns2:Diff2/ns2:Team10Consec1" xmlDataType="string"/>
    </xmlCellPr>
  </singleXmlCell>
  <singleXmlCell id="1132" r="D24" connectionId="0">
    <xmlCellPr id="1" uniqueName="ns2:Team10Consec2">
      <xmlPr mapId="4" xpath="/ns2:ScoreSheet/ns2:Diff2/ns2:Team10Consec2" xmlDataType="string"/>
    </xmlCellPr>
  </singleXmlCell>
  <singleXmlCell id="1133" r="E24" connectionId="0">
    <xmlCellPr id="1" uniqueName="ns2:Team10Consec3">
      <xmlPr mapId="4" xpath="/ns2:ScoreSheet/ns2:Diff2/ns2:Team10Consec3" xmlDataType="string"/>
    </xmlCellPr>
  </singleXmlCell>
  <singleXmlCell id="1134" r="F24" connectionId="0">
    <xmlCellPr id="1" uniqueName="ns2:Team10Consec4">
      <xmlPr mapId="4" xpath="/ns2:ScoreSheet/ns2:Diff2/ns2:Team10Consec4" xmlDataType="string"/>
    </xmlCellPr>
  </singleXmlCell>
  <singleXmlCell id="1135" r="G24" connectionId="0">
    <xmlCellPr id="1" uniqueName="ns2:Team10Consec5">
      <xmlPr mapId="4" xpath="/ns2:ScoreSheet/ns2:Diff2/ns2:Team10Consec5" xmlDataType="string"/>
    </xmlCellPr>
  </singleXmlCell>
  <singleXmlCell id="1136" r="H24" connectionId="0">
    <xmlCellPr id="1" uniqueName="ns2:Team10Consec6">
      <xmlPr mapId="4" xpath="/ns2:ScoreSheet/ns2:Diff2/ns2:Team10Consec6" xmlDataType="string"/>
    </xmlCellPr>
  </singleXmlCell>
  <singleXmlCell id="1137" r="I24" connectionId="0">
    <xmlCellPr id="1" uniqueName="ns2:Team10Consec7">
      <xmlPr mapId="4" xpath="/ns2:ScoreSheet/ns2:Diff2/ns2:Team10Consec7" xmlDataType="string"/>
    </xmlCellPr>
  </singleXmlCell>
  <singleXmlCell id="1138" r="J24" connectionId="0">
    <xmlCellPr id="1" uniqueName="ns2:Team10Consec8">
      <xmlPr mapId="4" xpath="/ns2:ScoreSheet/ns2:Diff2/ns2:Team10Consec8" xmlDataType="string"/>
    </xmlCellPr>
  </singleXmlCell>
  <singleXmlCell id="1139" r="K24" connectionId="0">
    <xmlCellPr id="1" uniqueName="ns2:Team10Consec9">
      <xmlPr mapId="4" xpath="/ns2:ScoreSheet/ns2:Diff2/ns2:Team10Consec9" xmlDataType="string"/>
    </xmlCellPr>
  </singleXmlCell>
  <singleXmlCell id="1140" r="L24" connectionId="0">
    <xmlCellPr id="1" uniqueName="ns2:Team10Consec10">
      <xmlPr mapId="4" xpath="/ns2:ScoreSheet/ns2:Diff2/ns2:Team10Consec10" xmlDataType="string"/>
    </xmlCellPr>
  </singleXmlCell>
  <singleXmlCell id="1141" r="M24" connectionId="0">
    <xmlCellPr id="1" uniqueName="ns2:Team10Consec11">
      <xmlPr mapId="4" xpath="/ns2:ScoreSheet/ns2:Diff2/ns2:Team10Consec11" xmlDataType="string"/>
    </xmlCellPr>
  </singleXmlCell>
  <singleXmlCell id="1142" r="N24" connectionId="0">
    <xmlCellPr id="1" uniqueName="ns2:Team10Consec12">
      <xmlPr mapId="4" xpath="/ns2:ScoreSheet/ns2:Diff2/ns2:Team10Consec12" xmlDataType="string"/>
    </xmlCellPr>
  </singleXmlCell>
  <singleXmlCell id="1143" r="O24" connectionId="0">
    <xmlCellPr id="1" uniqueName="ns2:Team10Consec13">
      <xmlPr mapId="4" xpath="/ns2:ScoreSheet/ns2:Diff2/ns2:Team10Consec13" xmlDataType="string"/>
    </xmlCellPr>
  </singleXmlCell>
  <singleXmlCell id="1144" r="P24" connectionId="0">
    <xmlCellPr id="1" uniqueName="ns2:Team10Consec14">
      <xmlPr mapId="4" xpath="/ns2:ScoreSheet/ns2:Diff2/ns2:Team10Consec14" xmlDataType="string"/>
    </xmlCellPr>
  </singleXmlCell>
  <singleXmlCell id="1145" r="Q24" connectionId="0">
    <xmlCellPr id="1" uniqueName="ns2:Team10Consec15">
      <xmlPr mapId="4" xpath="/ns2:ScoreSheet/ns2:Diff2/ns2:Team10Consec15" xmlDataType="string"/>
    </xmlCellPr>
  </singleXmlCell>
  <singleXmlCell id="1146" r="R24" connectionId="0">
    <xmlCellPr id="1" uniqueName="ns2:Team10Consec16">
      <xmlPr mapId="4" xpath="/ns2:ScoreSheet/ns2:Diff2/ns2:Team10Consec16" xmlDataType="string"/>
    </xmlCellPr>
  </singleXmlCell>
  <singleXmlCell id="1147" r="S24" connectionId="0">
    <xmlCellPr id="1" uniqueName="ns2:Team10Consec17">
      <xmlPr mapId="4" xpath="/ns2:ScoreSheet/ns2:Diff2/ns2:Team10Consec17" xmlDataType="string"/>
    </xmlCellPr>
  </singleXmlCell>
  <singleXmlCell id="1148" r="T24" connectionId="0">
    <xmlCellPr id="1" uniqueName="ns2:Team10Consec18">
      <xmlPr mapId="4" xpath="/ns2:ScoreSheet/ns2:Diff2/ns2:Team10Consec18" xmlDataType="string"/>
    </xmlCellPr>
  </singleXmlCell>
  <singleXmlCell id="1149" r="U24" connectionId="0">
    <xmlCellPr id="1" uniqueName="ns2:Team10Consec19">
      <xmlPr mapId="4" xpath="/ns2:ScoreSheet/ns2:Diff2/ns2:Team10Consec19" xmlDataType="string"/>
    </xmlCellPr>
  </singleXmlCell>
  <singleXmlCell id="1150" r="V24" connectionId="0">
    <xmlCellPr id="1" uniqueName="ns2:Team10Consec20">
      <xmlPr mapId="4" xpath="/ns2:ScoreSheet/ns2:Diff2/ns2:Team10Consec20" xmlDataType="string"/>
    </xmlCellPr>
  </singleXmlCell>
</singleXmlCells>
</file>

<file path=xl/tables/tableSingleCells10.xml><?xml version="1.0" encoding="utf-8"?>
<singleXmlCells xmlns="http://schemas.openxmlformats.org/spreadsheetml/2006/main">
  <singleXmlCell id="1151" r="C7" connectionId="0">
    <xmlCellPr id="1" uniqueName="ns2:Team1Diff1">
      <xmlPr mapId="4" xpath="/ns2:ScoreSheet/ns2:Diff3/ns2:Team1Diff1" xmlDataType="decimal"/>
    </xmlCellPr>
  </singleXmlCell>
  <singleXmlCell id="1152" r="D7" connectionId="0">
    <xmlCellPr id="1" uniqueName="ns2:Team1Diff2">
      <xmlPr mapId="4" xpath="/ns2:ScoreSheet/ns2:Diff3/ns2:Team1Diff2" xmlDataType="decimal"/>
    </xmlCellPr>
  </singleXmlCell>
  <singleXmlCell id="1153" r="E7" connectionId="0">
    <xmlCellPr id="1" uniqueName="ns2:Team1Diff3">
      <xmlPr mapId="4" xpath="/ns2:ScoreSheet/ns2:Diff3/ns2:Team1Diff3" xmlDataType="decimal"/>
    </xmlCellPr>
  </singleXmlCell>
  <singleXmlCell id="1154" r="F7" connectionId="0">
    <xmlCellPr id="1" uniqueName="ns2:Team1Diff4">
      <xmlPr mapId="4" xpath="/ns2:ScoreSheet/ns2:Diff3/ns2:Team1Diff4" xmlDataType="decimal"/>
    </xmlCellPr>
  </singleXmlCell>
  <singleXmlCell id="1155" r="G7" connectionId="0">
    <xmlCellPr id="1" uniqueName="ns2:Team1Diff5">
      <xmlPr mapId="4" xpath="/ns2:ScoreSheet/ns2:Diff3/ns2:Team1Diff5" xmlDataType="decimal"/>
    </xmlCellPr>
  </singleXmlCell>
  <singleXmlCell id="1156" r="H7" connectionId="0">
    <xmlCellPr id="1" uniqueName="ns2:Team1Diff6">
      <xmlPr mapId="4" xpath="/ns2:ScoreSheet/ns2:Diff3/ns2:Team1Diff6" xmlDataType="decimal"/>
    </xmlCellPr>
  </singleXmlCell>
  <singleXmlCell id="1157" r="I7" connectionId="0">
    <xmlCellPr id="1" uniqueName="ns2:Team1Diff7">
      <xmlPr mapId="4" xpath="/ns2:ScoreSheet/ns2:Diff3/ns2:Team1Diff7" xmlDataType="decimal"/>
    </xmlCellPr>
  </singleXmlCell>
  <singleXmlCell id="1158" r="J7" connectionId="0">
    <xmlCellPr id="1" uniqueName="ns2:Team1Diff8">
      <xmlPr mapId="4" xpath="/ns2:ScoreSheet/ns2:Diff3/ns2:Team1Diff8" xmlDataType="decimal"/>
    </xmlCellPr>
  </singleXmlCell>
  <singleXmlCell id="1159" r="K7" connectionId="0">
    <xmlCellPr id="1" uniqueName="ns2:Team1Diff9">
      <xmlPr mapId="4" xpath="/ns2:ScoreSheet/ns2:Diff3/ns2:Team1Diff9" xmlDataType="decimal"/>
    </xmlCellPr>
  </singleXmlCell>
  <singleXmlCell id="1160" r="L7" connectionId="0">
    <xmlCellPr id="1" uniqueName="ns2:Team1Diff10">
      <xmlPr mapId="4" xpath="/ns2:ScoreSheet/ns2:Diff3/ns2:Team1Diff10" xmlDataType="decimal"/>
    </xmlCellPr>
  </singleXmlCell>
  <singleXmlCell id="1161" r="M7" connectionId="0">
    <xmlCellPr id="1" uniqueName="ns2:Team1Diff11">
      <xmlPr mapId="4" xpath="/ns2:ScoreSheet/ns2:Diff3/ns2:Team1Diff11" xmlDataType="decimal"/>
    </xmlCellPr>
  </singleXmlCell>
  <singleXmlCell id="1162" r="N7" connectionId="0">
    <xmlCellPr id="1" uniqueName="ns2:Team1Diff12">
      <xmlPr mapId="4" xpath="/ns2:ScoreSheet/ns2:Diff3/ns2:Team1Diff12" xmlDataType="decimal"/>
    </xmlCellPr>
  </singleXmlCell>
  <singleXmlCell id="1163" r="O7" connectionId="0">
    <xmlCellPr id="1" uniqueName="ns2:Team1Diff13">
      <xmlPr mapId="4" xpath="/ns2:ScoreSheet/ns2:Diff3/ns2:Team1Diff13" xmlDataType="decimal"/>
    </xmlCellPr>
  </singleXmlCell>
  <singleXmlCell id="1164" r="P7" connectionId="0">
    <xmlCellPr id="1" uniqueName="ns2:Team1Diff14">
      <xmlPr mapId="4" xpath="/ns2:ScoreSheet/ns2:Diff3/ns2:Team1Diff14" xmlDataType="decimal"/>
    </xmlCellPr>
  </singleXmlCell>
  <singleXmlCell id="1165" r="Q7" connectionId="0">
    <xmlCellPr id="1" uniqueName="ns2:Team1Diff15">
      <xmlPr mapId="4" xpath="/ns2:ScoreSheet/ns2:Diff3/ns2:Team1Diff15" xmlDataType="decimal"/>
    </xmlCellPr>
  </singleXmlCell>
  <singleXmlCell id="1166" r="R7" connectionId="0">
    <xmlCellPr id="1" uniqueName="ns2:Team1Diff16">
      <xmlPr mapId="4" xpath="/ns2:ScoreSheet/ns2:Diff3/ns2:Team1Diff16" xmlDataType="decimal"/>
    </xmlCellPr>
  </singleXmlCell>
  <singleXmlCell id="1167" r="S7" connectionId="0">
    <xmlCellPr id="1" uniqueName="ns2:Team1Diff17">
      <xmlPr mapId="4" xpath="/ns2:ScoreSheet/ns2:Diff3/ns2:Team1Diff17" xmlDataType="decimal"/>
    </xmlCellPr>
  </singleXmlCell>
  <singleXmlCell id="1168" r="T7" connectionId="0">
    <xmlCellPr id="1" uniqueName="ns2:Team1Diff18">
      <xmlPr mapId="4" xpath="/ns2:ScoreSheet/ns2:Diff3/ns2:Team1Diff18" xmlDataType="decimal"/>
    </xmlCellPr>
  </singleXmlCell>
  <singleXmlCell id="1169" r="U7" connectionId="0">
    <xmlCellPr id="1" uniqueName="ns2:Team1Diff19">
      <xmlPr mapId="4" xpath="/ns2:ScoreSheet/ns2:Diff3/ns2:Team1Diff19" xmlDataType="decimal"/>
    </xmlCellPr>
  </singleXmlCell>
  <singleXmlCell id="1170" r="V7" connectionId="0">
    <xmlCellPr id="1" uniqueName="ns2:Team1Diff20">
      <xmlPr mapId="4" xpath="/ns2:ScoreSheet/ns2:Diff3/ns2:Team1Diff20" xmlDataType="decimal"/>
    </xmlCellPr>
  </singleXmlCell>
  <singleXmlCell id="1171" r="C6" connectionId="0">
    <xmlCellPr id="1" uniqueName="ns2:Team1Consec1">
      <xmlPr mapId="4" xpath="/ns2:ScoreSheet/ns2:Diff3/ns2:Team1Consec1" xmlDataType="string"/>
    </xmlCellPr>
  </singleXmlCell>
  <singleXmlCell id="1172" r="D6" connectionId="0">
    <xmlCellPr id="1" uniqueName="ns2:Team1Consec2">
      <xmlPr mapId="4" xpath="/ns2:ScoreSheet/ns2:Diff3/ns2:Team1Consec2" xmlDataType="string"/>
    </xmlCellPr>
  </singleXmlCell>
  <singleXmlCell id="1173" r="E6" connectionId="0">
    <xmlCellPr id="1" uniqueName="ns2:Team1Consec3">
      <xmlPr mapId="4" xpath="/ns2:ScoreSheet/ns2:Diff3/ns2:Team1Consec3" xmlDataType="string"/>
    </xmlCellPr>
  </singleXmlCell>
  <singleXmlCell id="1174" r="F6" connectionId="0">
    <xmlCellPr id="1" uniqueName="ns2:Team1Consec4">
      <xmlPr mapId="4" xpath="/ns2:ScoreSheet/ns2:Diff3/ns2:Team1Consec4" xmlDataType="string"/>
    </xmlCellPr>
  </singleXmlCell>
  <singleXmlCell id="1175" r="G6" connectionId="0">
    <xmlCellPr id="1" uniqueName="ns2:Team1Consec5">
      <xmlPr mapId="4" xpath="/ns2:ScoreSheet/ns2:Diff3/ns2:Team1Consec5" xmlDataType="string"/>
    </xmlCellPr>
  </singleXmlCell>
  <singleXmlCell id="1176" r="H6" connectionId="0">
    <xmlCellPr id="1" uniqueName="ns2:Team1Consec6">
      <xmlPr mapId="4" xpath="/ns2:ScoreSheet/ns2:Diff3/ns2:Team1Consec6" xmlDataType="string"/>
    </xmlCellPr>
  </singleXmlCell>
  <singleXmlCell id="1177" r="I6" connectionId="0">
    <xmlCellPr id="1" uniqueName="ns2:Team1Consec7">
      <xmlPr mapId="4" xpath="/ns2:ScoreSheet/ns2:Diff3/ns2:Team1Consec7" xmlDataType="string"/>
    </xmlCellPr>
  </singleXmlCell>
  <singleXmlCell id="1178" r="J6" connectionId="0">
    <xmlCellPr id="1" uniqueName="ns2:Team1Consec8">
      <xmlPr mapId="4" xpath="/ns2:ScoreSheet/ns2:Diff3/ns2:Team1Consec8" xmlDataType="string"/>
    </xmlCellPr>
  </singleXmlCell>
  <singleXmlCell id="1179" r="K6" connectionId="0">
    <xmlCellPr id="1" uniqueName="ns2:Team1Consec9">
      <xmlPr mapId="4" xpath="/ns2:ScoreSheet/ns2:Diff3/ns2:Team1Consec9" xmlDataType="string"/>
    </xmlCellPr>
  </singleXmlCell>
  <singleXmlCell id="1180" r="L6" connectionId="0">
    <xmlCellPr id="1" uniqueName="ns2:Team1Consec10">
      <xmlPr mapId="4" xpath="/ns2:ScoreSheet/ns2:Diff3/ns2:Team1Consec10" xmlDataType="string"/>
    </xmlCellPr>
  </singleXmlCell>
  <singleXmlCell id="1181" r="M6" connectionId="0">
    <xmlCellPr id="1" uniqueName="ns2:Team1Consec11">
      <xmlPr mapId="4" xpath="/ns2:ScoreSheet/ns2:Diff3/ns2:Team1Consec11" xmlDataType="string"/>
    </xmlCellPr>
  </singleXmlCell>
  <singleXmlCell id="1182" r="N6" connectionId="0">
    <xmlCellPr id="1" uniqueName="ns2:Team1Consec12">
      <xmlPr mapId="4" xpath="/ns2:ScoreSheet/ns2:Diff3/ns2:Team1Consec12" xmlDataType="string"/>
    </xmlCellPr>
  </singleXmlCell>
  <singleXmlCell id="1183" r="O6" connectionId="0">
    <xmlCellPr id="1" uniqueName="ns2:Team1Consec13">
      <xmlPr mapId="4" xpath="/ns2:ScoreSheet/ns2:Diff3/ns2:Team1Consec13" xmlDataType="string"/>
    </xmlCellPr>
  </singleXmlCell>
  <singleXmlCell id="1184" r="P6" connectionId="0">
    <xmlCellPr id="1" uniqueName="ns2:Team1Consec14">
      <xmlPr mapId="4" xpath="/ns2:ScoreSheet/ns2:Diff3/ns2:Team1Consec14" xmlDataType="string"/>
    </xmlCellPr>
  </singleXmlCell>
  <singleXmlCell id="1185" r="Q6" connectionId="0">
    <xmlCellPr id="1" uniqueName="ns2:Team1Consec15">
      <xmlPr mapId="4" xpath="/ns2:ScoreSheet/ns2:Diff3/ns2:Team1Consec15" xmlDataType="string"/>
    </xmlCellPr>
  </singleXmlCell>
  <singleXmlCell id="1186" r="R6" connectionId="0">
    <xmlCellPr id="1" uniqueName="ns2:Team1Consec16">
      <xmlPr mapId="4" xpath="/ns2:ScoreSheet/ns2:Diff3/ns2:Team1Consec16" xmlDataType="string"/>
    </xmlCellPr>
  </singleXmlCell>
  <singleXmlCell id="1187" r="S6" connectionId="0">
    <xmlCellPr id="1" uniqueName="ns2:Team1Consec17">
      <xmlPr mapId="4" xpath="/ns2:ScoreSheet/ns2:Diff3/ns2:Team1Consec17" xmlDataType="string"/>
    </xmlCellPr>
  </singleXmlCell>
  <singleXmlCell id="1188" r="T6" connectionId="0">
    <xmlCellPr id="1" uniqueName="ns2:Team1Consec18">
      <xmlPr mapId="4" xpath="/ns2:ScoreSheet/ns2:Diff3/ns2:Team1Consec18" xmlDataType="string"/>
    </xmlCellPr>
  </singleXmlCell>
  <singleXmlCell id="1189" r="U6" connectionId="0">
    <xmlCellPr id="1" uniqueName="ns2:Team1Consec19">
      <xmlPr mapId="4" xpath="/ns2:ScoreSheet/ns2:Diff3/ns2:Team1Consec19" xmlDataType="string"/>
    </xmlCellPr>
  </singleXmlCell>
  <singleXmlCell id="1190" r="V6" connectionId="0">
    <xmlCellPr id="1" uniqueName="ns2:Team1Consec20">
      <xmlPr mapId="4" xpath="/ns2:ScoreSheet/ns2:Diff3/ns2:Team1Consec20" xmlDataType="string"/>
    </xmlCellPr>
  </singleXmlCell>
  <singleXmlCell id="1191" r="C9" connectionId="0">
    <xmlCellPr id="1" uniqueName="ns2:Team2Diff1">
      <xmlPr mapId="4" xpath="/ns2:ScoreSheet/ns2:Diff3/ns2:Team2Diff1" xmlDataType="decimal"/>
    </xmlCellPr>
  </singleXmlCell>
  <singleXmlCell id="1192" r="D9" connectionId="0">
    <xmlCellPr id="1" uniqueName="ns2:Team2Diff2">
      <xmlPr mapId="4" xpath="/ns2:ScoreSheet/ns2:Diff3/ns2:Team2Diff2" xmlDataType="decimal"/>
    </xmlCellPr>
  </singleXmlCell>
  <singleXmlCell id="1193" r="E9" connectionId="0">
    <xmlCellPr id="1" uniqueName="ns2:Team2Diff3">
      <xmlPr mapId="4" xpath="/ns2:ScoreSheet/ns2:Diff3/ns2:Team2Diff3" xmlDataType="decimal"/>
    </xmlCellPr>
  </singleXmlCell>
  <singleXmlCell id="1194" r="F9" connectionId="0">
    <xmlCellPr id="1" uniqueName="ns2:Team2Diff4">
      <xmlPr mapId="4" xpath="/ns2:ScoreSheet/ns2:Diff3/ns2:Team2Diff4" xmlDataType="decimal"/>
    </xmlCellPr>
  </singleXmlCell>
  <singleXmlCell id="1195" r="G9" connectionId="0">
    <xmlCellPr id="1" uniqueName="ns2:Team2Diff5">
      <xmlPr mapId="4" xpath="/ns2:ScoreSheet/ns2:Diff3/ns2:Team2Diff5" xmlDataType="decimal"/>
    </xmlCellPr>
  </singleXmlCell>
  <singleXmlCell id="1196" r="H9" connectionId="0">
    <xmlCellPr id="1" uniqueName="ns2:Team2Diff6">
      <xmlPr mapId="4" xpath="/ns2:ScoreSheet/ns2:Diff3/ns2:Team2Diff6" xmlDataType="decimal"/>
    </xmlCellPr>
  </singleXmlCell>
  <singleXmlCell id="1197" r="I9" connectionId="0">
    <xmlCellPr id="1" uniqueName="ns2:Team2Diff7">
      <xmlPr mapId="4" xpath="/ns2:ScoreSheet/ns2:Diff3/ns2:Team2Diff7" xmlDataType="decimal"/>
    </xmlCellPr>
  </singleXmlCell>
  <singleXmlCell id="1198" r="J9" connectionId="0">
    <xmlCellPr id="1" uniqueName="ns2:Team2Diff8">
      <xmlPr mapId="4" xpath="/ns2:ScoreSheet/ns2:Diff3/ns2:Team2Diff8" xmlDataType="decimal"/>
    </xmlCellPr>
  </singleXmlCell>
  <singleXmlCell id="1199" r="K9" connectionId="0">
    <xmlCellPr id="1" uniqueName="ns2:Team2Diff9">
      <xmlPr mapId="4" xpath="/ns2:ScoreSheet/ns2:Diff3/ns2:Team2Diff9" xmlDataType="decimal"/>
    </xmlCellPr>
  </singleXmlCell>
  <singleXmlCell id="1200" r="L9" connectionId="0">
    <xmlCellPr id="1" uniqueName="ns2:Team2Diff10">
      <xmlPr mapId="4" xpath="/ns2:ScoreSheet/ns2:Diff3/ns2:Team2Diff10" xmlDataType="decimal"/>
    </xmlCellPr>
  </singleXmlCell>
  <singleXmlCell id="1201" r="M9" connectionId="0">
    <xmlCellPr id="1" uniqueName="ns2:Team2Diff11">
      <xmlPr mapId="4" xpath="/ns2:ScoreSheet/ns2:Diff3/ns2:Team2Diff11" xmlDataType="decimal"/>
    </xmlCellPr>
  </singleXmlCell>
  <singleXmlCell id="1202" r="N9" connectionId="0">
    <xmlCellPr id="1" uniqueName="ns2:Team2Diff12">
      <xmlPr mapId="4" xpath="/ns2:ScoreSheet/ns2:Diff3/ns2:Team2Diff12" xmlDataType="decimal"/>
    </xmlCellPr>
  </singleXmlCell>
  <singleXmlCell id="1203" r="O9" connectionId="0">
    <xmlCellPr id="1" uniqueName="ns2:Team2Diff13">
      <xmlPr mapId="4" xpath="/ns2:ScoreSheet/ns2:Diff3/ns2:Team2Diff13" xmlDataType="decimal"/>
    </xmlCellPr>
  </singleXmlCell>
  <singleXmlCell id="1204" r="P9" connectionId="0">
    <xmlCellPr id="1" uniqueName="ns2:Team2Diff14">
      <xmlPr mapId="4" xpath="/ns2:ScoreSheet/ns2:Diff3/ns2:Team2Diff14" xmlDataType="decimal"/>
    </xmlCellPr>
  </singleXmlCell>
  <singleXmlCell id="1205" r="Q9" connectionId="0">
    <xmlCellPr id="1" uniqueName="ns2:Team2Diff15">
      <xmlPr mapId="4" xpath="/ns2:ScoreSheet/ns2:Diff3/ns2:Team2Diff15" xmlDataType="decimal"/>
    </xmlCellPr>
  </singleXmlCell>
  <singleXmlCell id="1206" r="R9" connectionId="0">
    <xmlCellPr id="1" uniqueName="ns2:Team2Diff16">
      <xmlPr mapId="4" xpath="/ns2:ScoreSheet/ns2:Diff3/ns2:Team2Diff16" xmlDataType="decimal"/>
    </xmlCellPr>
  </singleXmlCell>
  <singleXmlCell id="1207" r="S9" connectionId="0">
    <xmlCellPr id="1" uniqueName="ns2:Team2Diff17">
      <xmlPr mapId="4" xpath="/ns2:ScoreSheet/ns2:Diff3/ns2:Team2Diff17" xmlDataType="decimal"/>
    </xmlCellPr>
  </singleXmlCell>
  <singleXmlCell id="1208" r="T9" connectionId="0">
    <xmlCellPr id="1" uniqueName="ns2:Team2Diff18">
      <xmlPr mapId="4" xpath="/ns2:ScoreSheet/ns2:Diff3/ns2:Team2Diff18" xmlDataType="decimal"/>
    </xmlCellPr>
  </singleXmlCell>
  <singleXmlCell id="1209" r="U9" connectionId="0">
    <xmlCellPr id="1" uniqueName="ns2:Team2Diff19">
      <xmlPr mapId="4" xpath="/ns2:ScoreSheet/ns2:Diff3/ns2:Team2Diff19" xmlDataType="decimal"/>
    </xmlCellPr>
  </singleXmlCell>
  <singleXmlCell id="1210" r="V9" connectionId="0">
    <xmlCellPr id="1" uniqueName="ns2:Team2Diff20">
      <xmlPr mapId="4" xpath="/ns2:ScoreSheet/ns2:Diff3/ns2:Team2Diff20" xmlDataType="decimal"/>
    </xmlCellPr>
  </singleXmlCell>
  <singleXmlCell id="1211" r="C8" connectionId="0">
    <xmlCellPr id="1" uniqueName="ns2:Team2Consec1">
      <xmlPr mapId="4" xpath="/ns2:ScoreSheet/ns2:Diff3/ns2:Team2Consec1" xmlDataType="string"/>
    </xmlCellPr>
  </singleXmlCell>
  <singleXmlCell id="1212" r="D8" connectionId="0">
    <xmlCellPr id="1" uniqueName="ns2:Team2Consec2">
      <xmlPr mapId="4" xpath="/ns2:ScoreSheet/ns2:Diff3/ns2:Team2Consec2" xmlDataType="string"/>
    </xmlCellPr>
  </singleXmlCell>
  <singleXmlCell id="1213" r="E8" connectionId="0">
    <xmlCellPr id="1" uniqueName="ns2:Team2Consec3">
      <xmlPr mapId="4" xpath="/ns2:ScoreSheet/ns2:Diff3/ns2:Team2Consec3" xmlDataType="string"/>
    </xmlCellPr>
  </singleXmlCell>
  <singleXmlCell id="1214" r="F8" connectionId="0">
    <xmlCellPr id="1" uniqueName="ns2:Team2Consec4">
      <xmlPr mapId="4" xpath="/ns2:ScoreSheet/ns2:Diff3/ns2:Team2Consec4" xmlDataType="string"/>
    </xmlCellPr>
  </singleXmlCell>
  <singleXmlCell id="1215" r="G8" connectionId="0">
    <xmlCellPr id="1" uniqueName="ns2:Team2Consec5">
      <xmlPr mapId="4" xpath="/ns2:ScoreSheet/ns2:Diff3/ns2:Team2Consec5" xmlDataType="string"/>
    </xmlCellPr>
  </singleXmlCell>
  <singleXmlCell id="1216" r="H8" connectionId="0">
    <xmlCellPr id="1" uniqueName="ns2:Team2Consec6">
      <xmlPr mapId="4" xpath="/ns2:ScoreSheet/ns2:Diff3/ns2:Team2Consec6" xmlDataType="string"/>
    </xmlCellPr>
  </singleXmlCell>
  <singleXmlCell id="1217" r="I8" connectionId="0">
    <xmlCellPr id="1" uniqueName="ns2:Team2Consec7">
      <xmlPr mapId="4" xpath="/ns2:ScoreSheet/ns2:Diff3/ns2:Team2Consec7" xmlDataType="string"/>
    </xmlCellPr>
  </singleXmlCell>
  <singleXmlCell id="1218" r="J8" connectionId="0">
    <xmlCellPr id="1" uniqueName="ns2:Team2Consec8">
      <xmlPr mapId="4" xpath="/ns2:ScoreSheet/ns2:Diff3/ns2:Team2Consec8" xmlDataType="string"/>
    </xmlCellPr>
  </singleXmlCell>
  <singleXmlCell id="1219" r="K8" connectionId="0">
    <xmlCellPr id="1" uniqueName="ns2:Team2Consec9">
      <xmlPr mapId="4" xpath="/ns2:ScoreSheet/ns2:Diff3/ns2:Team2Consec9" xmlDataType="string"/>
    </xmlCellPr>
  </singleXmlCell>
  <singleXmlCell id="1220" r="L8" connectionId="0">
    <xmlCellPr id="1" uniqueName="ns2:Team2Consec10">
      <xmlPr mapId="4" xpath="/ns2:ScoreSheet/ns2:Diff3/ns2:Team2Consec10" xmlDataType="string"/>
    </xmlCellPr>
  </singleXmlCell>
  <singleXmlCell id="1221" r="M8" connectionId="0">
    <xmlCellPr id="1" uniqueName="ns2:Team2Consec11">
      <xmlPr mapId="4" xpath="/ns2:ScoreSheet/ns2:Diff3/ns2:Team2Consec11" xmlDataType="string"/>
    </xmlCellPr>
  </singleXmlCell>
  <singleXmlCell id="1222" r="N8" connectionId="0">
    <xmlCellPr id="1" uniqueName="ns2:Team2Consec12">
      <xmlPr mapId="4" xpath="/ns2:ScoreSheet/ns2:Diff3/ns2:Team2Consec12" xmlDataType="string"/>
    </xmlCellPr>
  </singleXmlCell>
  <singleXmlCell id="1223" r="O8" connectionId="0">
    <xmlCellPr id="1" uniqueName="ns2:Team2Consec13">
      <xmlPr mapId="4" xpath="/ns2:ScoreSheet/ns2:Diff3/ns2:Team2Consec13" xmlDataType="string"/>
    </xmlCellPr>
  </singleXmlCell>
  <singleXmlCell id="1224" r="P8" connectionId="0">
    <xmlCellPr id="1" uniqueName="ns2:Team2Consec14">
      <xmlPr mapId="4" xpath="/ns2:ScoreSheet/ns2:Diff3/ns2:Team2Consec14" xmlDataType="string"/>
    </xmlCellPr>
  </singleXmlCell>
  <singleXmlCell id="1225" r="Q8" connectionId="0">
    <xmlCellPr id="1" uniqueName="ns2:Team2Consec15">
      <xmlPr mapId="4" xpath="/ns2:ScoreSheet/ns2:Diff3/ns2:Team2Consec15" xmlDataType="string"/>
    </xmlCellPr>
  </singleXmlCell>
  <singleXmlCell id="1226" r="R8" connectionId="0">
    <xmlCellPr id="1" uniqueName="ns2:Team2Consec16">
      <xmlPr mapId="4" xpath="/ns2:ScoreSheet/ns2:Diff3/ns2:Team2Consec16" xmlDataType="string"/>
    </xmlCellPr>
  </singleXmlCell>
  <singleXmlCell id="1227" r="S8" connectionId="0">
    <xmlCellPr id="1" uniqueName="ns2:Team2Consec17">
      <xmlPr mapId="4" xpath="/ns2:ScoreSheet/ns2:Diff3/ns2:Team2Consec17" xmlDataType="string"/>
    </xmlCellPr>
  </singleXmlCell>
  <singleXmlCell id="1228" r="T8" connectionId="0">
    <xmlCellPr id="1" uniqueName="ns2:Team2Consec18">
      <xmlPr mapId="4" xpath="/ns2:ScoreSheet/ns2:Diff3/ns2:Team2Consec18" xmlDataType="string"/>
    </xmlCellPr>
  </singleXmlCell>
  <singleXmlCell id="1229" r="U8" connectionId="0">
    <xmlCellPr id="1" uniqueName="ns2:Team2Consec19">
      <xmlPr mapId="4" xpath="/ns2:ScoreSheet/ns2:Diff3/ns2:Team2Consec19" xmlDataType="string"/>
    </xmlCellPr>
  </singleXmlCell>
  <singleXmlCell id="1230" r="V8" connectionId="0">
    <xmlCellPr id="1" uniqueName="ns2:Team2Consec20">
      <xmlPr mapId="4" xpath="/ns2:ScoreSheet/ns2:Diff3/ns2:Team2Consec20" xmlDataType="string"/>
    </xmlCellPr>
  </singleXmlCell>
  <singleXmlCell id="1231" r="C11" connectionId="0">
    <xmlCellPr id="1" uniqueName="ns2:Team3Diff1">
      <xmlPr mapId="4" xpath="/ns2:ScoreSheet/ns2:Diff3/ns2:Team3Diff1" xmlDataType="decimal"/>
    </xmlCellPr>
  </singleXmlCell>
  <singleXmlCell id="1232" r="D11" connectionId="0">
    <xmlCellPr id="1" uniqueName="ns2:Team3Diff2">
      <xmlPr mapId="4" xpath="/ns2:ScoreSheet/ns2:Diff3/ns2:Team3Diff2" xmlDataType="decimal"/>
    </xmlCellPr>
  </singleXmlCell>
  <singleXmlCell id="1233" r="E11" connectionId="0">
    <xmlCellPr id="1" uniqueName="ns2:Team3Diff3">
      <xmlPr mapId="4" xpath="/ns2:ScoreSheet/ns2:Diff3/ns2:Team3Diff3" xmlDataType="decimal"/>
    </xmlCellPr>
  </singleXmlCell>
  <singleXmlCell id="1234" r="F11" connectionId="0">
    <xmlCellPr id="1" uniqueName="ns2:Team3Diff4">
      <xmlPr mapId="4" xpath="/ns2:ScoreSheet/ns2:Diff3/ns2:Team3Diff4" xmlDataType="decimal"/>
    </xmlCellPr>
  </singleXmlCell>
  <singleXmlCell id="1235" r="G11" connectionId="0">
    <xmlCellPr id="1" uniqueName="ns2:Team3Diff5">
      <xmlPr mapId="4" xpath="/ns2:ScoreSheet/ns2:Diff3/ns2:Team3Diff5" xmlDataType="decimal"/>
    </xmlCellPr>
  </singleXmlCell>
  <singleXmlCell id="1236" r="H11" connectionId="0">
    <xmlCellPr id="1" uniqueName="ns2:Team3Diff6">
      <xmlPr mapId="4" xpath="/ns2:ScoreSheet/ns2:Diff3/ns2:Team3Diff6" xmlDataType="decimal"/>
    </xmlCellPr>
  </singleXmlCell>
  <singleXmlCell id="1237" r="I11" connectionId="0">
    <xmlCellPr id="1" uniqueName="ns2:Team3Diff7">
      <xmlPr mapId="4" xpath="/ns2:ScoreSheet/ns2:Diff3/ns2:Team3Diff7" xmlDataType="decimal"/>
    </xmlCellPr>
  </singleXmlCell>
  <singleXmlCell id="1238" r="J11" connectionId="0">
    <xmlCellPr id="1" uniqueName="ns2:Team3Diff8">
      <xmlPr mapId="4" xpath="/ns2:ScoreSheet/ns2:Diff3/ns2:Team3Diff8" xmlDataType="decimal"/>
    </xmlCellPr>
  </singleXmlCell>
  <singleXmlCell id="1239" r="K11" connectionId="0">
    <xmlCellPr id="1" uniqueName="ns2:Team3Diff9">
      <xmlPr mapId="4" xpath="/ns2:ScoreSheet/ns2:Diff3/ns2:Team3Diff9" xmlDataType="decimal"/>
    </xmlCellPr>
  </singleXmlCell>
  <singleXmlCell id="1240" r="L11" connectionId="0">
    <xmlCellPr id="1" uniqueName="ns2:Team3Diff10">
      <xmlPr mapId="4" xpath="/ns2:ScoreSheet/ns2:Diff3/ns2:Team3Diff10" xmlDataType="decimal"/>
    </xmlCellPr>
  </singleXmlCell>
  <singleXmlCell id="1241" r="M11" connectionId="0">
    <xmlCellPr id="1" uniqueName="ns2:Team3Diff11">
      <xmlPr mapId="4" xpath="/ns2:ScoreSheet/ns2:Diff3/ns2:Team3Diff11" xmlDataType="decimal"/>
    </xmlCellPr>
  </singleXmlCell>
  <singleXmlCell id="1242" r="N11" connectionId="0">
    <xmlCellPr id="1" uniqueName="ns2:Team3Diff12">
      <xmlPr mapId="4" xpath="/ns2:ScoreSheet/ns2:Diff3/ns2:Team3Diff12" xmlDataType="decimal"/>
    </xmlCellPr>
  </singleXmlCell>
  <singleXmlCell id="1243" r="O11" connectionId="0">
    <xmlCellPr id="1" uniqueName="ns2:Team3Diff13">
      <xmlPr mapId="4" xpath="/ns2:ScoreSheet/ns2:Diff3/ns2:Team3Diff13" xmlDataType="decimal"/>
    </xmlCellPr>
  </singleXmlCell>
  <singleXmlCell id="1244" r="P11" connectionId="0">
    <xmlCellPr id="1" uniqueName="ns2:Team3Diff14">
      <xmlPr mapId="4" xpath="/ns2:ScoreSheet/ns2:Diff3/ns2:Team3Diff14" xmlDataType="decimal"/>
    </xmlCellPr>
  </singleXmlCell>
  <singleXmlCell id="1245" r="Q11" connectionId="0">
    <xmlCellPr id="1" uniqueName="ns2:Team3Diff15">
      <xmlPr mapId="4" xpath="/ns2:ScoreSheet/ns2:Diff3/ns2:Team3Diff15" xmlDataType="decimal"/>
    </xmlCellPr>
  </singleXmlCell>
  <singleXmlCell id="1246" r="R11" connectionId="0">
    <xmlCellPr id="1" uniqueName="ns2:Team3Diff16">
      <xmlPr mapId="4" xpath="/ns2:ScoreSheet/ns2:Diff3/ns2:Team3Diff16" xmlDataType="decimal"/>
    </xmlCellPr>
  </singleXmlCell>
  <singleXmlCell id="1247" r="S11" connectionId="0">
    <xmlCellPr id="1" uniqueName="ns2:Team3Diff17">
      <xmlPr mapId="4" xpath="/ns2:ScoreSheet/ns2:Diff3/ns2:Team3Diff17" xmlDataType="decimal"/>
    </xmlCellPr>
  </singleXmlCell>
  <singleXmlCell id="1248" r="T11" connectionId="0">
    <xmlCellPr id="1" uniqueName="ns2:Team3Diff18">
      <xmlPr mapId="4" xpath="/ns2:ScoreSheet/ns2:Diff3/ns2:Team3Diff18" xmlDataType="decimal"/>
    </xmlCellPr>
  </singleXmlCell>
  <singleXmlCell id="1249" r="U11" connectionId="0">
    <xmlCellPr id="1" uniqueName="ns2:Team3Diff19">
      <xmlPr mapId="4" xpath="/ns2:ScoreSheet/ns2:Diff3/ns2:Team3Diff19" xmlDataType="decimal"/>
    </xmlCellPr>
  </singleXmlCell>
  <singleXmlCell id="1250" r="V11" connectionId="0">
    <xmlCellPr id="1" uniqueName="ns2:Team3Diff20">
      <xmlPr mapId="4" xpath="/ns2:ScoreSheet/ns2:Diff3/ns2:Team3Diff20" xmlDataType="decimal"/>
    </xmlCellPr>
  </singleXmlCell>
  <singleXmlCell id="1251" r="C10" connectionId="0">
    <xmlCellPr id="1" uniqueName="ns2:Team3Consec1">
      <xmlPr mapId="4" xpath="/ns2:ScoreSheet/ns2:Diff3/ns2:Team3Consec1" xmlDataType="string"/>
    </xmlCellPr>
  </singleXmlCell>
  <singleXmlCell id="1252" r="D10" connectionId="0">
    <xmlCellPr id="1" uniqueName="ns2:Team3Consec2">
      <xmlPr mapId="4" xpath="/ns2:ScoreSheet/ns2:Diff3/ns2:Team3Consec2" xmlDataType="string"/>
    </xmlCellPr>
  </singleXmlCell>
  <singleXmlCell id="1253" r="E10" connectionId="0">
    <xmlCellPr id="1" uniqueName="ns2:Team3Consec3">
      <xmlPr mapId="4" xpath="/ns2:ScoreSheet/ns2:Diff3/ns2:Team3Consec3" xmlDataType="string"/>
    </xmlCellPr>
  </singleXmlCell>
  <singleXmlCell id="1254" r="F10" connectionId="0">
    <xmlCellPr id="1" uniqueName="ns2:Team3Consec4">
      <xmlPr mapId="4" xpath="/ns2:ScoreSheet/ns2:Diff3/ns2:Team3Consec4" xmlDataType="string"/>
    </xmlCellPr>
  </singleXmlCell>
  <singleXmlCell id="1255" r="G10" connectionId="0">
    <xmlCellPr id="1" uniqueName="ns2:Team3Consec5">
      <xmlPr mapId="4" xpath="/ns2:ScoreSheet/ns2:Diff3/ns2:Team3Consec5" xmlDataType="string"/>
    </xmlCellPr>
  </singleXmlCell>
  <singleXmlCell id="1256" r="H10" connectionId="0">
    <xmlCellPr id="1" uniqueName="ns2:Team3Consec6">
      <xmlPr mapId="4" xpath="/ns2:ScoreSheet/ns2:Diff3/ns2:Team3Consec6" xmlDataType="string"/>
    </xmlCellPr>
  </singleXmlCell>
  <singleXmlCell id="1257" r="I10" connectionId="0">
    <xmlCellPr id="1" uniqueName="ns2:Team3Consec7">
      <xmlPr mapId="4" xpath="/ns2:ScoreSheet/ns2:Diff3/ns2:Team3Consec7" xmlDataType="string"/>
    </xmlCellPr>
  </singleXmlCell>
  <singleXmlCell id="1258" r="J10" connectionId="0">
    <xmlCellPr id="1" uniqueName="ns2:Team3Consec8">
      <xmlPr mapId="4" xpath="/ns2:ScoreSheet/ns2:Diff3/ns2:Team3Consec8" xmlDataType="string"/>
    </xmlCellPr>
  </singleXmlCell>
  <singleXmlCell id="1259" r="K10" connectionId="0">
    <xmlCellPr id="1" uniqueName="ns2:Team3Consec9">
      <xmlPr mapId="4" xpath="/ns2:ScoreSheet/ns2:Diff3/ns2:Team3Consec9" xmlDataType="string"/>
    </xmlCellPr>
  </singleXmlCell>
  <singleXmlCell id="1260" r="L10" connectionId="0">
    <xmlCellPr id="1" uniqueName="ns2:Team3Consec10">
      <xmlPr mapId="4" xpath="/ns2:ScoreSheet/ns2:Diff3/ns2:Team3Consec10" xmlDataType="string"/>
    </xmlCellPr>
  </singleXmlCell>
  <singleXmlCell id="1261" r="M10" connectionId="0">
    <xmlCellPr id="1" uniqueName="ns2:Team3Consec11">
      <xmlPr mapId="4" xpath="/ns2:ScoreSheet/ns2:Diff3/ns2:Team3Consec11" xmlDataType="string"/>
    </xmlCellPr>
  </singleXmlCell>
  <singleXmlCell id="1262" r="N10" connectionId="0">
    <xmlCellPr id="1" uniqueName="ns2:Team3Consec12">
      <xmlPr mapId="4" xpath="/ns2:ScoreSheet/ns2:Diff3/ns2:Team3Consec12" xmlDataType="string"/>
    </xmlCellPr>
  </singleXmlCell>
  <singleXmlCell id="1263" r="O10" connectionId="0">
    <xmlCellPr id="1" uniqueName="ns2:Team3Consec13">
      <xmlPr mapId="4" xpath="/ns2:ScoreSheet/ns2:Diff3/ns2:Team3Consec13" xmlDataType="string"/>
    </xmlCellPr>
  </singleXmlCell>
  <singleXmlCell id="1264" r="P10" connectionId="0">
    <xmlCellPr id="1" uniqueName="ns2:Team3Consec14">
      <xmlPr mapId="4" xpath="/ns2:ScoreSheet/ns2:Diff3/ns2:Team3Consec14" xmlDataType="string"/>
    </xmlCellPr>
  </singleXmlCell>
  <singleXmlCell id="1265" r="Q10" connectionId="0">
    <xmlCellPr id="1" uniqueName="ns2:Team3Consec15">
      <xmlPr mapId="4" xpath="/ns2:ScoreSheet/ns2:Diff3/ns2:Team3Consec15" xmlDataType="string"/>
    </xmlCellPr>
  </singleXmlCell>
  <singleXmlCell id="1266" r="R10" connectionId="0">
    <xmlCellPr id="1" uniqueName="ns2:Team3Consec16">
      <xmlPr mapId="4" xpath="/ns2:ScoreSheet/ns2:Diff3/ns2:Team3Consec16" xmlDataType="string"/>
    </xmlCellPr>
  </singleXmlCell>
  <singleXmlCell id="1267" r="S10" connectionId="0">
    <xmlCellPr id="1" uniqueName="ns2:Team3Consec17">
      <xmlPr mapId="4" xpath="/ns2:ScoreSheet/ns2:Diff3/ns2:Team3Consec17" xmlDataType="string"/>
    </xmlCellPr>
  </singleXmlCell>
  <singleXmlCell id="1268" r="T10" connectionId="0">
    <xmlCellPr id="1" uniqueName="ns2:Team3Consec18">
      <xmlPr mapId="4" xpath="/ns2:ScoreSheet/ns2:Diff3/ns2:Team3Consec18" xmlDataType="string"/>
    </xmlCellPr>
  </singleXmlCell>
  <singleXmlCell id="1269" r="U10" connectionId="0">
    <xmlCellPr id="1" uniqueName="ns2:Team3Consec19">
      <xmlPr mapId="4" xpath="/ns2:ScoreSheet/ns2:Diff3/ns2:Team3Consec19" xmlDataType="string"/>
    </xmlCellPr>
  </singleXmlCell>
  <singleXmlCell id="1270" r="V10" connectionId="0">
    <xmlCellPr id="1" uniqueName="ns2:Team3Consec20">
      <xmlPr mapId="4" xpath="/ns2:ScoreSheet/ns2:Diff3/ns2:Team3Consec20" xmlDataType="string"/>
    </xmlCellPr>
  </singleXmlCell>
  <singleXmlCell id="1271" r="C13" connectionId="0">
    <xmlCellPr id="1" uniqueName="ns2:Team4Diff1">
      <xmlPr mapId="4" xpath="/ns2:ScoreSheet/ns2:Diff3/ns2:Team4Diff1" xmlDataType="decimal"/>
    </xmlCellPr>
  </singleXmlCell>
  <singleXmlCell id="1272" r="D13" connectionId="0">
    <xmlCellPr id="1" uniqueName="ns2:Team4Diff2">
      <xmlPr mapId="4" xpath="/ns2:ScoreSheet/ns2:Diff3/ns2:Team4Diff2" xmlDataType="decimal"/>
    </xmlCellPr>
  </singleXmlCell>
  <singleXmlCell id="1273" r="E13" connectionId="0">
    <xmlCellPr id="1" uniqueName="ns2:Team4Diff3">
      <xmlPr mapId="4" xpath="/ns2:ScoreSheet/ns2:Diff3/ns2:Team4Diff3" xmlDataType="decimal"/>
    </xmlCellPr>
  </singleXmlCell>
  <singleXmlCell id="1274" r="F13" connectionId="0">
    <xmlCellPr id="1" uniqueName="ns2:Team4Diff4">
      <xmlPr mapId="4" xpath="/ns2:ScoreSheet/ns2:Diff3/ns2:Team4Diff4" xmlDataType="decimal"/>
    </xmlCellPr>
  </singleXmlCell>
  <singleXmlCell id="1275" r="G13" connectionId="0">
    <xmlCellPr id="1" uniqueName="ns2:Team4Diff5">
      <xmlPr mapId="4" xpath="/ns2:ScoreSheet/ns2:Diff3/ns2:Team4Diff5" xmlDataType="decimal"/>
    </xmlCellPr>
  </singleXmlCell>
  <singleXmlCell id="1276" r="H13" connectionId="0">
    <xmlCellPr id="1" uniqueName="ns2:Team4Diff6">
      <xmlPr mapId="4" xpath="/ns2:ScoreSheet/ns2:Diff3/ns2:Team4Diff6" xmlDataType="decimal"/>
    </xmlCellPr>
  </singleXmlCell>
  <singleXmlCell id="1277" r="I13" connectionId="0">
    <xmlCellPr id="1" uniqueName="ns2:Team4Diff7">
      <xmlPr mapId="4" xpath="/ns2:ScoreSheet/ns2:Diff3/ns2:Team4Diff7" xmlDataType="decimal"/>
    </xmlCellPr>
  </singleXmlCell>
  <singleXmlCell id="1278" r="J13" connectionId="0">
    <xmlCellPr id="1" uniqueName="ns2:Team4Diff8">
      <xmlPr mapId="4" xpath="/ns2:ScoreSheet/ns2:Diff3/ns2:Team4Diff8" xmlDataType="decimal"/>
    </xmlCellPr>
  </singleXmlCell>
  <singleXmlCell id="1279" r="K13" connectionId="0">
    <xmlCellPr id="1" uniqueName="ns2:Team4Diff9">
      <xmlPr mapId="4" xpath="/ns2:ScoreSheet/ns2:Diff3/ns2:Team4Diff9" xmlDataType="decimal"/>
    </xmlCellPr>
  </singleXmlCell>
  <singleXmlCell id="1280" r="L13" connectionId="0">
    <xmlCellPr id="1" uniqueName="ns2:Team4Diff10">
      <xmlPr mapId="4" xpath="/ns2:ScoreSheet/ns2:Diff3/ns2:Team4Diff10" xmlDataType="decimal"/>
    </xmlCellPr>
  </singleXmlCell>
  <singleXmlCell id="1281" r="M13" connectionId="0">
    <xmlCellPr id="1" uniqueName="ns2:Team4Diff11">
      <xmlPr mapId="4" xpath="/ns2:ScoreSheet/ns2:Diff3/ns2:Team4Diff11" xmlDataType="decimal"/>
    </xmlCellPr>
  </singleXmlCell>
  <singleXmlCell id="1282" r="N13" connectionId="0">
    <xmlCellPr id="1" uniqueName="ns2:Team4Diff12">
      <xmlPr mapId="4" xpath="/ns2:ScoreSheet/ns2:Diff3/ns2:Team4Diff12" xmlDataType="decimal"/>
    </xmlCellPr>
  </singleXmlCell>
  <singleXmlCell id="1283" r="O13" connectionId="0">
    <xmlCellPr id="1" uniqueName="ns2:Team4Diff13">
      <xmlPr mapId="4" xpath="/ns2:ScoreSheet/ns2:Diff3/ns2:Team4Diff13" xmlDataType="decimal"/>
    </xmlCellPr>
  </singleXmlCell>
  <singleXmlCell id="1284" r="P13" connectionId="0">
    <xmlCellPr id="1" uniqueName="ns2:Team4Diff14">
      <xmlPr mapId="4" xpath="/ns2:ScoreSheet/ns2:Diff3/ns2:Team4Diff14" xmlDataType="decimal"/>
    </xmlCellPr>
  </singleXmlCell>
  <singleXmlCell id="1285" r="Q13" connectionId="0">
    <xmlCellPr id="1" uniqueName="ns2:Team4Diff15">
      <xmlPr mapId="4" xpath="/ns2:ScoreSheet/ns2:Diff3/ns2:Team4Diff15" xmlDataType="decimal"/>
    </xmlCellPr>
  </singleXmlCell>
  <singleXmlCell id="1286" r="R13" connectionId="0">
    <xmlCellPr id="1" uniqueName="ns2:Team4Diff16">
      <xmlPr mapId="4" xpath="/ns2:ScoreSheet/ns2:Diff3/ns2:Team4Diff16" xmlDataType="decimal"/>
    </xmlCellPr>
  </singleXmlCell>
  <singleXmlCell id="1287" r="S13" connectionId="0">
    <xmlCellPr id="1" uniqueName="ns2:Team4Diff17">
      <xmlPr mapId="4" xpath="/ns2:ScoreSheet/ns2:Diff3/ns2:Team4Diff17" xmlDataType="decimal"/>
    </xmlCellPr>
  </singleXmlCell>
  <singleXmlCell id="1288" r="T13" connectionId="0">
    <xmlCellPr id="1" uniqueName="ns2:Team4Diff18">
      <xmlPr mapId="4" xpath="/ns2:ScoreSheet/ns2:Diff3/ns2:Team4Diff18" xmlDataType="decimal"/>
    </xmlCellPr>
  </singleXmlCell>
  <singleXmlCell id="1289" r="U13" connectionId="0">
    <xmlCellPr id="1" uniqueName="ns2:Team4Diff19">
      <xmlPr mapId="4" xpath="/ns2:ScoreSheet/ns2:Diff3/ns2:Team4Diff19" xmlDataType="decimal"/>
    </xmlCellPr>
  </singleXmlCell>
  <singleXmlCell id="1290" r="V13" connectionId="0">
    <xmlCellPr id="1" uniqueName="ns2:Team4Diff20">
      <xmlPr mapId="4" xpath="/ns2:ScoreSheet/ns2:Diff3/ns2:Team4Diff20" xmlDataType="decimal"/>
    </xmlCellPr>
  </singleXmlCell>
  <singleXmlCell id="1291" r="C12" connectionId="0">
    <xmlCellPr id="1" uniqueName="ns2:Team4Consec1">
      <xmlPr mapId="4" xpath="/ns2:ScoreSheet/ns2:Diff3/ns2:Team4Consec1" xmlDataType="string"/>
    </xmlCellPr>
  </singleXmlCell>
  <singleXmlCell id="1292" r="D12" connectionId="0">
    <xmlCellPr id="1" uniqueName="ns2:Team4Consec2">
      <xmlPr mapId="4" xpath="/ns2:ScoreSheet/ns2:Diff3/ns2:Team4Consec2" xmlDataType="string"/>
    </xmlCellPr>
  </singleXmlCell>
  <singleXmlCell id="1293" r="E12" connectionId="0">
    <xmlCellPr id="1" uniqueName="ns2:Team4Consec3">
      <xmlPr mapId="4" xpath="/ns2:ScoreSheet/ns2:Diff3/ns2:Team4Consec3" xmlDataType="string"/>
    </xmlCellPr>
  </singleXmlCell>
  <singleXmlCell id="1294" r="F12" connectionId="0">
    <xmlCellPr id="1" uniqueName="ns2:Team4Consec4">
      <xmlPr mapId="4" xpath="/ns2:ScoreSheet/ns2:Diff3/ns2:Team4Consec4" xmlDataType="string"/>
    </xmlCellPr>
  </singleXmlCell>
  <singleXmlCell id="1295" r="G12" connectionId="0">
    <xmlCellPr id="1" uniqueName="ns2:Team4Consec5">
      <xmlPr mapId="4" xpath="/ns2:ScoreSheet/ns2:Diff3/ns2:Team4Consec5" xmlDataType="string"/>
    </xmlCellPr>
  </singleXmlCell>
  <singleXmlCell id="1296" r="H12" connectionId="0">
    <xmlCellPr id="1" uniqueName="ns2:Team4Consec6">
      <xmlPr mapId="4" xpath="/ns2:ScoreSheet/ns2:Diff3/ns2:Team4Consec6" xmlDataType="string"/>
    </xmlCellPr>
  </singleXmlCell>
  <singleXmlCell id="1297" r="I12" connectionId="0">
    <xmlCellPr id="1" uniqueName="ns2:Team4Consec7">
      <xmlPr mapId="4" xpath="/ns2:ScoreSheet/ns2:Diff3/ns2:Team4Consec7" xmlDataType="string"/>
    </xmlCellPr>
  </singleXmlCell>
  <singleXmlCell id="1298" r="J12" connectionId="0">
    <xmlCellPr id="1" uniqueName="ns2:Team4Consec8">
      <xmlPr mapId="4" xpath="/ns2:ScoreSheet/ns2:Diff3/ns2:Team4Consec8" xmlDataType="string"/>
    </xmlCellPr>
  </singleXmlCell>
  <singleXmlCell id="1299" r="K12" connectionId="0">
    <xmlCellPr id="1" uniqueName="ns2:Team4Consec9">
      <xmlPr mapId="4" xpath="/ns2:ScoreSheet/ns2:Diff3/ns2:Team4Consec9" xmlDataType="string"/>
    </xmlCellPr>
  </singleXmlCell>
  <singleXmlCell id="1300" r="L12" connectionId="0">
    <xmlCellPr id="1" uniqueName="ns2:Team4Consec10">
      <xmlPr mapId="4" xpath="/ns2:ScoreSheet/ns2:Diff3/ns2:Team4Consec10" xmlDataType="string"/>
    </xmlCellPr>
  </singleXmlCell>
  <singleXmlCell id="1301" r="M12" connectionId="0">
    <xmlCellPr id="1" uniqueName="ns2:Team4Consec11">
      <xmlPr mapId="4" xpath="/ns2:ScoreSheet/ns2:Diff3/ns2:Team4Consec11" xmlDataType="string"/>
    </xmlCellPr>
  </singleXmlCell>
  <singleXmlCell id="1302" r="N12" connectionId="0">
    <xmlCellPr id="1" uniqueName="ns2:Team4Consec12">
      <xmlPr mapId="4" xpath="/ns2:ScoreSheet/ns2:Diff3/ns2:Team4Consec12" xmlDataType="string"/>
    </xmlCellPr>
  </singleXmlCell>
  <singleXmlCell id="1303" r="O12" connectionId="0">
    <xmlCellPr id="1" uniqueName="ns2:Team4Consec13">
      <xmlPr mapId="4" xpath="/ns2:ScoreSheet/ns2:Diff3/ns2:Team4Consec13" xmlDataType="string"/>
    </xmlCellPr>
  </singleXmlCell>
  <singleXmlCell id="1304" r="P12" connectionId="0">
    <xmlCellPr id="1" uniqueName="ns2:Team4Consec14">
      <xmlPr mapId="4" xpath="/ns2:ScoreSheet/ns2:Diff3/ns2:Team4Consec14" xmlDataType="string"/>
    </xmlCellPr>
  </singleXmlCell>
  <singleXmlCell id="1305" r="Q12" connectionId="0">
    <xmlCellPr id="1" uniqueName="ns2:Team4Consec15">
      <xmlPr mapId="4" xpath="/ns2:ScoreSheet/ns2:Diff3/ns2:Team4Consec15" xmlDataType="string"/>
    </xmlCellPr>
  </singleXmlCell>
  <singleXmlCell id="1306" r="R12" connectionId="0">
    <xmlCellPr id="1" uniqueName="ns2:Team4Consec16">
      <xmlPr mapId="4" xpath="/ns2:ScoreSheet/ns2:Diff3/ns2:Team4Consec16" xmlDataType="string"/>
    </xmlCellPr>
  </singleXmlCell>
  <singleXmlCell id="1307" r="S12" connectionId="0">
    <xmlCellPr id="1" uniqueName="ns2:Team4Consec17">
      <xmlPr mapId="4" xpath="/ns2:ScoreSheet/ns2:Diff3/ns2:Team4Consec17" xmlDataType="string"/>
    </xmlCellPr>
  </singleXmlCell>
  <singleXmlCell id="1308" r="T12" connectionId="0">
    <xmlCellPr id="1" uniqueName="ns2:Team4Consec18">
      <xmlPr mapId="4" xpath="/ns2:ScoreSheet/ns2:Diff3/ns2:Team4Consec18" xmlDataType="string"/>
    </xmlCellPr>
  </singleXmlCell>
  <singleXmlCell id="1309" r="U12" connectionId="0">
    <xmlCellPr id="1" uniqueName="ns2:Team4Consec19">
      <xmlPr mapId="4" xpath="/ns2:ScoreSheet/ns2:Diff3/ns2:Team4Consec19" xmlDataType="string"/>
    </xmlCellPr>
  </singleXmlCell>
  <singleXmlCell id="1310" r="V12" connectionId="0">
    <xmlCellPr id="1" uniqueName="ns2:Team4Consec20">
      <xmlPr mapId="4" xpath="/ns2:ScoreSheet/ns2:Diff3/ns2:Team4Consec20" xmlDataType="string"/>
    </xmlCellPr>
  </singleXmlCell>
  <singleXmlCell id="1311" r="C15" connectionId="0">
    <xmlCellPr id="1" uniqueName="ns2:Team5Diff1">
      <xmlPr mapId="4" xpath="/ns2:ScoreSheet/ns2:Diff3/ns2:Team5Diff1" xmlDataType="decimal"/>
    </xmlCellPr>
  </singleXmlCell>
  <singleXmlCell id="1312" r="D15" connectionId="0">
    <xmlCellPr id="1" uniqueName="ns2:Team5Diff2">
      <xmlPr mapId="4" xpath="/ns2:ScoreSheet/ns2:Diff3/ns2:Team5Diff2" xmlDataType="decimal"/>
    </xmlCellPr>
  </singleXmlCell>
  <singleXmlCell id="1313" r="E15" connectionId="0">
    <xmlCellPr id="1" uniqueName="ns2:Team5Diff3">
      <xmlPr mapId="4" xpath="/ns2:ScoreSheet/ns2:Diff3/ns2:Team5Diff3" xmlDataType="decimal"/>
    </xmlCellPr>
  </singleXmlCell>
  <singleXmlCell id="1314" r="F15" connectionId="0">
    <xmlCellPr id="1" uniqueName="ns2:Team5Diff4">
      <xmlPr mapId="4" xpath="/ns2:ScoreSheet/ns2:Diff3/ns2:Team5Diff4" xmlDataType="decimal"/>
    </xmlCellPr>
  </singleXmlCell>
  <singleXmlCell id="1315" r="G15" connectionId="0">
    <xmlCellPr id="1" uniqueName="ns2:Team5Diff5">
      <xmlPr mapId="4" xpath="/ns2:ScoreSheet/ns2:Diff3/ns2:Team5Diff5" xmlDataType="decimal"/>
    </xmlCellPr>
  </singleXmlCell>
  <singleXmlCell id="1316" r="H15" connectionId="0">
    <xmlCellPr id="1" uniqueName="ns2:Team5Diff6">
      <xmlPr mapId="4" xpath="/ns2:ScoreSheet/ns2:Diff3/ns2:Team5Diff6" xmlDataType="decimal"/>
    </xmlCellPr>
  </singleXmlCell>
  <singleXmlCell id="1317" r="I15" connectionId="0">
    <xmlCellPr id="1" uniqueName="ns2:Team5Diff7">
      <xmlPr mapId="4" xpath="/ns2:ScoreSheet/ns2:Diff3/ns2:Team5Diff7" xmlDataType="decimal"/>
    </xmlCellPr>
  </singleXmlCell>
  <singleXmlCell id="1318" r="J15" connectionId="0">
    <xmlCellPr id="1" uniqueName="ns2:Team5Diff8">
      <xmlPr mapId="4" xpath="/ns2:ScoreSheet/ns2:Diff3/ns2:Team5Diff8" xmlDataType="decimal"/>
    </xmlCellPr>
  </singleXmlCell>
  <singleXmlCell id="1319" r="K15" connectionId="0">
    <xmlCellPr id="1" uniqueName="ns2:Team5Diff9">
      <xmlPr mapId="4" xpath="/ns2:ScoreSheet/ns2:Diff3/ns2:Team5Diff9" xmlDataType="decimal"/>
    </xmlCellPr>
  </singleXmlCell>
  <singleXmlCell id="1320" r="L15" connectionId="0">
    <xmlCellPr id="1" uniqueName="ns2:Team5Diff10">
      <xmlPr mapId="4" xpath="/ns2:ScoreSheet/ns2:Diff3/ns2:Team5Diff10" xmlDataType="decimal"/>
    </xmlCellPr>
  </singleXmlCell>
  <singleXmlCell id="1321" r="M15" connectionId="0">
    <xmlCellPr id="1" uniqueName="ns2:Team5Diff11">
      <xmlPr mapId="4" xpath="/ns2:ScoreSheet/ns2:Diff3/ns2:Team5Diff11" xmlDataType="decimal"/>
    </xmlCellPr>
  </singleXmlCell>
  <singleXmlCell id="1322" r="N15" connectionId="0">
    <xmlCellPr id="1" uniqueName="ns2:Team5Diff12">
      <xmlPr mapId="4" xpath="/ns2:ScoreSheet/ns2:Diff3/ns2:Team5Diff12" xmlDataType="decimal"/>
    </xmlCellPr>
  </singleXmlCell>
  <singleXmlCell id="1323" r="O15" connectionId="0">
    <xmlCellPr id="1" uniqueName="ns2:Team5Diff13">
      <xmlPr mapId="4" xpath="/ns2:ScoreSheet/ns2:Diff3/ns2:Team5Diff13" xmlDataType="decimal"/>
    </xmlCellPr>
  </singleXmlCell>
  <singleXmlCell id="1324" r="P15" connectionId="0">
    <xmlCellPr id="1" uniqueName="ns2:Team5Diff14">
      <xmlPr mapId="4" xpath="/ns2:ScoreSheet/ns2:Diff3/ns2:Team5Diff14" xmlDataType="decimal"/>
    </xmlCellPr>
  </singleXmlCell>
  <singleXmlCell id="1325" r="Q15" connectionId="0">
    <xmlCellPr id="1" uniqueName="ns2:Team5Diff15">
      <xmlPr mapId="4" xpath="/ns2:ScoreSheet/ns2:Diff3/ns2:Team5Diff15" xmlDataType="decimal"/>
    </xmlCellPr>
  </singleXmlCell>
  <singleXmlCell id="1326" r="R15" connectionId="0">
    <xmlCellPr id="1" uniqueName="ns2:Team5Diff16">
      <xmlPr mapId="4" xpath="/ns2:ScoreSheet/ns2:Diff3/ns2:Team5Diff16" xmlDataType="decimal"/>
    </xmlCellPr>
  </singleXmlCell>
  <singleXmlCell id="1327" r="S15" connectionId="0">
    <xmlCellPr id="1" uniqueName="ns2:Team5Diff17">
      <xmlPr mapId="4" xpath="/ns2:ScoreSheet/ns2:Diff3/ns2:Team5Diff17" xmlDataType="decimal"/>
    </xmlCellPr>
  </singleXmlCell>
  <singleXmlCell id="1328" r="T15" connectionId="0">
    <xmlCellPr id="1" uniqueName="ns2:Team5Diff18">
      <xmlPr mapId="4" xpath="/ns2:ScoreSheet/ns2:Diff3/ns2:Team5Diff18" xmlDataType="decimal"/>
    </xmlCellPr>
  </singleXmlCell>
  <singleXmlCell id="1329" r="U15" connectionId="0">
    <xmlCellPr id="1" uniqueName="ns2:Team5Diff19">
      <xmlPr mapId="4" xpath="/ns2:ScoreSheet/ns2:Diff3/ns2:Team5Diff19" xmlDataType="decimal"/>
    </xmlCellPr>
  </singleXmlCell>
  <singleXmlCell id="1330" r="V15" connectionId="0">
    <xmlCellPr id="1" uniqueName="ns2:Team5Diff20">
      <xmlPr mapId="4" xpath="/ns2:ScoreSheet/ns2:Diff3/ns2:Team5Diff20" xmlDataType="decimal"/>
    </xmlCellPr>
  </singleXmlCell>
  <singleXmlCell id="1331" r="C14" connectionId="0">
    <xmlCellPr id="1" uniqueName="ns2:Team5Consec1">
      <xmlPr mapId="4" xpath="/ns2:ScoreSheet/ns2:Diff3/ns2:Team5Consec1" xmlDataType="string"/>
    </xmlCellPr>
  </singleXmlCell>
  <singleXmlCell id="1332" r="D14" connectionId="0">
    <xmlCellPr id="1" uniqueName="ns2:Team5Consec2">
      <xmlPr mapId="4" xpath="/ns2:ScoreSheet/ns2:Diff3/ns2:Team5Consec2" xmlDataType="string"/>
    </xmlCellPr>
  </singleXmlCell>
  <singleXmlCell id="1333" r="E14" connectionId="0">
    <xmlCellPr id="1" uniqueName="ns2:Team5Consec3">
      <xmlPr mapId="4" xpath="/ns2:ScoreSheet/ns2:Diff3/ns2:Team5Consec3" xmlDataType="string"/>
    </xmlCellPr>
  </singleXmlCell>
  <singleXmlCell id="1334" r="F14" connectionId="0">
    <xmlCellPr id="1" uniqueName="ns2:Team5Consec4">
      <xmlPr mapId="4" xpath="/ns2:ScoreSheet/ns2:Diff3/ns2:Team5Consec4" xmlDataType="string"/>
    </xmlCellPr>
  </singleXmlCell>
  <singleXmlCell id="1335" r="G14" connectionId="0">
    <xmlCellPr id="1" uniqueName="ns2:Team5Consec5">
      <xmlPr mapId="4" xpath="/ns2:ScoreSheet/ns2:Diff3/ns2:Team5Consec5" xmlDataType="string"/>
    </xmlCellPr>
  </singleXmlCell>
  <singleXmlCell id="1336" r="H14" connectionId="0">
    <xmlCellPr id="1" uniqueName="ns2:Team5Consec6">
      <xmlPr mapId="4" xpath="/ns2:ScoreSheet/ns2:Diff3/ns2:Team5Consec6" xmlDataType="string"/>
    </xmlCellPr>
  </singleXmlCell>
  <singleXmlCell id="1337" r="I14" connectionId="0">
    <xmlCellPr id="1" uniqueName="ns2:Team5Consec7">
      <xmlPr mapId="4" xpath="/ns2:ScoreSheet/ns2:Diff3/ns2:Team5Consec7" xmlDataType="string"/>
    </xmlCellPr>
  </singleXmlCell>
  <singleXmlCell id="1338" r="J14" connectionId="0">
    <xmlCellPr id="1" uniqueName="ns2:Team5Consec8">
      <xmlPr mapId="4" xpath="/ns2:ScoreSheet/ns2:Diff3/ns2:Team5Consec8" xmlDataType="string"/>
    </xmlCellPr>
  </singleXmlCell>
  <singleXmlCell id="1339" r="K14" connectionId="0">
    <xmlCellPr id="1" uniqueName="ns2:Team5Consec9">
      <xmlPr mapId="4" xpath="/ns2:ScoreSheet/ns2:Diff3/ns2:Team5Consec9" xmlDataType="string"/>
    </xmlCellPr>
  </singleXmlCell>
  <singleXmlCell id="1340" r="L14" connectionId="0">
    <xmlCellPr id="1" uniqueName="ns2:Team5Consec10">
      <xmlPr mapId="4" xpath="/ns2:ScoreSheet/ns2:Diff3/ns2:Team5Consec10" xmlDataType="string"/>
    </xmlCellPr>
  </singleXmlCell>
  <singleXmlCell id="1341" r="M14" connectionId="0">
    <xmlCellPr id="1" uniqueName="ns2:Team5Consec11">
      <xmlPr mapId="4" xpath="/ns2:ScoreSheet/ns2:Diff3/ns2:Team5Consec11" xmlDataType="string"/>
    </xmlCellPr>
  </singleXmlCell>
  <singleXmlCell id="1342" r="N14" connectionId="0">
    <xmlCellPr id="1" uniqueName="ns2:Team5Consec12">
      <xmlPr mapId="4" xpath="/ns2:ScoreSheet/ns2:Diff3/ns2:Team5Consec12" xmlDataType="string"/>
    </xmlCellPr>
  </singleXmlCell>
  <singleXmlCell id="1343" r="O14" connectionId="0">
    <xmlCellPr id="1" uniqueName="ns2:Team5Consec13">
      <xmlPr mapId="4" xpath="/ns2:ScoreSheet/ns2:Diff3/ns2:Team5Consec13" xmlDataType="string"/>
    </xmlCellPr>
  </singleXmlCell>
  <singleXmlCell id="1344" r="P14" connectionId="0">
    <xmlCellPr id="1" uniqueName="ns2:Team5Consec14">
      <xmlPr mapId="4" xpath="/ns2:ScoreSheet/ns2:Diff3/ns2:Team5Consec14" xmlDataType="string"/>
    </xmlCellPr>
  </singleXmlCell>
  <singleXmlCell id="1345" r="Q14" connectionId="0">
    <xmlCellPr id="1" uniqueName="ns2:Team5Consec15">
      <xmlPr mapId="4" xpath="/ns2:ScoreSheet/ns2:Diff3/ns2:Team5Consec15" xmlDataType="string"/>
    </xmlCellPr>
  </singleXmlCell>
  <singleXmlCell id="1346" r="R14" connectionId="0">
    <xmlCellPr id="1" uniqueName="ns2:Team5Consec16">
      <xmlPr mapId="4" xpath="/ns2:ScoreSheet/ns2:Diff3/ns2:Team5Consec16" xmlDataType="string"/>
    </xmlCellPr>
  </singleXmlCell>
  <singleXmlCell id="1347" r="S14" connectionId="0">
    <xmlCellPr id="1" uniqueName="ns2:Team5Consec17">
      <xmlPr mapId="4" xpath="/ns2:ScoreSheet/ns2:Diff3/ns2:Team5Consec17" xmlDataType="string"/>
    </xmlCellPr>
  </singleXmlCell>
  <singleXmlCell id="1348" r="T14" connectionId="0">
    <xmlCellPr id="1" uniqueName="ns2:Team5Consec18">
      <xmlPr mapId="4" xpath="/ns2:ScoreSheet/ns2:Diff3/ns2:Team5Consec18" xmlDataType="string"/>
    </xmlCellPr>
  </singleXmlCell>
  <singleXmlCell id="1349" r="U14" connectionId="0">
    <xmlCellPr id="1" uniqueName="ns2:Team5Consec19">
      <xmlPr mapId="4" xpath="/ns2:ScoreSheet/ns2:Diff3/ns2:Team5Consec19" xmlDataType="string"/>
    </xmlCellPr>
  </singleXmlCell>
  <singleXmlCell id="1350" r="V14" connectionId="0">
    <xmlCellPr id="1" uniqueName="ns2:Team5Consec20">
      <xmlPr mapId="4" xpath="/ns2:ScoreSheet/ns2:Diff3/ns2:Team5Consec20" xmlDataType="string"/>
    </xmlCellPr>
  </singleXmlCell>
  <singleXmlCell id="1351" r="C17" connectionId="0">
    <xmlCellPr id="1" uniqueName="ns2:Team6Diff1">
      <xmlPr mapId="4" xpath="/ns2:ScoreSheet/ns2:Diff3/ns2:Team6Diff1" xmlDataType="decimal"/>
    </xmlCellPr>
  </singleXmlCell>
  <singleXmlCell id="1352" r="D17" connectionId="0">
    <xmlCellPr id="1" uniqueName="ns2:Team6Diff2">
      <xmlPr mapId="4" xpath="/ns2:ScoreSheet/ns2:Diff3/ns2:Team6Diff2" xmlDataType="decimal"/>
    </xmlCellPr>
  </singleXmlCell>
  <singleXmlCell id="1353" r="E17" connectionId="0">
    <xmlCellPr id="1" uniqueName="ns2:Team6Diff3">
      <xmlPr mapId="4" xpath="/ns2:ScoreSheet/ns2:Diff3/ns2:Team6Diff3" xmlDataType="decimal"/>
    </xmlCellPr>
  </singleXmlCell>
  <singleXmlCell id="1354" r="F17" connectionId="0">
    <xmlCellPr id="1" uniqueName="ns2:Team6Diff4">
      <xmlPr mapId="4" xpath="/ns2:ScoreSheet/ns2:Diff3/ns2:Team6Diff4" xmlDataType="decimal"/>
    </xmlCellPr>
  </singleXmlCell>
  <singleXmlCell id="1355" r="G17" connectionId="0">
    <xmlCellPr id="1" uniqueName="ns2:Team6Diff5">
      <xmlPr mapId="4" xpath="/ns2:ScoreSheet/ns2:Diff3/ns2:Team6Diff5" xmlDataType="decimal"/>
    </xmlCellPr>
  </singleXmlCell>
  <singleXmlCell id="1356" r="H17" connectionId="0">
    <xmlCellPr id="1" uniqueName="ns2:Team6Diff6">
      <xmlPr mapId="4" xpath="/ns2:ScoreSheet/ns2:Diff3/ns2:Team6Diff6" xmlDataType="decimal"/>
    </xmlCellPr>
  </singleXmlCell>
  <singleXmlCell id="1357" r="I17" connectionId="0">
    <xmlCellPr id="1" uniqueName="ns2:Team6Diff7">
      <xmlPr mapId="4" xpath="/ns2:ScoreSheet/ns2:Diff3/ns2:Team6Diff7" xmlDataType="decimal"/>
    </xmlCellPr>
  </singleXmlCell>
  <singleXmlCell id="1358" r="J17" connectionId="0">
    <xmlCellPr id="1" uniqueName="ns2:Team6Diff8">
      <xmlPr mapId="4" xpath="/ns2:ScoreSheet/ns2:Diff3/ns2:Team6Diff8" xmlDataType="decimal"/>
    </xmlCellPr>
  </singleXmlCell>
  <singleXmlCell id="1359" r="K17" connectionId="0">
    <xmlCellPr id="1" uniqueName="ns2:Team6Diff9">
      <xmlPr mapId="4" xpath="/ns2:ScoreSheet/ns2:Diff3/ns2:Team6Diff9" xmlDataType="decimal"/>
    </xmlCellPr>
  </singleXmlCell>
  <singleXmlCell id="1360" r="L17" connectionId="0">
    <xmlCellPr id="1" uniqueName="ns2:Team6Diff10">
      <xmlPr mapId="4" xpath="/ns2:ScoreSheet/ns2:Diff3/ns2:Team6Diff10" xmlDataType="decimal"/>
    </xmlCellPr>
  </singleXmlCell>
  <singleXmlCell id="1361" r="M17" connectionId="0">
    <xmlCellPr id="1" uniqueName="ns2:Team6Diff11">
      <xmlPr mapId="4" xpath="/ns2:ScoreSheet/ns2:Diff3/ns2:Team6Diff11" xmlDataType="decimal"/>
    </xmlCellPr>
  </singleXmlCell>
  <singleXmlCell id="1362" r="N17" connectionId="0">
    <xmlCellPr id="1" uniqueName="ns2:Team6Diff12">
      <xmlPr mapId="4" xpath="/ns2:ScoreSheet/ns2:Diff3/ns2:Team6Diff12" xmlDataType="decimal"/>
    </xmlCellPr>
  </singleXmlCell>
  <singleXmlCell id="1363" r="O17" connectionId="0">
    <xmlCellPr id="1" uniqueName="ns2:Team6Diff13">
      <xmlPr mapId="4" xpath="/ns2:ScoreSheet/ns2:Diff3/ns2:Team6Diff13" xmlDataType="decimal"/>
    </xmlCellPr>
  </singleXmlCell>
  <singleXmlCell id="1364" r="P17" connectionId="0">
    <xmlCellPr id="1" uniqueName="ns2:Team6Diff14">
      <xmlPr mapId="4" xpath="/ns2:ScoreSheet/ns2:Diff3/ns2:Team6Diff14" xmlDataType="decimal"/>
    </xmlCellPr>
  </singleXmlCell>
  <singleXmlCell id="1365" r="Q17" connectionId="0">
    <xmlCellPr id="1" uniqueName="ns2:Team6Diff15">
      <xmlPr mapId="4" xpath="/ns2:ScoreSheet/ns2:Diff3/ns2:Team6Diff15" xmlDataType="decimal"/>
    </xmlCellPr>
  </singleXmlCell>
  <singleXmlCell id="1366" r="R17" connectionId="0">
    <xmlCellPr id="1" uniqueName="ns2:Team6Diff16">
      <xmlPr mapId="4" xpath="/ns2:ScoreSheet/ns2:Diff3/ns2:Team6Diff16" xmlDataType="decimal"/>
    </xmlCellPr>
  </singleXmlCell>
  <singleXmlCell id="1367" r="S17" connectionId="0">
    <xmlCellPr id="1" uniqueName="ns2:Team6Diff17">
      <xmlPr mapId="4" xpath="/ns2:ScoreSheet/ns2:Diff3/ns2:Team6Diff17" xmlDataType="decimal"/>
    </xmlCellPr>
  </singleXmlCell>
  <singleXmlCell id="1368" r="T17" connectionId="0">
    <xmlCellPr id="1" uniqueName="ns2:Team6Diff18">
      <xmlPr mapId="4" xpath="/ns2:ScoreSheet/ns2:Diff3/ns2:Team6Diff18" xmlDataType="decimal"/>
    </xmlCellPr>
  </singleXmlCell>
  <singleXmlCell id="1369" r="U17" connectionId="0">
    <xmlCellPr id="1" uniqueName="ns2:Team6Diff19">
      <xmlPr mapId="4" xpath="/ns2:ScoreSheet/ns2:Diff3/ns2:Team6Diff19" xmlDataType="decimal"/>
    </xmlCellPr>
  </singleXmlCell>
  <singleXmlCell id="1370" r="V17" connectionId="0">
    <xmlCellPr id="1" uniqueName="ns2:Team6Diff20">
      <xmlPr mapId="4" xpath="/ns2:ScoreSheet/ns2:Diff3/ns2:Team6Diff20" xmlDataType="decimal"/>
    </xmlCellPr>
  </singleXmlCell>
  <singleXmlCell id="1371" r="C16" connectionId="0">
    <xmlCellPr id="1" uniqueName="ns2:Team6Consec1">
      <xmlPr mapId="4" xpath="/ns2:ScoreSheet/ns2:Diff3/ns2:Team6Consec1" xmlDataType="string"/>
    </xmlCellPr>
  </singleXmlCell>
  <singleXmlCell id="1372" r="D16" connectionId="0">
    <xmlCellPr id="1" uniqueName="ns2:Team6Consec2">
      <xmlPr mapId="4" xpath="/ns2:ScoreSheet/ns2:Diff3/ns2:Team6Consec2" xmlDataType="string"/>
    </xmlCellPr>
  </singleXmlCell>
  <singleXmlCell id="1373" r="E16" connectionId="0">
    <xmlCellPr id="1" uniqueName="ns2:Team6Consec3">
      <xmlPr mapId="4" xpath="/ns2:ScoreSheet/ns2:Diff3/ns2:Team6Consec3" xmlDataType="string"/>
    </xmlCellPr>
  </singleXmlCell>
  <singleXmlCell id="1374" r="F16" connectionId="0">
    <xmlCellPr id="1" uniqueName="ns2:Team6Consec4">
      <xmlPr mapId="4" xpath="/ns2:ScoreSheet/ns2:Diff3/ns2:Team6Consec4" xmlDataType="string"/>
    </xmlCellPr>
  </singleXmlCell>
  <singleXmlCell id="1375" r="G16" connectionId="0">
    <xmlCellPr id="1" uniqueName="ns2:Team6Consec5">
      <xmlPr mapId="4" xpath="/ns2:ScoreSheet/ns2:Diff3/ns2:Team6Consec5" xmlDataType="string"/>
    </xmlCellPr>
  </singleXmlCell>
  <singleXmlCell id="1376" r="H16" connectionId="0">
    <xmlCellPr id="1" uniqueName="ns2:Team6Consec6">
      <xmlPr mapId="4" xpath="/ns2:ScoreSheet/ns2:Diff3/ns2:Team6Consec6" xmlDataType="string"/>
    </xmlCellPr>
  </singleXmlCell>
  <singleXmlCell id="1377" r="I16" connectionId="0">
    <xmlCellPr id="1" uniqueName="ns2:Team6Consec7">
      <xmlPr mapId="4" xpath="/ns2:ScoreSheet/ns2:Diff3/ns2:Team6Consec7" xmlDataType="string"/>
    </xmlCellPr>
  </singleXmlCell>
  <singleXmlCell id="1378" r="J16" connectionId="0">
    <xmlCellPr id="1" uniqueName="ns2:Team6Consec8">
      <xmlPr mapId="4" xpath="/ns2:ScoreSheet/ns2:Diff3/ns2:Team6Consec8" xmlDataType="string"/>
    </xmlCellPr>
  </singleXmlCell>
  <singleXmlCell id="1379" r="K16" connectionId="0">
    <xmlCellPr id="1" uniqueName="ns2:Team6Consec9">
      <xmlPr mapId="4" xpath="/ns2:ScoreSheet/ns2:Diff3/ns2:Team6Consec9" xmlDataType="string"/>
    </xmlCellPr>
  </singleXmlCell>
  <singleXmlCell id="1380" r="L16" connectionId="0">
    <xmlCellPr id="1" uniqueName="ns2:Team6Consec10">
      <xmlPr mapId="4" xpath="/ns2:ScoreSheet/ns2:Diff3/ns2:Team6Consec10" xmlDataType="string"/>
    </xmlCellPr>
  </singleXmlCell>
  <singleXmlCell id="1381" r="M16" connectionId="0">
    <xmlCellPr id="1" uniqueName="ns2:Team6Consec11">
      <xmlPr mapId="4" xpath="/ns2:ScoreSheet/ns2:Diff3/ns2:Team6Consec11" xmlDataType="string"/>
    </xmlCellPr>
  </singleXmlCell>
  <singleXmlCell id="1382" r="N16" connectionId="0">
    <xmlCellPr id="1" uniqueName="ns2:Team6Consec12">
      <xmlPr mapId="4" xpath="/ns2:ScoreSheet/ns2:Diff3/ns2:Team6Consec12" xmlDataType="string"/>
    </xmlCellPr>
  </singleXmlCell>
  <singleXmlCell id="1383" r="O16" connectionId="0">
    <xmlCellPr id="1" uniqueName="ns2:Team6Consec13">
      <xmlPr mapId="4" xpath="/ns2:ScoreSheet/ns2:Diff3/ns2:Team6Consec13" xmlDataType="string"/>
    </xmlCellPr>
  </singleXmlCell>
  <singleXmlCell id="1384" r="P16" connectionId="0">
    <xmlCellPr id="1" uniqueName="ns2:Team6Consec14">
      <xmlPr mapId="4" xpath="/ns2:ScoreSheet/ns2:Diff3/ns2:Team6Consec14" xmlDataType="string"/>
    </xmlCellPr>
  </singleXmlCell>
  <singleXmlCell id="1385" r="Q16" connectionId="0">
    <xmlCellPr id="1" uniqueName="ns2:Team6Consec15">
      <xmlPr mapId="4" xpath="/ns2:ScoreSheet/ns2:Diff3/ns2:Team6Consec15" xmlDataType="string"/>
    </xmlCellPr>
  </singleXmlCell>
  <singleXmlCell id="1386" r="R16" connectionId="0">
    <xmlCellPr id="1" uniqueName="ns2:Team6Consec16">
      <xmlPr mapId="4" xpath="/ns2:ScoreSheet/ns2:Diff3/ns2:Team6Consec16" xmlDataType="string"/>
    </xmlCellPr>
  </singleXmlCell>
  <singleXmlCell id="1387" r="S16" connectionId="0">
    <xmlCellPr id="1" uniqueName="ns2:Team6Consec17">
      <xmlPr mapId="4" xpath="/ns2:ScoreSheet/ns2:Diff3/ns2:Team6Consec17" xmlDataType="string"/>
    </xmlCellPr>
  </singleXmlCell>
  <singleXmlCell id="1388" r="T16" connectionId="0">
    <xmlCellPr id="1" uniqueName="ns2:Team6Consec18">
      <xmlPr mapId="4" xpath="/ns2:ScoreSheet/ns2:Diff3/ns2:Team6Consec18" xmlDataType="string"/>
    </xmlCellPr>
  </singleXmlCell>
  <singleXmlCell id="1389" r="U16" connectionId="0">
    <xmlCellPr id="1" uniqueName="ns2:Team6Consec19">
      <xmlPr mapId="4" xpath="/ns2:ScoreSheet/ns2:Diff3/ns2:Team6Consec19" xmlDataType="string"/>
    </xmlCellPr>
  </singleXmlCell>
  <singleXmlCell id="1390" r="V16" connectionId="0">
    <xmlCellPr id="1" uniqueName="ns2:Team6Consec20">
      <xmlPr mapId="4" xpath="/ns2:ScoreSheet/ns2:Diff3/ns2:Team6Consec20" xmlDataType="string"/>
    </xmlCellPr>
  </singleXmlCell>
  <singleXmlCell id="1391" r="C19" connectionId="0">
    <xmlCellPr id="1" uniqueName="ns2:Team7Diff1">
      <xmlPr mapId="4" xpath="/ns2:ScoreSheet/ns2:Diff3/ns2:Team7Diff1" xmlDataType="decimal"/>
    </xmlCellPr>
  </singleXmlCell>
  <singleXmlCell id="1392" r="D19" connectionId="0">
    <xmlCellPr id="1" uniqueName="ns2:Team7Diff2">
      <xmlPr mapId="4" xpath="/ns2:ScoreSheet/ns2:Diff3/ns2:Team7Diff2" xmlDataType="decimal"/>
    </xmlCellPr>
  </singleXmlCell>
  <singleXmlCell id="1393" r="E19" connectionId="0">
    <xmlCellPr id="1" uniqueName="ns2:Team7Diff3">
      <xmlPr mapId="4" xpath="/ns2:ScoreSheet/ns2:Diff3/ns2:Team7Diff3" xmlDataType="decimal"/>
    </xmlCellPr>
  </singleXmlCell>
  <singleXmlCell id="1394" r="F19" connectionId="0">
    <xmlCellPr id="1" uniqueName="ns2:Team7Diff4">
      <xmlPr mapId="4" xpath="/ns2:ScoreSheet/ns2:Diff3/ns2:Team7Diff4" xmlDataType="decimal"/>
    </xmlCellPr>
  </singleXmlCell>
  <singleXmlCell id="1395" r="G19" connectionId="0">
    <xmlCellPr id="1" uniqueName="ns2:Team7Diff5">
      <xmlPr mapId="4" xpath="/ns2:ScoreSheet/ns2:Diff3/ns2:Team7Diff5" xmlDataType="decimal"/>
    </xmlCellPr>
  </singleXmlCell>
  <singleXmlCell id="1396" r="H19" connectionId="0">
    <xmlCellPr id="1" uniqueName="ns2:Team7Diff6">
      <xmlPr mapId="4" xpath="/ns2:ScoreSheet/ns2:Diff3/ns2:Team7Diff6" xmlDataType="decimal"/>
    </xmlCellPr>
  </singleXmlCell>
  <singleXmlCell id="1397" r="I19" connectionId="0">
    <xmlCellPr id="1" uniqueName="ns2:Team7Diff7">
      <xmlPr mapId="4" xpath="/ns2:ScoreSheet/ns2:Diff3/ns2:Team7Diff7" xmlDataType="decimal"/>
    </xmlCellPr>
  </singleXmlCell>
  <singleXmlCell id="1398" r="J19" connectionId="0">
    <xmlCellPr id="1" uniqueName="ns2:Team7Diff8">
      <xmlPr mapId="4" xpath="/ns2:ScoreSheet/ns2:Diff3/ns2:Team7Diff8" xmlDataType="decimal"/>
    </xmlCellPr>
  </singleXmlCell>
  <singleXmlCell id="1399" r="K19" connectionId="0">
    <xmlCellPr id="1" uniqueName="ns2:Team7Diff9">
      <xmlPr mapId="4" xpath="/ns2:ScoreSheet/ns2:Diff3/ns2:Team7Diff9" xmlDataType="decimal"/>
    </xmlCellPr>
  </singleXmlCell>
  <singleXmlCell id="1400" r="L19" connectionId="0">
    <xmlCellPr id="1" uniqueName="ns2:Team7Diff10">
      <xmlPr mapId="4" xpath="/ns2:ScoreSheet/ns2:Diff3/ns2:Team7Diff10" xmlDataType="decimal"/>
    </xmlCellPr>
  </singleXmlCell>
  <singleXmlCell id="1401" r="M19" connectionId="0">
    <xmlCellPr id="1" uniqueName="ns2:Team7Diff11">
      <xmlPr mapId="4" xpath="/ns2:ScoreSheet/ns2:Diff3/ns2:Team7Diff11" xmlDataType="decimal"/>
    </xmlCellPr>
  </singleXmlCell>
  <singleXmlCell id="1402" r="N19" connectionId="0">
    <xmlCellPr id="1" uniqueName="ns2:Team7Diff12">
      <xmlPr mapId="4" xpath="/ns2:ScoreSheet/ns2:Diff3/ns2:Team7Diff12" xmlDataType="decimal"/>
    </xmlCellPr>
  </singleXmlCell>
  <singleXmlCell id="1403" r="O19" connectionId="0">
    <xmlCellPr id="1" uniqueName="ns2:Team7Diff13">
      <xmlPr mapId="4" xpath="/ns2:ScoreSheet/ns2:Diff3/ns2:Team7Diff13" xmlDataType="decimal"/>
    </xmlCellPr>
  </singleXmlCell>
  <singleXmlCell id="1404" r="P19" connectionId="0">
    <xmlCellPr id="1" uniqueName="ns2:Team7Diff14">
      <xmlPr mapId="4" xpath="/ns2:ScoreSheet/ns2:Diff3/ns2:Team7Diff14" xmlDataType="decimal"/>
    </xmlCellPr>
  </singleXmlCell>
  <singleXmlCell id="1405" r="Q19" connectionId="0">
    <xmlCellPr id="1" uniqueName="ns2:Team7Diff15">
      <xmlPr mapId="4" xpath="/ns2:ScoreSheet/ns2:Diff3/ns2:Team7Diff15" xmlDataType="decimal"/>
    </xmlCellPr>
  </singleXmlCell>
  <singleXmlCell id="1406" r="R19" connectionId="0">
    <xmlCellPr id="1" uniqueName="ns2:Team7Diff16">
      <xmlPr mapId="4" xpath="/ns2:ScoreSheet/ns2:Diff3/ns2:Team7Diff16" xmlDataType="decimal"/>
    </xmlCellPr>
  </singleXmlCell>
  <singleXmlCell id="1407" r="S19" connectionId="0">
    <xmlCellPr id="1" uniqueName="ns2:Team7Diff17">
      <xmlPr mapId="4" xpath="/ns2:ScoreSheet/ns2:Diff3/ns2:Team7Diff17" xmlDataType="decimal"/>
    </xmlCellPr>
  </singleXmlCell>
  <singleXmlCell id="1408" r="T19" connectionId="0">
    <xmlCellPr id="1" uniqueName="ns2:Team7Diff18">
      <xmlPr mapId="4" xpath="/ns2:ScoreSheet/ns2:Diff3/ns2:Team7Diff18" xmlDataType="decimal"/>
    </xmlCellPr>
  </singleXmlCell>
  <singleXmlCell id="1409" r="U19" connectionId="0">
    <xmlCellPr id="1" uniqueName="ns2:Team7Diff19">
      <xmlPr mapId="4" xpath="/ns2:ScoreSheet/ns2:Diff3/ns2:Team7Diff19" xmlDataType="decimal"/>
    </xmlCellPr>
  </singleXmlCell>
  <singleXmlCell id="1410" r="V19" connectionId="0">
    <xmlCellPr id="1" uniqueName="ns2:Team7Diff20">
      <xmlPr mapId="4" xpath="/ns2:ScoreSheet/ns2:Diff3/ns2:Team7Diff20" xmlDataType="decimal"/>
    </xmlCellPr>
  </singleXmlCell>
  <singleXmlCell id="1411" r="C18" connectionId="0">
    <xmlCellPr id="1" uniqueName="ns2:Team7Consec1">
      <xmlPr mapId="4" xpath="/ns2:ScoreSheet/ns2:Diff3/ns2:Team7Consec1" xmlDataType="string"/>
    </xmlCellPr>
  </singleXmlCell>
  <singleXmlCell id="1412" r="D18" connectionId="0">
    <xmlCellPr id="1" uniqueName="ns2:Team7Consec2">
      <xmlPr mapId="4" xpath="/ns2:ScoreSheet/ns2:Diff3/ns2:Team7Consec2" xmlDataType="string"/>
    </xmlCellPr>
  </singleXmlCell>
  <singleXmlCell id="1413" r="E18" connectionId="0">
    <xmlCellPr id="1" uniqueName="ns2:Team7Consec3">
      <xmlPr mapId="4" xpath="/ns2:ScoreSheet/ns2:Diff3/ns2:Team7Consec3" xmlDataType="string"/>
    </xmlCellPr>
  </singleXmlCell>
  <singleXmlCell id="1414" r="F18" connectionId="0">
    <xmlCellPr id="1" uniqueName="ns2:Team7Consec4">
      <xmlPr mapId="4" xpath="/ns2:ScoreSheet/ns2:Diff3/ns2:Team7Consec4" xmlDataType="string"/>
    </xmlCellPr>
  </singleXmlCell>
  <singleXmlCell id="1415" r="G18" connectionId="0">
    <xmlCellPr id="1" uniqueName="ns2:Team7Consec5">
      <xmlPr mapId="4" xpath="/ns2:ScoreSheet/ns2:Diff3/ns2:Team7Consec5" xmlDataType="string"/>
    </xmlCellPr>
  </singleXmlCell>
  <singleXmlCell id="1416" r="H18" connectionId="0">
    <xmlCellPr id="1" uniqueName="ns2:Team7Consec6">
      <xmlPr mapId="4" xpath="/ns2:ScoreSheet/ns2:Diff3/ns2:Team7Consec6" xmlDataType="string"/>
    </xmlCellPr>
  </singleXmlCell>
  <singleXmlCell id="1417" r="I18" connectionId="0">
    <xmlCellPr id="1" uniqueName="ns2:Team7Consec7">
      <xmlPr mapId="4" xpath="/ns2:ScoreSheet/ns2:Diff3/ns2:Team7Consec7" xmlDataType="string"/>
    </xmlCellPr>
  </singleXmlCell>
  <singleXmlCell id="1418" r="J18" connectionId="0">
    <xmlCellPr id="1" uniqueName="ns2:Team7Consec8">
      <xmlPr mapId="4" xpath="/ns2:ScoreSheet/ns2:Diff3/ns2:Team7Consec8" xmlDataType="string"/>
    </xmlCellPr>
  </singleXmlCell>
  <singleXmlCell id="1419" r="K18" connectionId="0">
    <xmlCellPr id="1" uniqueName="ns2:Team7Consec9">
      <xmlPr mapId="4" xpath="/ns2:ScoreSheet/ns2:Diff3/ns2:Team7Consec9" xmlDataType="string"/>
    </xmlCellPr>
  </singleXmlCell>
  <singleXmlCell id="1420" r="L18" connectionId="0">
    <xmlCellPr id="1" uniqueName="ns2:Team7Consec10">
      <xmlPr mapId="4" xpath="/ns2:ScoreSheet/ns2:Diff3/ns2:Team7Consec10" xmlDataType="string"/>
    </xmlCellPr>
  </singleXmlCell>
  <singleXmlCell id="1421" r="M18" connectionId="0">
    <xmlCellPr id="1" uniqueName="ns2:Team7Consec11">
      <xmlPr mapId="4" xpath="/ns2:ScoreSheet/ns2:Diff3/ns2:Team7Consec11" xmlDataType="string"/>
    </xmlCellPr>
  </singleXmlCell>
  <singleXmlCell id="1422" r="N18" connectionId="0">
    <xmlCellPr id="1" uniqueName="ns2:Team7Consec12">
      <xmlPr mapId="4" xpath="/ns2:ScoreSheet/ns2:Diff3/ns2:Team7Consec12" xmlDataType="string"/>
    </xmlCellPr>
  </singleXmlCell>
  <singleXmlCell id="1423" r="O18" connectionId="0">
    <xmlCellPr id="1" uniqueName="ns2:Team7Consec13">
      <xmlPr mapId="4" xpath="/ns2:ScoreSheet/ns2:Diff3/ns2:Team7Consec13" xmlDataType="string"/>
    </xmlCellPr>
  </singleXmlCell>
  <singleXmlCell id="1424" r="P18" connectionId="0">
    <xmlCellPr id="1" uniqueName="ns2:Team7Consec14">
      <xmlPr mapId="4" xpath="/ns2:ScoreSheet/ns2:Diff3/ns2:Team7Consec14" xmlDataType="string"/>
    </xmlCellPr>
  </singleXmlCell>
  <singleXmlCell id="1425" r="Q18" connectionId="0">
    <xmlCellPr id="1" uniqueName="ns2:Team7Consec15">
      <xmlPr mapId="4" xpath="/ns2:ScoreSheet/ns2:Diff3/ns2:Team7Consec15" xmlDataType="string"/>
    </xmlCellPr>
  </singleXmlCell>
  <singleXmlCell id="1426" r="R18" connectionId="0">
    <xmlCellPr id="1" uniqueName="ns2:Team7Consec16">
      <xmlPr mapId="4" xpath="/ns2:ScoreSheet/ns2:Diff3/ns2:Team7Consec16" xmlDataType="string"/>
    </xmlCellPr>
  </singleXmlCell>
  <singleXmlCell id="1427" r="S18" connectionId="0">
    <xmlCellPr id="1" uniqueName="ns2:Team7Consec17">
      <xmlPr mapId="4" xpath="/ns2:ScoreSheet/ns2:Diff3/ns2:Team7Consec17" xmlDataType="string"/>
    </xmlCellPr>
  </singleXmlCell>
  <singleXmlCell id="1428" r="T18" connectionId="0">
    <xmlCellPr id="1" uniqueName="ns2:Team7Consec18">
      <xmlPr mapId="4" xpath="/ns2:ScoreSheet/ns2:Diff3/ns2:Team7Consec18" xmlDataType="string"/>
    </xmlCellPr>
  </singleXmlCell>
  <singleXmlCell id="1429" r="U18" connectionId="0">
    <xmlCellPr id="1" uniqueName="ns2:Team7Consec19">
      <xmlPr mapId="4" xpath="/ns2:ScoreSheet/ns2:Diff3/ns2:Team7Consec19" xmlDataType="string"/>
    </xmlCellPr>
  </singleXmlCell>
  <singleXmlCell id="1430" r="V18" connectionId="0">
    <xmlCellPr id="1" uniqueName="ns2:Team7Consec20">
      <xmlPr mapId="4" xpath="/ns2:ScoreSheet/ns2:Diff3/ns2:Team7Consec20" xmlDataType="string"/>
    </xmlCellPr>
  </singleXmlCell>
  <singleXmlCell id="1431" r="C21" connectionId="0">
    <xmlCellPr id="1" uniqueName="ns2:Team8Diff1">
      <xmlPr mapId="4" xpath="/ns2:ScoreSheet/ns2:Diff3/ns2:Team8Diff1" xmlDataType="decimal"/>
    </xmlCellPr>
  </singleXmlCell>
  <singleXmlCell id="1432" r="D21" connectionId="0">
    <xmlCellPr id="1" uniqueName="ns2:Team8Diff2">
      <xmlPr mapId="4" xpath="/ns2:ScoreSheet/ns2:Diff3/ns2:Team8Diff2" xmlDataType="decimal"/>
    </xmlCellPr>
  </singleXmlCell>
  <singleXmlCell id="1433" r="E21" connectionId="0">
    <xmlCellPr id="1" uniqueName="ns2:Team8Diff3">
      <xmlPr mapId="4" xpath="/ns2:ScoreSheet/ns2:Diff3/ns2:Team8Diff3" xmlDataType="decimal"/>
    </xmlCellPr>
  </singleXmlCell>
  <singleXmlCell id="1434" r="F21" connectionId="0">
    <xmlCellPr id="1" uniqueName="ns2:Team8Diff4">
      <xmlPr mapId="4" xpath="/ns2:ScoreSheet/ns2:Diff3/ns2:Team8Diff4" xmlDataType="decimal"/>
    </xmlCellPr>
  </singleXmlCell>
  <singleXmlCell id="1435" r="G21" connectionId="0">
    <xmlCellPr id="1" uniqueName="ns2:Team8Diff5">
      <xmlPr mapId="4" xpath="/ns2:ScoreSheet/ns2:Diff3/ns2:Team8Diff5" xmlDataType="decimal"/>
    </xmlCellPr>
  </singleXmlCell>
  <singleXmlCell id="1436" r="H21" connectionId="0">
    <xmlCellPr id="1" uniqueName="ns2:Team8Diff6">
      <xmlPr mapId="4" xpath="/ns2:ScoreSheet/ns2:Diff3/ns2:Team8Diff6" xmlDataType="decimal"/>
    </xmlCellPr>
  </singleXmlCell>
  <singleXmlCell id="1437" r="I21" connectionId="0">
    <xmlCellPr id="1" uniqueName="ns2:Team8Diff7">
      <xmlPr mapId="4" xpath="/ns2:ScoreSheet/ns2:Diff3/ns2:Team8Diff7" xmlDataType="decimal"/>
    </xmlCellPr>
  </singleXmlCell>
  <singleXmlCell id="1438" r="J21" connectionId="0">
    <xmlCellPr id="1" uniqueName="ns2:Team8Diff8">
      <xmlPr mapId="4" xpath="/ns2:ScoreSheet/ns2:Diff3/ns2:Team8Diff8" xmlDataType="decimal"/>
    </xmlCellPr>
  </singleXmlCell>
  <singleXmlCell id="1439" r="K21" connectionId="0">
    <xmlCellPr id="1" uniqueName="ns2:Team8Diff9">
      <xmlPr mapId="4" xpath="/ns2:ScoreSheet/ns2:Diff3/ns2:Team8Diff9" xmlDataType="decimal"/>
    </xmlCellPr>
  </singleXmlCell>
  <singleXmlCell id="1440" r="L21" connectionId="0">
    <xmlCellPr id="1" uniqueName="ns2:Team8Diff10">
      <xmlPr mapId="4" xpath="/ns2:ScoreSheet/ns2:Diff3/ns2:Team8Diff10" xmlDataType="decimal"/>
    </xmlCellPr>
  </singleXmlCell>
  <singleXmlCell id="1441" r="M21" connectionId="0">
    <xmlCellPr id="1" uniqueName="ns2:Team8Diff11">
      <xmlPr mapId="4" xpath="/ns2:ScoreSheet/ns2:Diff3/ns2:Team8Diff11" xmlDataType="decimal"/>
    </xmlCellPr>
  </singleXmlCell>
  <singleXmlCell id="1442" r="N21" connectionId="0">
    <xmlCellPr id="1" uniqueName="ns2:Team8Diff12">
      <xmlPr mapId="4" xpath="/ns2:ScoreSheet/ns2:Diff3/ns2:Team8Diff12" xmlDataType="decimal"/>
    </xmlCellPr>
  </singleXmlCell>
  <singleXmlCell id="1443" r="O21" connectionId="0">
    <xmlCellPr id="1" uniqueName="ns2:Team8Diff13">
      <xmlPr mapId="4" xpath="/ns2:ScoreSheet/ns2:Diff3/ns2:Team8Diff13" xmlDataType="decimal"/>
    </xmlCellPr>
  </singleXmlCell>
  <singleXmlCell id="1444" r="P21" connectionId="0">
    <xmlCellPr id="1" uniqueName="ns2:Team8Diff14">
      <xmlPr mapId="4" xpath="/ns2:ScoreSheet/ns2:Diff3/ns2:Team8Diff14" xmlDataType="decimal"/>
    </xmlCellPr>
  </singleXmlCell>
  <singleXmlCell id="1445" r="Q21" connectionId="0">
    <xmlCellPr id="1" uniqueName="ns2:Team8Diff15">
      <xmlPr mapId="4" xpath="/ns2:ScoreSheet/ns2:Diff3/ns2:Team8Diff15" xmlDataType="decimal"/>
    </xmlCellPr>
  </singleXmlCell>
  <singleXmlCell id="1446" r="R21" connectionId="0">
    <xmlCellPr id="1" uniqueName="ns2:Team8Diff16">
      <xmlPr mapId="4" xpath="/ns2:ScoreSheet/ns2:Diff3/ns2:Team8Diff16" xmlDataType="decimal"/>
    </xmlCellPr>
  </singleXmlCell>
  <singleXmlCell id="1447" r="S21" connectionId="0">
    <xmlCellPr id="1" uniqueName="ns2:Team8Diff17">
      <xmlPr mapId="4" xpath="/ns2:ScoreSheet/ns2:Diff3/ns2:Team8Diff17" xmlDataType="decimal"/>
    </xmlCellPr>
  </singleXmlCell>
  <singleXmlCell id="1448" r="T21" connectionId="0">
    <xmlCellPr id="1" uniqueName="ns2:Team8Diff18">
      <xmlPr mapId="4" xpath="/ns2:ScoreSheet/ns2:Diff3/ns2:Team8Diff18" xmlDataType="decimal"/>
    </xmlCellPr>
  </singleXmlCell>
  <singleXmlCell id="1449" r="U21" connectionId="0">
    <xmlCellPr id="1" uniqueName="ns2:Team8Diff19">
      <xmlPr mapId="4" xpath="/ns2:ScoreSheet/ns2:Diff3/ns2:Team8Diff19" xmlDataType="decimal"/>
    </xmlCellPr>
  </singleXmlCell>
  <singleXmlCell id="1450" r="V21" connectionId="0">
    <xmlCellPr id="1" uniqueName="ns2:Team8Diff20">
      <xmlPr mapId="4" xpath="/ns2:ScoreSheet/ns2:Diff3/ns2:Team8Diff20" xmlDataType="decimal"/>
    </xmlCellPr>
  </singleXmlCell>
  <singleXmlCell id="1451" r="C20" connectionId="0">
    <xmlCellPr id="1" uniqueName="ns2:Team8Consec1">
      <xmlPr mapId="4" xpath="/ns2:ScoreSheet/ns2:Diff3/ns2:Team8Consec1" xmlDataType="string"/>
    </xmlCellPr>
  </singleXmlCell>
  <singleXmlCell id="1452" r="D20" connectionId="0">
    <xmlCellPr id="1" uniqueName="ns2:Team8Consec2">
      <xmlPr mapId="4" xpath="/ns2:ScoreSheet/ns2:Diff3/ns2:Team8Consec2" xmlDataType="string"/>
    </xmlCellPr>
  </singleXmlCell>
  <singleXmlCell id="1453" r="E20" connectionId="0">
    <xmlCellPr id="1" uniqueName="ns2:Team8Consec3">
      <xmlPr mapId="4" xpath="/ns2:ScoreSheet/ns2:Diff3/ns2:Team8Consec3" xmlDataType="string"/>
    </xmlCellPr>
  </singleXmlCell>
  <singleXmlCell id="1454" r="F20" connectionId="0">
    <xmlCellPr id="1" uniqueName="ns2:Team8Consec4">
      <xmlPr mapId="4" xpath="/ns2:ScoreSheet/ns2:Diff3/ns2:Team8Consec4" xmlDataType="string"/>
    </xmlCellPr>
  </singleXmlCell>
  <singleXmlCell id="1455" r="G20" connectionId="0">
    <xmlCellPr id="1" uniqueName="ns2:Team8Consec5">
      <xmlPr mapId="4" xpath="/ns2:ScoreSheet/ns2:Diff3/ns2:Team8Consec5" xmlDataType="string"/>
    </xmlCellPr>
  </singleXmlCell>
  <singleXmlCell id="1456" r="H20" connectionId="0">
    <xmlCellPr id="1" uniqueName="ns2:Team8Consec6">
      <xmlPr mapId="4" xpath="/ns2:ScoreSheet/ns2:Diff3/ns2:Team8Consec6" xmlDataType="string"/>
    </xmlCellPr>
  </singleXmlCell>
  <singleXmlCell id="1457" r="I20" connectionId="0">
    <xmlCellPr id="1" uniqueName="ns2:Team8Consec7">
      <xmlPr mapId="4" xpath="/ns2:ScoreSheet/ns2:Diff3/ns2:Team8Consec7" xmlDataType="string"/>
    </xmlCellPr>
  </singleXmlCell>
  <singleXmlCell id="1458" r="J20" connectionId="0">
    <xmlCellPr id="1" uniqueName="ns2:Team8Consec8">
      <xmlPr mapId="4" xpath="/ns2:ScoreSheet/ns2:Diff3/ns2:Team8Consec8" xmlDataType="string"/>
    </xmlCellPr>
  </singleXmlCell>
  <singleXmlCell id="1459" r="K20" connectionId="0">
    <xmlCellPr id="1" uniqueName="ns2:Team8Consec9">
      <xmlPr mapId="4" xpath="/ns2:ScoreSheet/ns2:Diff3/ns2:Team8Consec9" xmlDataType="string"/>
    </xmlCellPr>
  </singleXmlCell>
  <singleXmlCell id="1460" r="L20" connectionId="0">
    <xmlCellPr id="1" uniqueName="ns2:Team8Consec10">
      <xmlPr mapId="4" xpath="/ns2:ScoreSheet/ns2:Diff3/ns2:Team8Consec10" xmlDataType="string"/>
    </xmlCellPr>
  </singleXmlCell>
  <singleXmlCell id="1461" r="M20" connectionId="0">
    <xmlCellPr id="1" uniqueName="ns2:Team8Consec11">
      <xmlPr mapId="4" xpath="/ns2:ScoreSheet/ns2:Diff3/ns2:Team8Consec11" xmlDataType="string"/>
    </xmlCellPr>
  </singleXmlCell>
  <singleXmlCell id="1462" r="N20" connectionId="0">
    <xmlCellPr id="1" uniqueName="ns2:Team8Consec12">
      <xmlPr mapId="4" xpath="/ns2:ScoreSheet/ns2:Diff3/ns2:Team8Consec12" xmlDataType="string"/>
    </xmlCellPr>
  </singleXmlCell>
  <singleXmlCell id="1463" r="O20" connectionId="0">
    <xmlCellPr id="1" uniqueName="ns2:Team8Consec13">
      <xmlPr mapId="4" xpath="/ns2:ScoreSheet/ns2:Diff3/ns2:Team8Consec13" xmlDataType="string"/>
    </xmlCellPr>
  </singleXmlCell>
  <singleXmlCell id="1464" r="P20" connectionId="0">
    <xmlCellPr id="1" uniqueName="ns2:Team8Consec14">
      <xmlPr mapId="4" xpath="/ns2:ScoreSheet/ns2:Diff3/ns2:Team8Consec14" xmlDataType="string"/>
    </xmlCellPr>
  </singleXmlCell>
  <singleXmlCell id="1465" r="Q20" connectionId="0">
    <xmlCellPr id="1" uniqueName="ns2:Team8Consec15">
      <xmlPr mapId="4" xpath="/ns2:ScoreSheet/ns2:Diff3/ns2:Team8Consec15" xmlDataType="string"/>
    </xmlCellPr>
  </singleXmlCell>
  <singleXmlCell id="1466" r="R20" connectionId="0">
    <xmlCellPr id="1" uniqueName="ns2:Team8Consec16">
      <xmlPr mapId="4" xpath="/ns2:ScoreSheet/ns2:Diff3/ns2:Team8Consec16" xmlDataType="string"/>
    </xmlCellPr>
  </singleXmlCell>
  <singleXmlCell id="1467" r="S20" connectionId="0">
    <xmlCellPr id="1" uniqueName="ns2:Team8Consec17">
      <xmlPr mapId="4" xpath="/ns2:ScoreSheet/ns2:Diff3/ns2:Team8Consec17" xmlDataType="string"/>
    </xmlCellPr>
  </singleXmlCell>
  <singleXmlCell id="1468" r="T20" connectionId="0">
    <xmlCellPr id="1" uniqueName="ns2:Team8Consec18">
      <xmlPr mapId="4" xpath="/ns2:ScoreSheet/ns2:Diff3/ns2:Team8Consec18" xmlDataType="string"/>
    </xmlCellPr>
  </singleXmlCell>
  <singleXmlCell id="1469" r="U20" connectionId="0">
    <xmlCellPr id="1" uniqueName="ns2:Team8Consec19">
      <xmlPr mapId="4" xpath="/ns2:ScoreSheet/ns2:Diff3/ns2:Team8Consec19" xmlDataType="string"/>
    </xmlCellPr>
  </singleXmlCell>
  <singleXmlCell id="1470" r="V20" connectionId="0">
    <xmlCellPr id="1" uniqueName="ns2:Team8Consec20">
      <xmlPr mapId="4" xpath="/ns2:ScoreSheet/ns2:Diff3/ns2:Team8Consec20" xmlDataType="string"/>
    </xmlCellPr>
  </singleXmlCell>
  <singleXmlCell id="1471" r="C23" connectionId="0">
    <xmlCellPr id="1" uniqueName="ns2:Team9Diff1">
      <xmlPr mapId="4" xpath="/ns2:ScoreSheet/ns2:Diff3/ns2:Team9Diff1" xmlDataType="decimal"/>
    </xmlCellPr>
  </singleXmlCell>
  <singleXmlCell id="1472" r="D23" connectionId="0">
    <xmlCellPr id="1" uniqueName="ns2:Team9Diff2">
      <xmlPr mapId="4" xpath="/ns2:ScoreSheet/ns2:Diff3/ns2:Team9Diff2" xmlDataType="decimal"/>
    </xmlCellPr>
  </singleXmlCell>
  <singleXmlCell id="1473" r="E23" connectionId="0">
    <xmlCellPr id="1" uniqueName="ns2:Team9Diff3">
      <xmlPr mapId="4" xpath="/ns2:ScoreSheet/ns2:Diff3/ns2:Team9Diff3" xmlDataType="decimal"/>
    </xmlCellPr>
  </singleXmlCell>
  <singleXmlCell id="1474" r="F23" connectionId="0">
    <xmlCellPr id="1" uniqueName="ns2:Team9Diff4">
      <xmlPr mapId="4" xpath="/ns2:ScoreSheet/ns2:Diff3/ns2:Team9Diff4" xmlDataType="decimal"/>
    </xmlCellPr>
  </singleXmlCell>
  <singleXmlCell id="1475" r="G23" connectionId="0">
    <xmlCellPr id="1" uniqueName="ns2:Team9Diff5">
      <xmlPr mapId="4" xpath="/ns2:ScoreSheet/ns2:Diff3/ns2:Team9Diff5" xmlDataType="decimal"/>
    </xmlCellPr>
  </singleXmlCell>
  <singleXmlCell id="1476" r="H23" connectionId="0">
    <xmlCellPr id="1" uniqueName="ns2:Team9Diff6">
      <xmlPr mapId="4" xpath="/ns2:ScoreSheet/ns2:Diff3/ns2:Team9Diff6" xmlDataType="decimal"/>
    </xmlCellPr>
  </singleXmlCell>
  <singleXmlCell id="1477" r="I23" connectionId="0">
    <xmlCellPr id="1" uniqueName="ns2:Team9Diff7">
      <xmlPr mapId="4" xpath="/ns2:ScoreSheet/ns2:Diff3/ns2:Team9Diff7" xmlDataType="decimal"/>
    </xmlCellPr>
  </singleXmlCell>
  <singleXmlCell id="1478" r="J23" connectionId="0">
    <xmlCellPr id="1" uniqueName="ns2:Team9Diff8">
      <xmlPr mapId="4" xpath="/ns2:ScoreSheet/ns2:Diff3/ns2:Team9Diff8" xmlDataType="decimal"/>
    </xmlCellPr>
  </singleXmlCell>
  <singleXmlCell id="1479" r="K23" connectionId="0">
    <xmlCellPr id="1" uniqueName="ns2:Team9Diff9">
      <xmlPr mapId="4" xpath="/ns2:ScoreSheet/ns2:Diff3/ns2:Team9Diff9" xmlDataType="decimal"/>
    </xmlCellPr>
  </singleXmlCell>
  <singleXmlCell id="1480" r="L23" connectionId="0">
    <xmlCellPr id="1" uniqueName="ns2:Team9Diff10">
      <xmlPr mapId="4" xpath="/ns2:ScoreSheet/ns2:Diff3/ns2:Team9Diff10" xmlDataType="decimal"/>
    </xmlCellPr>
  </singleXmlCell>
  <singleXmlCell id="1481" r="M23" connectionId="0">
    <xmlCellPr id="1" uniqueName="ns2:Team9Diff11">
      <xmlPr mapId="4" xpath="/ns2:ScoreSheet/ns2:Diff3/ns2:Team9Diff11" xmlDataType="decimal"/>
    </xmlCellPr>
  </singleXmlCell>
  <singleXmlCell id="1482" r="N23" connectionId="0">
    <xmlCellPr id="1" uniqueName="ns2:Team9Diff12">
      <xmlPr mapId="4" xpath="/ns2:ScoreSheet/ns2:Diff3/ns2:Team9Diff12" xmlDataType="decimal"/>
    </xmlCellPr>
  </singleXmlCell>
  <singleXmlCell id="1483" r="O23" connectionId="0">
    <xmlCellPr id="1" uniqueName="ns2:Team9Diff13">
      <xmlPr mapId="4" xpath="/ns2:ScoreSheet/ns2:Diff3/ns2:Team9Diff13" xmlDataType="decimal"/>
    </xmlCellPr>
  </singleXmlCell>
  <singleXmlCell id="1484" r="P23" connectionId="0">
    <xmlCellPr id="1" uniqueName="ns2:Team9Diff14">
      <xmlPr mapId="4" xpath="/ns2:ScoreSheet/ns2:Diff3/ns2:Team9Diff14" xmlDataType="decimal"/>
    </xmlCellPr>
  </singleXmlCell>
  <singleXmlCell id="1485" r="Q23" connectionId="0">
    <xmlCellPr id="1" uniqueName="ns2:Team9Diff15">
      <xmlPr mapId="4" xpath="/ns2:ScoreSheet/ns2:Diff3/ns2:Team9Diff15" xmlDataType="decimal"/>
    </xmlCellPr>
  </singleXmlCell>
  <singleXmlCell id="1486" r="R23" connectionId="0">
    <xmlCellPr id="1" uniqueName="ns2:Team9Diff16">
      <xmlPr mapId="4" xpath="/ns2:ScoreSheet/ns2:Diff3/ns2:Team9Diff16" xmlDataType="decimal"/>
    </xmlCellPr>
  </singleXmlCell>
  <singleXmlCell id="1487" r="S23" connectionId="0">
    <xmlCellPr id="1" uniqueName="ns2:Team9Diff17">
      <xmlPr mapId="4" xpath="/ns2:ScoreSheet/ns2:Diff3/ns2:Team9Diff17" xmlDataType="decimal"/>
    </xmlCellPr>
  </singleXmlCell>
  <singleXmlCell id="1488" r="T23" connectionId="0">
    <xmlCellPr id="1" uniqueName="ns2:Team9Diff18">
      <xmlPr mapId="4" xpath="/ns2:ScoreSheet/ns2:Diff3/ns2:Team9Diff18" xmlDataType="decimal"/>
    </xmlCellPr>
  </singleXmlCell>
  <singleXmlCell id="1489" r="U23" connectionId="0">
    <xmlCellPr id="1" uniqueName="ns2:Team9Diff19">
      <xmlPr mapId="4" xpath="/ns2:ScoreSheet/ns2:Diff3/ns2:Team9Diff19" xmlDataType="decimal"/>
    </xmlCellPr>
  </singleXmlCell>
  <singleXmlCell id="1490" r="V23" connectionId="0">
    <xmlCellPr id="1" uniqueName="ns2:Team9Diff20">
      <xmlPr mapId="4" xpath="/ns2:ScoreSheet/ns2:Diff3/ns2:Team9Diff20" xmlDataType="decimal"/>
    </xmlCellPr>
  </singleXmlCell>
  <singleXmlCell id="1491" r="C22" connectionId="0">
    <xmlCellPr id="1" uniqueName="ns2:Team9Consec1">
      <xmlPr mapId="4" xpath="/ns2:ScoreSheet/ns2:Diff3/ns2:Team9Consec1" xmlDataType="string"/>
    </xmlCellPr>
  </singleXmlCell>
  <singleXmlCell id="1492" r="D22" connectionId="0">
    <xmlCellPr id="1" uniqueName="ns2:Team9Consec2">
      <xmlPr mapId="4" xpath="/ns2:ScoreSheet/ns2:Diff3/ns2:Team9Consec2" xmlDataType="string"/>
    </xmlCellPr>
  </singleXmlCell>
  <singleXmlCell id="1493" r="E22" connectionId="0">
    <xmlCellPr id="1" uniqueName="ns2:Team9Consec3">
      <xmlPr mapId="4" xpath="/ns2:ScoreSheet/ns2:Diff3/ns2:Team9Consec3" xmlDataType="string"/>
    </xmlCellPr>
  </singleXmlCell>
  <singleXmlCell id="1494" r="F22" connectionId="0">
    <xmlCellPr id="1" uniqueName="ns2:Team9Consec4">
      <xmlPr mapId="4" xpath="/ns2:ScoreSheet/ns2:Diff3/ns2:Team9Consec4" xmlDataType="string"/>
    </xmlCellPr>
  </singleXmlCell>
  <singleXmlCell id="1495" r="G22" connectionId="0">
    <xmlCellPr id="1" uniqueName="ns2:Team9Consec5">
      <xmlPr mapId="4" xpath="/ns2:ScoreSheet/ns2:Diff3/ns2:Team9Consec5" xmlDataType="string"/>
    </xmlCellPr>
  </singleXmlCell>
  <singleXmlCell id="1496" r="H22" connectionId="0">
    <xmlCellPr id="1" uniqueName="ns2:Team9Consec6">
      <xmlPr mapId="4" xpath="/ns2:ScoreSheet/ns2:Diff3/ns2:Team9Consec6" xmlDataType="string"/>
    </xmlCellPr>
  </singleXmlCell>
  <singleXmlCell id="1497" r="I22" connectionId="0">
    <xmlCellPr id="1" uniqueName="ns2:Team9Consec7">
      <xmlPr mapId="4" xpath="/ns2:ScoreSheet/ns2:Diff3/ns2:Team9Consec7" xmlDataType="string"/>
    </xmlCellPr>
  </singleXmlCell>
  <singleXmlCell id="1498" r="J22" connectionId="0">
    <xmlCellPr id="1" uniqueName="ns2:Team9Consec8">
      <xmlPr mapId="4" xpath="/ns2:ScoreSheet/ns2:Diff3/ns2:Team9Consec8" xmlDataType="string"/>
    </xmlCellPr>
  </singleXmlCell>
  <singleXmlCell id="1499" r="K22" connectionId="0">
    <xmlCellPr id="1" uniqueName="ns2:Team9Consec9">
      <xmlPr mapId="4" xpath="/ns2:ScoreSheet/ns2:Diff3/ns2:Team9Consec9" xmlDataType="string"/>
    </xmlCellPr>
  </singleXmlCell>
  <singleXmlCell id="1500" r="L22" connectionId="0">
    <xmlCellPr id="1" uniqueName="ns2:Team9Consec10">
      <xmlPr mapId="4" xpath="/ns2:ScoreSheet/ns2:Diff3/ns2:Team9Consec10" xmlDataType="string"/>
    </xmlCellPr>
  </singleXmlCell>
  <singleXmlCell id="1501" r="M22" connectionId="0">
    <xmlCellPr id="1" uniqueName="ns2:Team9Consec11">
      <xmlPr mapId="4" xpath="/ns2:ScoreSheet/ns2:Diff3/ns2:Team9Consec11" xmlDataType="string"/>
    </xmlCellPr>
  </singleXmlCell>
  <singleXmlCell id="1502" r="N22" connectionId="0">
    <xmlCellPr id="1" uniqueName="ns2:Team9Consec12">
      <xmlPr mapId="4" xpath="/ns2:ScoreSheet/ns2:Diff3/ns2:Team9Consec12" xmlDataType="string"/>
    </xmlCellPr>
  </singleXmlCell>
  <singleXmlCell id="1503" r="O22" connectionId="0">
    <xmlCellPr id="1" uniqueName="ns2:Team9Consec13">
      <xmlPr mapId="4" xpath="/ns2:ScoreSheet/ns2:Diff3/ns2:Team9Consec13" xmlDataType="string"/>
    </xmlCellPr>
  </singleXmlCell>
  <singleXmlCell id="1504" r="P22" connectionId="0">
    <xmlCellPr id="1" uniqueName="ns2:Team9Consec14">
      <xmlPr mapId="4" xpath="/ns2:ScoreSheet/ns2:Diff3/ns2:Team9Consec14" xmlDataType="string"/>
    </xmlCellPr>
  </singleXmlCell>
  <singleXmlCell id="1505" r="Q22" connectionId="0">
    <xmlCellPr id="1" uniqueName="ns2:Team9Consec15">
      <xmlPr mapId="4" xpath="/ns2:ScoreSheet/ns2:Diff3/ns2:Team9Consec15" xmlDataType="string"/>
    </xmlCellPr>
  </singleXmlCell>
  <singleXmlCell id="1506" r="R22" connectionId="0">
    <xmlCellPr id="1" uniqueName="ns2:Team9Consec16">
      <xmlPr mapId="4" xpath="/ns2:ScoreSheet/ns2:Diff3/ns2:Team9Consec16" xmlDataType="string"/>
    </xmlCellPr>
  </singleXmlCell>
  <singleXmlCell id="1507" r="S22" connectionId="0">
    <xmlCellPr id="1" uniqueName="ns2:Team9Consec17">
      <xmlPr mapId="4" xpath="/ns2:ScoreSheet/ns2:Diff3/ns2:Team9Consec17" xmlDataType="string"/>
    </xmlCellPr>
  </singleXmlCell>
  <singleXmlCell id="1508" r="T22" connectionId="0">
    <xmlCellPr id="1" uniqueName="ns2:Team9Consec18">
      <xmlPr mapId="4" xpath="/ns2:ScoreSheet/ns2:Diff3/ns2:Team9Consec18" xmlDataType="string"/>
    </xmlCellPr>
  </singleXmlCell>
  <singleXmlCell id="1509" r="U22" connectionId="0">
    <xmlCellPr id="1" uniqueName="ns2:Team9Consec19">
      <xmlPr mapId="4" xpath="/ns2:ScoreSheet/ns2:Diff3/ns2:Team9Consec19" xmlDataType="string"/>
    </xmlCellPr>
  </singleXmlCell>
  <singleXmlCell id="1510" r="V22" connectionId="0">
    <xmlCellPr id="1" uniqueName="ns2:Team9Consec20">
      <xmlPr mapId="4" xpath="/ns2:ScoreSheet/ns2:Diff3/ns2:Team9Consec20" xmlDataType="string"/>
    </xmlCellPr>
  </singleXmlCell>
  <singleXmlCell id="1511" r="C25" connectionId="0">
    <xmlCellPr id="1" uniqueName="ns2:Team10Diff1">
      <xmlPr mapId="4" xpath="/ns2:ScoreSheet/ns2:Diff3/ns2:Team10Diff1" xmlDataType="decimal"/>
    </xmlCellPr>
  </singleXmlCell>
  <singleXmlCell id="1512" r="D25" connectionId="0">
    <xmlCellPr id="1" uniqueName="ns2:Team10Diff2">
      <xmlPr mapId="4" xpath="/ns2:ScoreSheet/ns2:Diff3/ns2:Team10Diff2" xmlDataType="decimal"/>
    </xmlCellPr>
  </singleXmlCell>
  <singleXmlCell id="1513" r="E25" connectionId="0">
    <xmlCellPr id="1" uniqueName="ns2:Team10Diff3">
      <xmlPr mapId="4" xpath="/ns2:ScoreSheet/ns2:Diff3/ns2:Team10Diff3" xmlDataType="decimal"/>
    </xmlCellPr>
  </singleXmlCell>
  <singleXmlCell id="1514" r="F25" connectionId="0">
    <xmlCellPr id="1" uniqueName="ns2:Team10Diff4">
      <xmlPr mapId="4" xpath="/ns2:ScoreSheet/ns2:Diff3/ns2:Team10Diff4" xmlDataType="decimal"/>
    </xmlCellPr>
  </singleXmlCell>
  <singleXmlCell id="1515" r="G25" connectionId="0">
    <xmlCellPr id="1" uniqueName="ns2:Team10Diff5">
      <xmlPr mapId="4" xpath="/ns2:ScoreSheet/ns2:Diff3/ns2:Team10Diff5" xmlDataType="decimal"/>
    </xmlCellPr>
  </singleXmlCell>
  <singleXmlCell id="1516" r="H25" connectionId="0">
    <xmlCellPr id="1" uniqueName="ns2:Team10Diff6">
      <xmlPr mapId="4" xpath="/ns2:ScoreSheet/ns2:Diff3/ns2:Team10Diff6" xmlDataType="decimal"/>
    </xmlCellPr>
  </singleXmlCell>
  <singleXmlCell id="1517" r="I25" connectionId="0">
    <xmlCellPr id="1" uniqueName="ns2:Team10Diff7">
      <xmlPr mapId="4" xpath="/ns2:ScoreSheet/ns2:Diff3/ns2:Team10Diff7" xmlDataType="decimal"/>
    </xmlCellPr>
  </singleXmlCell>
  <singleXmlCell id="1518" r="J25" connectionId="0">
    <xmlCellPr id="1" uniqueName="ns2:Team10Diff8">
      <xmlPr mapId="4" xpath="/ns2:ScoreSheet/ns2:Diff3/ns2:Team10Diff8" xmlDataType="decimal"/>
    </xmlCellPr>
  </singleXmlCell>
  <singleXmlCell id="1519" r="K25" connectionId="0">
    <xmlCellPr id="1" uniqueName="ns2:Team10Diff9">
      <xmlPr mapId="4" xpath="/ns2:ScoreSheet/ns2:Diff3/ns2:Team10Diff9" xmlDataType="decimal"/>
    </xmlCellPr>
  </singleXmlCell>
  <singleXmlCell id="1520" r="L25" connectionId="0">
    <xmlCellPr id="1" uniqueName="ns2:Team10Diff10">
      <xmlPr mapId="4" xpath="/ns2:ScoreSheet/ns2:Diff3/ns2:Team10Diff10" xmlDataType="decimal"/>
    </xmlCellPr>
  </singleXmlCell>
  <singleXmlCell id="1521" r="M25" connectionId="0">
    <xmlCellPr id="1" uniqueName="ns2:Team10Diff11">
      <xmlPr mapId="4" xpath="/ns2:ScoreSheet/ns2:Diff3/ns2:Team10Diff11" xmlDataType="decimal"/>
    </xmlCellPr>
  </singleXmlCell>
  <singleXmlCell id="1522" r="N25" connectionId="0">
    <xmlCellPr id="1" uniqueName="ns2:Team10Diff12">
      <xmlPr mapId="4" xpath="/ns2:ScoreSheet/ns2:Diff3/ns2:Team10Diff12" xmlDataType="decimal"/>
    </xmlCellPr>
  </singleXmlCell>
  <singleXmlCell id="1523" r="O25" connectionId="0">
    <xmlCellPr id="1" uniqueName="ns2:Team10Diff13">
      <xmlPr mapId="4" xpath="/ns2:ScoreSheet/ns2:Diff3/ns2:Team10Diff13" xmlDataType="decimal"/>
    </xmlCellPr>
  </singleXmlCell>
  <singleXmlCell id="1524" r="P25" connectionId="0">
    <xmlCellPr id="1" uniqueName="ns2:Team10Diff14">
      <xmlPr mapId="4" xpath="/ns2:ScoreSheet/ns2:Diff3/ns2:Team10Diff14" xmlDataType="decimal"/>
    </xmlCellPr>
  </singleXmlCell>
  <singleXmlCell id="1525" r="Q25" connectionId="0">
    <xmlCellPr id="1" uniqueName="ns2:Team10Diff15">
      <xmlPr mapId="4" xpath="/ns2:ScoreSheet/ns2:Diff3/ns2:Team10Diff15" xmlDataType="decimal"/>
    </xmlCellPr>
  </singleXmlCell>
  <singleXmlCell id="1526" r="R25" connectionId="0">
    <xmlCellPr id="1" uniqueName="ns2:Team10Diff16">
      <xmlPr mapId="4" xpath="/ns2:ScoreSheet/ns2:Diff3/ns2:Team10Diff16" xmlDataType="decimal"/>
    </xmlCellPr>
  </singleXmlCell>
  <singleXmlCell id="1527" r="S25" connectionId="0">
    <xmlCellPr id="1" uniqueName="ns2:Team10Diff17">
      <xmlPr mapId="4" xpath="/ns2:ScoreSheet/ns2:Diff3/ns2:Team10Diff17" xmlDataType="decimal"/>
    </xmlCellPr>
  </singleXmlCell>
  <singleXmlCell id="1528" r="T25" connectionId="0">
    <xmlCellPr id="1" uniqueName="ns2:Team10Diff18">
      <xmlPr mapId="4" xpath="/ns2:ScoreSheet/ns2:Diff3/ns2:Team10Diff18" xmlDataType="decimal"/>
    </xmlCellPr>
  </singleXmlCell>
  <singleXmlCell id="1529" r="U25" connectionId="0">
    <xmlCellPr id="1" uniqueName="ns2:Team10Diff19">
      <xmlPr mapId="4" xpath="/ns2:ScoreSheet/ns2:Diff3/ns2:Team10Diff19" xmlDataType="decimal"/>
    </xmlCellPr>
  </singleXmlCell>
  <singleXmlCell id="1530" r="V25" connectionId="0">
    <xmlCellPr id="1" uniqueName="ns2:Team10Diff20">
      <xmlPr mapId="4" xpath="/ns2:ScoreSheet/ns2:Diff3/ns2:Team10Diff20" xmlDataType="decimal"/>
    </xmlCellPr>
  </singleXmlCell>
  <singleXmlCell id="1531" r="C24" connectionId="0">
    <xmlCellPr id="1" uniqueName="ns2:Team10Consec1">
      <xmlPr mapId="4" xpath="/ns2:ScoreSheet/ns2:Diff3/ns2:Team10Consec1" xmlDataType="string"/>
    </xmlCellPr>
  </singleXmlCell>
  <singleXmlCell id="1532" r="D24" connectionId="0">
    <xmlCellPr id="1" uniqueName="ns2:Team10Consec2">
      <xmlPr mapId="4" xpath="/ns2:ScoreSheet/ns2:Diff3/ns2:Team10Consec2" xmlDataType="string"/>
    </xmlCellPr>
  </singleXmlCell>
  <singleXmlCell id="1533" r="E24" connectionId="0">
    <xmlCellPr id="1" uniqueName="ns2:Team10Consec3">
      <xmlPr mapId="4" xpath="/ns2:ScoreSheet/ns2:Diff3/ns2:Team10Consec3" xmlDataType="string"/>
    </xmlCellPr>
  </singleXmlCell>
  <singleXmlCell id="1534" r="F24" connectionId="0">
    <xmlCellPr id="1" uniqueName="ns2:Team10Consec4">
      <xmlPr mapId="4" xpath="/ns2:ScoreSheet/ns2:Diff3/ns2:Team10Consec4" xmlDataType="string"/>
    </xmlCellPr>
  </singleXmlCell>
  <singleXmlCell id="1535" r="G24" connectionId="0">
    <xmlCellPr id="1" uniqueName="ns2:Team10Consec5">
      <xmlPr mapId="4" xpath="/ns2:ScoreSheet/ns2:Diff3/ns2:Team10Consec5" xmlDataType="string"/>
    </xmlCellPr>
  </singleXmlCell>
  <singleXmlCell id="1536" r="H24" connectionId="0">
    <xmlCellPr id="1" uniqueName="ns2:Team10Consec6">
      <xmlPr mapId="4" xpath="/ns2:ScoreSheet/ns2:Diff3/ns2:Team10Consec6" xmlDataType="string"/>
    </xmlCellPr>
  </singleXmlCell>
  <singleXmlCell id="1537" r="I24" connectionId="0">
    <xmlCellPr id="1" uniqueName="ns2:Team10Consec7">
      <xmlPr mapId="4" xpath="/ns2:ScoreSheet/ns2:Diff3/ns2:Team10Consec7" xmlDataType="string"/>
    </xmlCellPr>
  </singleXmlCell>
  <singleXmlCell id="1538" r="J24" connectionId="0">
    <xmlCellPr id="1" uniqueName="ns2:Team10Consec8">
      <xmlPr mapId="4" xpath="/ns2:ScoreSheet/ns2:Diff3/ns2:Team10Consec8" xmlDataType="string"/>
    </xmlCellPr>
  </singleXmlCell>
  <singleXmlCell id="1539" r="K24" connectionId="0">
    <xmlCellPr id="1" uniqueName="ns2:Team10Consec9">
      <xmlPr mapId="4" xpath="/ns2:ScoreSheet/ns2:Diff3/ns2:Team10Consec9" xmlDataType="string"/>
    </xmlCellPr>
  </singleXmlCell>
  <singleXmlCell id="1540" r="L24" connectionId="0">
    <xmlCellPr id="1" uniqueName="ns2:Team10Consec10">
      <xmlPr mapId="4" xpath="/ns2:ScoreSheet/ns2:Diff3/ns2:Team10Consec10" xmlDataType="string"/>
    </xmlCellPr>
  </singleXmlCell>
  <singleXmlCell id="1541" r="M24" connectionId="0">
    <xmlCellPr id="1" uniqueName="ns2:Team10Consec11">
      <xmlPr mapId="4" xpath="/ns2:ScoreSheet/ns2:Diff3/ns2:Team10Consec11" xmlDataType="string"/>
    </xmlCellPr>
  </singleXmlCell>
  <singleXmlCell id="1542" r="N24" connectionId="0">
    <xmlCellPr id="1" uniqueName="ns2:Team10Consec12">
      <xmlPr mapId="4" xpath="/ns2:ScoreSheet/ns2:Diff3/ns2:Team10Consec12" xmlDataType="string"/>
    </xmlCellPr>
  </singleXmlCell>
  <singleXmlCell id="1543" r="O24" connectionId="0">
    <xmlCellPr id="1" uniqueName="ns2:Team10Consec13">
      <xmlPr mapId="4" xpath="/ns2:ScoreSheet/ns2:Diff3/ns2:Team10Consec13" xmlDataType="string"/>
    </xmlCellPr>
  </singleXmlCell>
  <singleXmlCell id="1544" r="P24" connectionId="0">
    <xmlCellPr id="1" uniqueName="ns2:Team10Consec14">
      <xmlPr mapId="4" xpath="/ns2:ScoreSheet/ns2:Diff3/ns2:Team10Consec14" xmlDataType="string"/>
    </xmlCellPr>
  </singleXmlCell>
  <singleXmlCell id="1545" r="Q24" connectionId="0">
    <xmlCellPr id="1" uniqueName="ns2:Team10Consec15">
      <xmlPr mapId="4" xpath="/ns2:ScoreSheet/ns2:Diff3/ns2:Team10Consec15" xmlDataType="string"/>
    </xmlCellPr>
  </singleXmlCell>
  <singleXmlCell id="1546" r="R24" connectionId="0">
    <xmlCellPr id="1" uniqueName="ns2:Team10Consec16">
      <xmlPr mapId="4" xpath="/ns2:ScoreSheet/ns2:Diff3/ns2:Team10Consec16" xmlDataType="string"/>
    </xmlCellPr>
  </singleXmlCell>
  <singleXmlCell id="1547" r="S24" connectionId="0">
    <xmlCellPr id="1" uniqueName="ns2:Team10Consec17">
      <xmlPr mapId="4" xpath="/ns2:ScoreSheet/ns2:Diff3/ns2:Team10Consec17" xmlDataType="string"/>
    </xmlCellPr>
  </singleXmlCell>
  <singleXmlCell id="1548" r="T24" connectionId="0">
    <xmlCellPr id="1" uniqueName="ns2:Team10Consec18">
      <xmlPr mapId="4" xpath="/ns2:ScoreSheet/ns2:Diff3/ns2:Team10Consec18" xmlDataType="string"/>
    </xmlCellPr>
  </singleXmlCell>
  <singleXmlCell id="1549" r="U24" connectionId="0">
    <xmlCellPr id="1" uniqueName="ns2:Team10Consec19">
      <xmlPr mapId="4" xpath="/ns2:ScoreSheet/ns2:Diff3/ns2:Team10Consec19" xmlDataType="string"/>
    </xmlCellPr>
  </singleXmlCell>
  <singleXmlCell id="1550" r="V24" connectionId="0">
    <xmlCellPr id="1" uniqueName="ns2:Team10Consec20">
      <xmlPr mapId="4" xpath="/ns2:ScoreSheet/ns2:Diff3/ns2:Team10Consec20"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3" Type="http://schemas.openxmlformats.org/officeDocument/2006/relationships/drawing" Target="../drawings/drawing1.xml"/><Relationship Id="rId7" Type="http://schemas.openxmlformats.org/officeDocument/2006/relationships/control" Target="../activeX/activeX2.xml"/><Relationship Id="rId12" Type="http://schemas.openxmlformats.org/officeDocument/2006/relationships/image" Target="../media/image4.emf"/><Relationship Id="rId2" Type="http://schemas.openxmlformats.org/officeDocument/2006/relationships/printerSettings" Target="../printerSettings/printerSettings1.bin"/><Relationship Id="rId16" Type="http://schemas.openxmlformats.org/officeDocument/2006/relationships/image" Target="../media/image6.emf"/><Relationship Id="rId1" Type="http://schemas.openxmlformats.org/officeDocument/2006/relationships/hyperlink" Target="mailto:Flo@freestylefrisbee.de" TargetMode="External"/><Relationship Id="rId6" Type="http://schemas.openxmlformats.org/officeDocument/2006/relationships/image" Target="../media/image1.emf"/><Relationship Id="rId11" Type="http://schemas.openxmlformats.org/officeDocument/2006/relationships/control" Target="../activeX/activeX4.xml"/><Relationship Id="rId5" Type="http://schemas.openxmlformats.org/officeDocument/2006/relationships/control" Target="../activeX/activeX1.xml"/><Relationship Id="rId15" Type="http://schemas.openxmlformats.org/officeDocument/2006/relationships/control" Target="../activeX/activeX6.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s>
</file>

<file path=xl/worksheets/_rels/sheet2.xml.rels><?xml version="1.0" encoding="UTF-8" standalone="yes"?>
<Relationships xmlns="http://schemas.openxmlformats.org/package/2006/relationships"><Relationship Id="rId3" Type="http://schemas.openxmlformats.org/officeDocument/2006/relationships/tableSingleCells" Target="../tables/tableSingleCell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tableSingleCells" Target="../tables/tableSingleCells2.xml"/></Relationships>
</file>

<file path=xl/worksheets/_rels/sheet5.xml.rels><?xml version="1.0" encoding="UTF-8" standalone="yes"?>
<Relationships xmlns="http://schemas.openxmlformats.org/package/2006/relationships"><Relationship Id="rId3" Type="http://schemas.openxmlformats.org/officeDocument/2006/relationships/tableSingleCells" Target="../tables/tableSingleCells3.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SingleCells" Target="../tables/tableSingleCells4.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SingleCells" Target="../tables/tableSingleCells5.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SingleCells" Target="../tables/tableSingleCells6.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SingleCells" Target="../tables/tableSingleCells7.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SingleCells" Target="../tables/tableSingleCells8.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SingleCells" Target="../tables/tableSingleCells9.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SingleCells" Target="../tables/tableSingleCells10.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3.xml"/><Relationship Id="rId1" Type="http://schemas.openxmlformats.org/officeDocument/2006/relationships/printerSettings" Target="../printerSettings/printerSettings20.bin"/><Relationship Id="rId6" Type="http://schemas.openxmlformats.org/officeDocument/2006/relationships/table" Target="../tables/table1.xml"/><Relationship Id="rId5" Type="http://schemas.openxmlformats.org/officeDocument/2006/relationships/image" Target="../media/image8.emf"/><Relationship Id="rId4" Type="http://schemas.openxmlformats.org/officeDocument/2006/relationships/control" Target="../activeX/activeX7.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ttings"/>
  <dimension ref="A1:C19"/>
  <sheetViews>
    <sheetView showGridLines="0" showRowColHeaders="0" zoomScale="90" zoomScaleNormal="90" zoomScalePageLayoutView="75" workbookViewId="0">
      <selection activeCell="C5" sqref="C5"/>
    </sheetView>
  </sheetViews>
  <sheetFormatPr defaultRowHeight="15" x14ac:dyDescent="0.25"/>
  <cols>
    <col min="1" max="1" width="17.85546875" customWidth="1"/>
    <col min="2" max="2" width="32.28515625" customWidth="1"/>
    <col min="3" max="3" width="91.140625" customWidth="1"/>
    <col min="4" max="256" width="11.42578125" customWidth="1"/>
  </cols>
  <sheetData>
    <row r="1" spans="1:3" ht="33.75" x14ac:dyDescent="0.5">
      <c r="A1" s="139" t="s">
        <v>84</v>
      </c>
      <c r="C1" s="148" t="s">
        <v>1477</v>
      </c>
    </row>
    <row r="3" spans="1:3" ht="27.75" customHeight="1" x14ac:dyDescent="0.25">
      <c r="A3" s="131" t="s">
        <v>156</v>
      </c>
      <c r="B3" s="145" t="s">
        <v>1574</v>
      </c>
      <c r="C3" s="143" t="s">
        <v>1573</v>
      </c>
    </row>
    <row r="4" spans="1:3" ht="27.75" customHeight="1" x14ac:dyDescent="0.25">
      <c r="A4" s="131" t="s">
        <v>85</v>
      </c>
      <c r="B4" s="145" t="s">
        <v>1575</v>
      </c>
      <c r="C4" s="143" t="s">
        <v>161</v>
      </c>
    </row>
    <row r="5" spans="1:3" ht="27.75" customHeight="1" x14ac:dyDescent="0.25">
      <c r="A5" s="131" t="s">
        <v>157</v>
      </c>
      <c r="B5" s="145" t="s">
        <v>1476</v>
      </c>
      <c r="C5" s="143" t="s">
        <v>155</v>
      </c>
    </row>
    <row r="6" spans="1:3" ht="27.75" customHeight="1" x14ac:dyDescent="0.25">
      <c r="A6" s="131" t="s">
        <v>158</v>
      </c>
      <c r="B6" s="142"/>
      <c r="C6" s="143" t="s">
        <v>238</v>
      </c>
    </row>
    <row r="7" spans="1:3" ht="27.75" customHeight="1" x14ac:dyDescent="0.25">
      <c r="A7" s="131" t="s">
        <v>159</v>
      </c>
      <c r="B7" s="142"/>
      <c r="C7" s="143" t="s">
        <v>232</v>
      </c>
    </row>
    <row r="8" spans="1:3" ht="39" customHeight="1" x14ac:dyDescent="0.25">
      <c r="A8" s="131" t="s">
        <v>163</v>
      </c>
      <c r="B8" s="142"/>
      <c r="C8" s="144" t="s">
        <v>164</v>
      </c>
    </row>
    <row r="9" spans="1:3" ht="27.75" customHeight="1" x14ac:dyDescent="0.25">
      <c r="C9" s="144"/>
    </row>
    <row r="10" spans="1:3" ht="27.75" customHeight="1" x14ac:dyDescent="0.25">
      <c r="C10" s="144" t="s">
        <v>237</v>
      </c>
    </row>
    <row r="11" spans="1:3" ht="27.75" customHeight="1" x14ac:dyDescent="0.25">
      <c r="C11" s="147" t="s">
        <v>160</v>
      </c>
    </row>
    <row r="12" spans="1:3" ht="27.75" customHeight="1" x14ac:dyDescent="0.25">
      <c r="C12" s="144" t="s">
        <v>165</v>
      </c>
    </row>
    <row r="13" spans="1:3" ht="27.75" customHeight="1" x14ac:dyDescent="0.25"/>
    <row r="14" spans="1:3" x14ac:dyDescent="0.25">
      <c r="A14" s="157" t="s">
        <v>167</v>
      </c>
      <c r="B14" t="s">
        <v>166</v>
      </c>
      <c r="C14" s="157" t="s">
        <v>236</v>
      </c>
    </row>
    <row r="15" spans="1:3" x14ac:dyDescent="0.25">
      <c r="B15" t="s">
        <v>168</v>
      </c>
      <c r="C15" s="144" t="s">
        <v>234</v>
      </c>
    </row>
    <row r="16" spans="1:3" x14ac:dyDescent="0.25">
      <c r="B16" s="158" t="s">
        <v>169</v>
      </c>
      <c r="C16" s="144" t="s">
        <v>233</v>
      </c>
    </row>
    <row r="17" spans="3:3" x14ac:dyDescent="0.25">
      <c r="C17" s="144" t="s">
        <v>240</v>
      </c>
    </row>
    <row r="18" spans="3:3" x14ac:dyDescent="0.25">
      <c r="C18" s="144" t="s">
        <v>235</v>
      </c>
    </row>
    <row r="19" spans="3:3" x14ac:dyDescent="0.25">
      <c r="C19" s="144" t="s">
        <v>239</v>
      </c>
    </row>
  </sheetData>
  <phoneticPr fontId="18" type="noConversion"/>
  <hyperlinks>
    <hyperlink ref="B16" r:id="rId1"/>
  </hyperlinks>
  <pageMargins left="0.19685039370078741" right="0.47244094488188981" top="0.62992125984251968" bottom="0.78740157480314965" header="0.31496062992125984" footer="0.31496062992125984"/>
  <pageSetup paperSize="9" scale="94" orientation="landscape" verticalDpi="599" r:id="rId2"/>
  <headerFooter alignWithMargins="0"/>
  <cellWatches>
    <cellWatch r="B12"/>
  </cellWatches>
  <drawing r:id="rId3"/>
  <legacyDrawing r:id="rId4"/>
  <controls>
    <mc:AlternateContent xmlns:mc="http://schemas.openxmlformats.org/markup-compatibility/2006">
      <mc:Choice Requires="x14">
        <control shapeId="9248" r:id="rId5" name="btnExportTextResults">
          <controlPr defaultSize="0" autoLine="0" autoPict="0" r:id="rId6">
            <anchor moveWithCells="1">
              <from>
                <xdr:col>1</xdr:col>
                <xdr:colOff>9525</xdr:colOff>
                <xdr:row>11</xdr:row>
                <xdr:rowOff>57150</xdr:rowOff>
              </from>
              <to>
                <xdr:col>2</xdr:col>
                <xdr:colOff>0</xdr:colOff>
                <xdr:row>11</xdr:row>
                <xdr:rowOff>323850</xdr:rowOff>
              </to>
            </anchor>
          </controlPr>
        </control>
      </mc:Choice>
      <mc:Fallback>
        <control shapeId="9248" r:id="rId5" name="btnExportTextResults"/>
      </mc:Fallback>
    </mc:AlternateContent>
    <mc:AlternateContent xmlns:mc="http://schemas.openxmlformats.org/markup-compatibility/2006">
      <mc:Choice Requires="x14">
        <control shapeId="9228" r:id="rId7" name="cboTeamsCount">
          <controlPr defaultSize="0" autoLine="0" autoPict="0" r:id="rId8">
            <anchor moveWithCells="1">
              <from>
                <xdr:col>1</xdr:col>
                <xdr:colOff>9525</xdr:colOff>
                <xdr:row>5</xdr:row>
                <xdr:rowOff>38100</xdr:rowOff>
              </from>
              <to>
                <xdr:col>2</xdr:col>
                <xdr:colOff>0</xdr:colOff>
                <xdr:row>5</xdr:row>
                <xdr:rowOff>285750</xdr:rowOff>
              </to>
            </anchor>
          </controlPr>
        </control>
      </mc:Choice>
      <mc:Fallback>
        <control shapeId="9228" r:id="rId7" name="cboTeamsCount"/>
      </mc:Fallback>
    </mc:AlternateContent>
    <mc:AlternateContent xmlns:mc="http://schemas.openxmlformats.org/markup-compatibility/2006">
      <mc:Choice Requires="x14">
        <control shapeId="9224" r:id="rId9" name="cboEditMethod">
          <controlPr print="0" autoLine="0" autoPict="0" r:id="rId10">
            <anchor moveWithCells="1">
              <from>
                <xdr:col>1</xdr:col>
                <xdr:colOff>9525</xdr:colOff>
                <xdr:row>7</xdr:row>
                <xdr:rowOff>190500</xdr:rowOff>
              </from>
              <to>
                <xdr:col>2</xdr:col>
                <xdr:colOff>0</xdr:colOff>
                <xdr:row>7</xdr:row>
                <xdr:rowOff>438150</xdr:rowOff>
              </to>
            </anchor>
          </controlPr>
        </control>
      </mc:Choice>
      <mc:Fallback>
        <control shapeId="9224" r:id="rId9" name="cboEditMethod"/>
      </mc:Fallback>
    </mc:AlternateContent>
    <mc:AlternateContent xmlns:mc="http://schemas.openxmlformats.org/markup-compatibility/2006">
      <mc:Choice Requires="x14">
        <control shapeId="9223" r:id="rId11" name="LockSheets">
          <controlPr autoLine="0" autoPict="0" r:id="rId12">
            <anchor moveWithCells="1">
              <from>
                <xdr:col>1</xdr:col>
                <xdr:colOff>9525</xdr:colOff>
                <xdr:row>10</xdr:row>
                <xdr:rowOff>9525</xdr:rowOff>
              </from>
              <to>
                <xdr:col>2</xdr:col>
                <xdr:colOff>9525</xdr:colOff>
                <xdr:row>10</xdr:row>
                <xdr:rowOff>333375</xdr:rowOff>
              </to>
            </anchor>
          </controlPr>
        </control>
      </mc:Choice>
      <mc:Fallback>
        <control shapeId="9223" r:id="rId11" name="LockSheets"/>
      </mc:Fallback>
    </mc:AlternateContent>
    <mc:AlternateContent xmlns:mc="http://schemas.openxmlformats.org/markup-compatibility/2006">
      <mc:Choice Requires="x14">
        <control shapeId="9222" r:id="rId13" name="PrintSheets">
          <controlPr defaultSize="0" autoLine="0" autoPict="0" r:id="rId14">
            <anchor moveWithCells="1">
              <from>
                <xdr:col>1</xdr:col>
                <xdr:colOff>9525</xdr:colOff>
                <xdr:row>9</xdr:row>
                <xdr:rowOff>28575</xdr:rowOff>
              </from>
              <to>
                <xdr:col>2</xdr:col>
                <xdr:colOff>0</xdr:colOff>
                <xdr:row>9</xdr:row>
                <xdr:rowOff>333375</xdr:rowOff>
              </to>
            </anchor>
          </controlPr>
        </control>
      </mc:Choice>
      <mc:Fallback>
        <control shapeId="9222" r:id="rId13" name="PrintSheets"/>
      </mc:Fallback>
    </mc:AlternateContent>
    <mc:AlternateContent xmlns:mc="http://schemas.openxmlformats.org/markup-compatibility/2006">
      <mc:Choice Requires="x14">
        <control shapeId="9221" r:id="rId15" name="cboJudgesCount">
          <controlPr defaultSize="0" autoLine="0" autoPict="0" r:id="rId16">
            <anchor moveWithCells="1">
              <from>
                <xdr:col>1</xdr:col>
                <xdr:colOff>9525</xdr:colOff>
                <xdr:row>6</xdr:row>
                <xdr:rowOff>66675</xdr:rowOff>
              </from>
              <to>
                <xdr:col>2</xdr:col>
                <xdr:colOff>0</xdr:colOff>
                <xdr:row>6</xdr:row>
                <xdr:rowOff>314325</xdr:rowOff>
              </to>
            </anchor>
          </controlPr>
        </control>
      </mc:Choice>
      <mc:Fallback>
        <control shapeId="9221" r:id="rId15" name="cboJudgesCoun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rterlist"/>
  <dimension ref="A1:X1101"/>
  <sheetViews>
    <sheetView showGridLines="0" showZeros="0" showRuler="0" zoomScale="90" zoomScaleNormal="90" zoomScaleSheetLayoutView="100" zoomScalePageLayoutView="85" workbookViewId="0">
      <selection activeCell="B13" activeCellId="4" sqref="G14:G22 A1:A2 B4:D4 G3:G8 B13:D22"/>
    </sheetView>
  </sheetViews>
  <sheetFormatPr defaultColWidth="11.140625" defaultRowHeight="15" outlineLevelRow="1" x14ac:dyDescent="0.25"/>
  <cols>
    <col min="1" max="1" width="4" style="5" customWidth="1"/>
    <col min="2" max="3" width="25.7109375" style="6" customWidth="1"/>
    <col min="4" max="4" width="25.7109375" style="7" customWidth="1"/>
    <col min="5" max="5" width="15.42578125" style="7" customWidth="1"/>
    <col min="6" max="6" width="19.85546875" style="7" customWidth="1"/>
    <col min="7" max="7" width="23.85546875" style="7" customWidth="1"/>
    <col min="8" max="10" width="8.140625" style="5" customWidth="1"/>
    <col min="11" max="11" width="7.7109375" style="5" customWidth="1"/>
    <col min="12" max="16384" width="11.140625" style="5"/>
  </cols>
  <sheetData>
    <row r="1" spans="1:24" ht="33.75" x14ac:dyDescent="0.5">
      <c r="A1" s="139" t="str">
        <f>Settings!B3</f>
        <v>My Test Tournament</v>
      </c>
      <c r="C1"/>
      <c r="D1" s="33"/>
      <c r="E1" s="33"/>
      <c r="F1" s="33"/>
      <c r="G1" s="33"/>
    </row>
    <row r="2" spans="1:24" ht="36" customHeight="1" x14ac:dyDescent="0.35">
      <c r="A2" s="140" t="str">
        <f>Settings!B4</f>
        <v>Ryan's House</v>
      </c>
      <c r="C2" s="9"/>
      <c r="D2" s="33"/>
      <c r="E2" s="33"/>
      <c r="F2" s="5"/>
      <c r="G2" s="5"/>
    </row>
    <row r="3" spans="1:24" ht="22.5" customHeight="1" x14ac:dyDescent="0.25">
      <c r="B3" s="50" t="s">
        <v>13</v>
      </c>
      <c r="C3" s="13" t="s">
        <v>14</v>
      </c>
      <c r="D3" s="260" t="s">
        <v>254</v>
      </c>
      <c r="E3" s="11"/>
      <c r="F3" s="208" t="s">
        <v>49</v>
      </c>
      <c r="G3" s="209" t="s">
        <v>1578</v>
      </c>
      <c r="H3" s="13"/>
      <c r="I3" s="13"/>
      <c r="J3" s="13"/>
      <c r="K3" s="13"/>
    </row>
    <row r="4" spans="1:24" ht="22.5" customHeight="1" x14ac:dyDescent="0.35">
      <c r="B4" s="91" t="s">
        <v>1576</v>
      </c>
      <c r="C4" s="91" t="s">
        <v>1577</v>
      </c>
      <c r="D4" s="91" t="s">
        <v>264</v>
      </c>
      <c r="E4" s="12"/>
      <c r="F4" s="210" t="s">
        <v>68</v>
      </c>
      <c r="G4" s="211">
        <v>0</v>
      </c>
      <c r="H4" s="13"/>
      <c r="I4" s="13"/>
      <c r="J4" s="13"/>
      <c r="K4" s="13"/>
    </row>
    <row r="5" spans="1:24" ht="22.5" customHeight="1" x14ac:dyDescent="0.35">
      <c r="B5" s="51"/>
      <c r="C5" s="9"/>
      <c r="D5" s="9"/>
      <c r="E5" s="12"/>
      <c r="F5" s="210" t="s">
        <v>54</v>
      </c>
      <c r="G5" s="212">
        <v>0</v>
      </c>
      <c r="H5" s="13"/>
      <c r="I5" s="13"/>
      <c r="J5" s="13"/>
      <c r="K5" s="13"/>
    </row>
    <row r="6" spans="1:24" ht="22.5" customHeight="1" x14ac:dyDescent="0.35">
      <c r="B6" s="9"/>
      <c r="C6" s="9"/>
      <c r="D6" s="9"/>
      <c r="E6" s="12"/>
      <c r="F6" s="210" t="s">
        <v>162</v>
      </c>
      <c r="G6" s="213"/>
      <c r="H6" s="13"/>
      <c r="I6" s="13"/>
      <c r="J6" s="13"/>
      <c r="K6" s="13"/>
    </row>
    <row r="7" spans="1:24" ht="22.5" customHeight="1" x14ac:dyDescent="0.35">
      <c r="B7" s="9"/>
      <c r="C7" s="9"/>
      <c r="D7" s="9"/>
      <c r="E7" s="12"/>
      <c r="F7" s="210" t="s">
        <v>268</v>
      </c>
      <c r="G7" s="269"/>
      <c r="H7" s="13"/>
      <c r="I7" s="13"/>
      <c r="J7" s="13"/>
      <c r="K7" s="13"/>
    </row>
    <row r="8" spans="1:24" ht="22.5" customHeight="1" x14ac:dyDescent="0.35">
      <c r="B8" s="9"/>
      <c r="C8" s="9"/>
      <c r="D8" s="9"/>
      <c r="E8" s="12"/>
      <c r="F8" s="5"/>
      <c r="G8" s="269"/>
      <c r="H8" s="13"/>
      <c r="I8" s="13"/>
      <c r="J8" s="13"/>
      <c r="K8" s="13"/>
    </row>
    <row r="9" spans="1:24" ht="57" customHeight="1" x14ac:dyDescent="0.35">
      <c r="B9" s="9"/>
      <c r="C9" s="9"/>
      <c r="D9" s="9"/>
      <c r="E9" s="12"/>
      <c r="F9" s="210" t="s">
        <v>259</v>
      </c>
      <c r="G9" s="269"/>
      <c r="H9" s="105"/>
      <c r="I9" s="13"/>
      <c r="J9" s="13"/>
      <c r="K9" s="13"/>
      <c r="M9" s="13"/>
    </row>
    <row r="10" spans="1:24" ht="22.5" customHeight="1" x14ac:dyDescent="0.3">
      <c r="A10" s="30" t="s">
        <v>67</v>
      </c>
      <c r="B10" s="8"/>
      <c r="C10" s="8"/>
      <c r="D10" s="29"/>
      <c r="E10" s="29"/>
      <c r="G10" s="269"/>
      <c r="H10" s="13"/>
      <c r="I10" s="13"/>
      <c r="J10" s="13"/>
      <c r="K10" s="13"/>
      <c r="L10" s="13"/>
      <c r="N10" s="13"/>
      <c r="O10" s="13"/>
      <c r="P10" s="13"/>
      <c r="Q10" s="13"/>
      <c r="R10" s="13"/>
      <c r="S10" s="13"/>
      <c r="T10" s="13"/>
      <c r="U10" s="13"/>
      <c r="V10" s="13"/>
      <c r="W10" s="13"/>
      <c r="X10" s="13"/>
    </row>
    <row r="11" spans="1:24" ht="20.100000000000001" customHeight="1" x14ac:dyDescent="0.3">
      <c r="E11" s="13"/>
      <c r="F11" s="30" t="s">
        <v>12</v>
      </c>
      <c r="G11" s="5"/>
      <c r="H11" s="13"/>
      <c r="I11" s="13"/>
      <c r="J11" s="13"/>
      <c r="K11" s="13"/>
      <c r="L11" s="13"/>
      <c r="M11" s="13"/>
      <c r="N11" s="13"/>
      <c r="O11" s="13"/>
      <c r="P11" s="13"/>
      <c r="Q11" s="13"/>
      <c r="R11" s="13"/>
      <c r="S11" s="13"/>
      <c r="T11" s="13"/>
      <c r="U11" s="13"/>
      <c r="V11" s="13"/>
      <c r="W11" s="13"/>
      <c r="X11" s="13"/>
    </row>
    <row r="12" spans="1:24" ht="20.100000000000001" customHeight="1" thickBot="1" x14ac:dyDescent="0.3">
      <c r="A12" s="48" t="s">
        <v>9</v>
      </c>
      <c r="B12" s="46" t="s">
        <v>10</v>
      </c>
      <c r="C12" s="46" t="s">
        <v>11</v>
      </c>
      <c r="D12" s="47" t="s">
        <v>15</v>
      </c>
      <c r="E12" s="13"/>
      <c r="G12"/>
      <c r="H12" s="50"/>
      <c r="I12" s="50"/>
      <c r="J12" s="13"/>
      <c r="K12" s="13"/>
      <c r="L12" s="13"/>
      <c r="M12" s="13"/>
      <c r="N12" s="13"/>
      <c r="O12" s="13"/>
      <c r="P12" s="13"/>
      <c r="Q12" s="13"/>
      <c r="R12" s="13"/>
      <c r="S12" s="13"/>
      <c r="T12" s="13"/>
      <c r="U12" s="13"/>
      <c r="V12" s="13"/>
      <c r="W12" s="13"/>
      <c r="X12" s="13"/>
    </row>
    <row r="13" spans="1:24" ht="20.100000000000001" customHeight="1" x14ac:dyDescent="0.25">
      <c r="A13" s="35">
        <v>1</v>
      </c>
      <c r="B13" s="245"/>
      <c r="C13" s="245"/>
      <c r="D13" s="245"/>
      <c r="E13" s="13"/>
      <c r="H13" s="13"/>
      <c r="I13" s="13"/>
      <c r="J13" s="13"/>
      <c r="K13" s="13"/>
      <c r="L13" s="13"/>
      <c r="M13" s="13"/>
      <c r="N13" s="13"/>
      <c r="O13" s="13"/>
      <c r="P13" s="13"/>
      <c r="Q13" s="13"/>
      <c r="R13" s="13"/>
      <c r="S13" s="13"/>
      <c r="T13" s="13"/>
      <c r="U13" s="13"/>
      <c r="V13" s="13"/>
      <c r="W13" s="13"/>
      <c r="X13" s="13"/>
    </row>
    <row r="14" spans="1:24" ht="20.100000000000001" customHeight="1" x14ac:dyDescent="0.25">
      <c r="A14" s="36">
        <v>2</v>
      </c>
      <c r="B14" s="245"/>
      <c r="C14" s="245"/>
      <c r="D14" s="245"/>
      <c r="E14" s="13"/>
      <c r="F14" s="177" t="s">
        <v>1</v>
      </c>
      <c r="G14" s="90"/>
      <c r="H14" s="13"/>
      <c r="I14" s="13"/>
      <c r="J14" s="13"/>
      <c r="K14" s="13"/>
      <c r="L14" s="13"/>
      <c r="M14" s="13"/>
      <c r="N14" s="13"/>
      <c r="O14" s="13"/>
      <c r="P14" s="13"/>
      <c r="Q14" s="13"/>
      <c r="R14" s="13"/>
      <c r="S14" s="13"/>
      <c r="T14" s="13"/>
      <c r="U14" s="13"/>
      <c r="V14" s="13"/>
      <c r="W14" s="13"/>
      <c r="X14" s="13"/>
    </row>
    <row r="15" spans="1:24" ht="20.100000000000001" customHeight="1" x14ac:dyDescent="0.25">
      <c r="A15" s="36">
        <v>3</v>
      </c>
      <c r="B15" s="245"/>
      <c r="C15" s="245"/>
      <c r="D15" s="245"/>
      <c r="E15" s="13"/>
      <c r="F15" s="178"/>
      <c r="G15" s="88"/>
      <c r="H15" s="13"/>
      <c r="I15" s="13"/>
      <c r="J15" s="13"/>
      <c r="K15" s="13"/>
      <c r="L15" s="13"/>
      <c r="M15" s="13"/>
      <c r="N15" s="13"/>
      <c r="O15" s="13"/>
      <c r="P15" s="13"/>
      <c r="Q15" s="13"/>
      <c r="R15" s="13"/>
      <c r="S15" s="13"/>
      <c r="T15" s="13"/>
      <c r="U15" s="13"/>
      <c r="V15" s="13"/>
      <c r="W15" s="13"/>
      <c r="X15" s="13"/>
    </row>
    <row r="16" spans="1:24" ht="20.100000000000001" customHeight="1" x14ac:dyDescent="0.25">
      <c r="A16" s="36">
        <v>4</v>
      </c>
      <c r="B16" s="245"/>
      <c r="C16" s="245"/>
      <c r="D16" s="245"/>
      <c r="E16" s="13"/>
      <c r="F16" s="179"/>
      <c r="G16" s="88"/>
      <c r="H16" s="13"/>
      <c r="I16" s="13"/>
      <c r="J16" s="13"/>
      <c r="K16" s="13"/>
      <c r="L16" s="13"/>
      <c r="M16" s="13"/>
      <c r="N16" s="13"/>
      <c r="O16" s="13"/>
      <c r="P16" s="13"/>
      <c r="Q16" s="13"/>
      <c r="R16" s="13"/>
      <c r="S16" s="13"/>
      <c r="T16" s="13"/>
      <c r="U16" s="13"/>
      <c r="V16" s="13"/>
      <c r="W16" s="13"/>
      <c r="X16" s="13"/>
    </row>
    <row r="17" spans="1:24" ht="20.100000000000001" customHeight="1" x14ac:dyDescent="0.25">
      <c r="A17" s="36">
        <v>5</v>
      </c>
      <c r="B17" s="245"/>
      <c r="C17" s="245"/>
      <c r="D17" s="245"/>
      <c r="E17" s="13"/>
      <c r="F17" s="177" t="s">
        <v>2</v>
      </c>
      <c r="G17" s="88"/>
      <c r="H17" s="13"/>
      <c r="I17" s="13"/>
      <c r="J17" s="13"/>
      <c r="K17" s="13"/>
      <c r="L17" s="13"/>
      <c r="M17" s="13"/>
      <c r="N17" s="13"/>
      <c r="O17" s="13"/>
      <c r="P17" s="13"/>
      <c r="Q17" s="13"/>
      <c r="R17" s="13"/>
      <c r="S17" s="13"/>
      <c r="T17" s="13"/>
      <c r="U17" s="13"/>
      <c r="V17" s="13"/>
      <c r="W17" s="13"/>
      <c r="X17" s="13"/>
    </row>
    <row r="18" spans="1:24" ht="20.100000000000001" customHeight="1" x14ac:dyDescent="0.25">
      <c r="A18" s="36">
        <v>6</v>
      </c>
      <c r="B18" s="245"/>
      <c r="C18" s="245"/>
      <c r="D18" s="245"/>
      <c r="E18" s="13"/>
      <c r="F18" s="178"/>
      <c r="G18" s="88"/>
      <c r="H18" s="13"/>
      <c r="I18" s="13"/>
      <c r="J18" s="13"/>
      <c r="K18" s="13"/>
      <c r="L18" s="13"/>
      <c r="M18" s="13"/>
      <c r="N18" s="13"/>
      <c r="O18" s="13"/>
      <c r="P18" s="13"/>
      <c r="Q18" s="13"/>
      <c r="R18" s="13"/>
      <c r="S18" s="13"/>
      <c r="T18" s="13"/>
      <c r="U18" s="13"/>
      <c r="V18" s="13"/>
      <c r="W18" s="13"/>
      <c r="X18" s="13"/>
    </row>
    <row r="19" spans="1:24" ht="20.100000000000001" customHeight="1" x14ac:dyDescent="0.25">
      <c r="A19" s="36">
        <v>7</v>
      </c>
      <c r="B19" s="245"/>
      <c r="C19" s="245"/>
      <c r="D19" s="245"/>
      <c r="E19" s="13"/>
      <c r="F19" s="179"/>
      <c r="G19" s="88"/>
      <c r="H19" s="13"/>
      <c r="I19" s="13"/>
      <c r="J19" s="13"/>
      <c r="K19" s="13"/>
      <c r="L19" s="13"/>
      <c r="M19" s="13"/>
      <c r="N19" s="13"/>
      <c r="O19" s="13"/>
      <c r="P19" s="13"/>
      <c r="Q19" s="13"/>
      <c r="R19" s="13"/>
      <c r="S19" s="13"/>
      <c r="T19" s="13"/>
      <c r="U19" s="13"/>
      <c r="V19" s="13"/>
      <c r="W19" s="13"/>
      <c r="X19" s="13"/>
    </row>
    <row r="20" spans="1:24" ht="20.100000000000001" customHeight="1" x14ac:dyDescent="0.25">
      <c r="A20" s="36">
        <v>8</v>
      </c>
      <c r="B20" s="245"/>
      <c r="C20" s="245"/>
      <c r="D20" s="245"/>
      <c r="E20" s="13"/>
      <c r="F20" s="177" t="s">
        <v>3</v>
      </c>
      <c r="G20" s="88"/>
      <c r="H20" s="13"/>
      <c r="I20" s="13"/>
      <c r="J20" s="13"/>
      <c r="K20" s="13"/>
      <c r="L20" s="13"/>
      <c r="M20" s="13"/>
      <c r="N20" s="13"/>
      <c r="O20" s="13"/>
      <c r="P20" s="13"/>
      <c r="Q20" s="13"/>
      <c r="R20" s="13"/>
      <c r="S20" s="13"/>
      <c r="T20" s="13"/>
      <c r="U20" s="13"/>
      <c r="V20" s="13"/>
      <c r="W20" s="13"/>
      <c r="X20" s="13"/>
    </row>
    <row r="21" spans="1:24" ht="19.5" customHeight="1" x14ac:dyDescent="0.25">
      <c r="A21" s="36">
        <v>9</v>
      </c>
      <c r="B21" s="245"/>
      <c r="C21" s="245"/>
      <c r="D21" s="245"/>
      <c r="E21" s="13"/>
      <c r="F21" s="178"/>
      <c r="G21" s="88"/>
      <c r="H21" s="13"/>
      <c r="I21" s="13"/>
      <c r="J21" s="13"/>
      <c r="K21" s="13"/>
      <c r="L21" s="13"/>
      <c r="M21" s="13"/>
      <c r="N21" s="13"/>
      <c r="O21" s="13"/>
      <c r="P21" s="13"/>
      <c r="Q21" s="13"/>
      <c r="R21" s="13"/>
      <c r="S21" s="13"/>
      <c r="T21" s="13"/>
      <c r="U21" s="13"/>
      <c r="V21" s="13"/>
      <c r="W21" s="13"/>
      <c r="X21" s="13"/>
    </row>
    <row r="22" spans="1:24" ht="19.5" customHeight="1" x14ac:dyDescent="0.25">
      <c r="A22" s="36">
        <v>10</v>
      </c>
      <c r="B22" s="245"/>
      <c r="C22" s="245"/>
      <c r="D22" s="245"/>
      <c r="E22" s="13"/>
      <c r="F22" s="179"/>
      <c r="G22" s="88"/>
      <c r="H22" s="13"/>
      <c r="I22" s="13"/>
      <c r="J22" s="13"/>
      <c r="K22" s="13"/>
      <c r="L22" s="13"/>
      <c r="M22" s="13"/>
      <c r="N22" s="13"/>
      <c r="O22" s="13"/>
      <c r="P22" s="13"/>
      <c r="Q22" s="13"/>
      <c r="R22" s="13"/>
      <c r="S22" s="13"/>
      <c r="T22" s="13"/>
      <c r="U22" s="13"/>
      <c r="V22" s="13"/>
      <c r="W22" s="13"/>
      <c r="X22" s="13"/>
    </row>
    <row r="23" spans="1:24" ht="16.5" hidden="1" customHeight="1" outlineLevel="1" x14ac:dyDescent="0.25">
      <c r="A23" s="13"/>
      <c r="B23" t="str">
        <f>INDEX(Rankings!C$2:'Rankings'!C$1149,MATCH(SMALL(Rankings!H$2:'Rankings'!H$1000,ROW()),Rankings!H$2:'Rankings'!H$1000,0))</f>
        <v>Alexander Michnewitsch</v>
      </c>
      <c r="C23" t="str">
        <f>INDEX(Rankings!C$2:'Rankings'!C$1149,MATCH(SMALL(Rankings!H$2:'Rankings'!H$1000,ROW()),Rankings!H$2:'Rankings'!H$1000,0))</f>
        <v>Alexander Michnewitsch</v>
      </c>
      <c r="D23" t="str">
        <f>INDEX(Rankings!C$2:'Rankings'!C$1149,MATCH(SMALL(Rankings!H$2:'Rankings'!H$1000,ROW()),Rankings!H$2:'Rankings'!H$1000,0))</f>
        <v>Alexander Michnewitsch</v>
      </c>
      <c r="E23" s="11"/>
      <c r="F23" s="11"/>
      <c r="G23" t="str">
        <f>INDEX(Rankings!C$2:'Rankings'!C$1149,MATCH(SMALL(Rankings!H$2:'Rankings'!H$1000,ROW()),Rankings!H$2:'Rankings'!H$1000,0))</f>
        <v>Alexander Michnewitsch</v>
      </c>
      <c r="H23" s="13"/>
      <c r="I23" s="13"/>
      <c r="J23" s="13"/>
      <c r="K23" s="13"/>
      <c r="L23" s="13"/>
      <c r="M23" s="13"/>
      <c r="N23" s="13"/>
      <c r="O23" s="13"/>
      <c r="P23" s="13"/>
      <c r="Q23" s="13"/>
      <c r="R23" s="13"/>
      <c r="S23" s="13"/>
      <c r="T23" s="13"/>
      <c r="U23" s="13"/>
      <c r="V23" s="13"/>
      <c r="W23" s="13"/>
      <c r="X23" s="13"/>
    </row>
    <row r="24" spans="1:24" ht="16.5" hidden="1" customHeight="1" outlineLevel="1" x14ac:dyDescent="0.25">
      <c r="A24" s="13"/>
      <c r="B24" t="str">
        <f>INDEX(Rankings!C$2:'Rankings'!C$1149,MATCH(SMALL(Rankings!H$2:'Rankings'!H$1000,ROW()),Rankings!H$2:'Rankings'!H$1000,0))</f>
        <v>Alexander Trenner</v>
      </c>
      <c r="C24" t="str">
        <f>INDEX(Rankings!C$2:'Rankings'!C$1149,MATCH(SMALL(Rankings!H$2:'Rankings'!H$1000,ROW()),Rankings!H$2:'Rankings'!H$1000,0))</f>
        <v>Alexander Trenner</v>
      </c>
      <c r="D24" t="str">
        <f>INDEX(Rankings!C$2:'Rankings'!C$1149,MATCH(SMALL(Rankings!H$2:'Rankings'!H$1000,ROW()),Rankings!H$2:'Rankings'!H$1000,0))</f>
        <v>Alexander Trenner</v>
      </c>
      <c r="E24" s="11"/>
      <c r="F24" s="11"/>
      <c r="G24" t="str">
        <f>INDEX(Rankings!C$2:'Rankings'!C$1149,MATCH(SMALL(Rankings!H$2:'Rankings'!H$1000,ROW()),Rankings!H$2:'Rankings'!H$1000,0))</f>
        <v>Alexander Trenner</v>
      </c>
      <c r="H24" s="13"/>
      <c r="I24" s="13"/>
      <c r="J24" s="13"/>
      <c r="K24" s="13"/>
      <c r="L24" s="13"/>
      <c r="M24" s="13"/>
      <c r="N24" s="13"/>
      <c r="O24" s="13"/>
      <c r="P24" s="13"/>
      <c r="Q24" s="13"/>
      <c r="R24" s="13"/>
      <c r="S24" s="13"/>
      <c r="T24" s="13"/>
      <c r="U24" s="13"/>
      <c r="V24" s="13"/>
      <c r="W24" s="13"/>
      <c r="X24" s="13"/>
    </row>
    <row r="25" spans="1:24" ht="16.5" hidden="1" customHeight="1" outlineLevel="1" x14ac:dyDescent="0.25">
      <c r="A25" s="13"/>
      <c r="B25" t="str">
        <f>INDEX(Rankings!C$2:'Rankings'!C$1149,MATCH(SMALL(Rankings!H$2:'Rankings'!H$1000,ROW()),Rankings!H$2:'Rankings'!H$1000,0))</f>
        <v>Alexander Wegner (Enhuber?)</v>
      </c>
      <c r="C25" t="str">
        <f>INDEX(Rankings!C$2:'Rankings'!C$1149,MATCH(SMALL(Rankings!H$2:'Rankings'!H$1000,ROW()),Rankings!H$2:'Rankings'!H$1000,0))</f>
        <v>Alexander Wegner (Enhuber?)</v>
      </c>
      <c r="D25" t="str">
        <f>INDEX(Rankings!C$2:'Rankings'!C$1149,MATCH(SMALL(Rankings!H$2:'Rankings'!H$1000,ROW()),Rankings!H$2:'Rankings'!H$1000,0))</f>
        <v>Alexander Wegner (Enhuber?)</v>
      </c>
      <c r="E25" s="11"/>
      <c r="F25" s="11"/>
      <c r="G25" t="str">
        <f>INDEX(Rankings!C$2:'Rankings'!C$1149,MATCH(SMALL(Rankings!H$2:'Rankings'!H$1000,ROW()),Rankings!H$2:'Rankings'!H$1000,0))</f>
        <v>Alexander Wegner (Enhuber?)</v>
      </c>
      <c r="H25" s="13"/>
      <c r="I25" s="13"/>
      <c r="J25" s="13"/>
      <c r="K25" s="13"/>
      <c r="L25" s="13"/>
      <c r="M25" s="13"/>
      <c r="N25" s="13"/>
      <c r="O25" s="13"/>
      <c r="P25" s="13"/>
      <c r="Q25" s="13"/>
      <c r="R25" s="13"/>
      <c r="S25" s="13"/>
      <c r="T25" s="13"/>
      <c r="U25" s="13"/>
      <c r="V25" s="13"/>
      <c r="W25" s="13"/>
      <c r="X25" s="13"/>
    </row>
    <row r="26" spans="1:24" ht="16.5" hidden="1" customHeight="1" outlineLevel="1" x14ac:dyDescent="0.25">
      <c r="A26" s="13"/>
      <c r="B26" t="str">
        <f>INDEX(Rankings!C$2:'Rankings'!C$1149,MATCH(SMALL(Rankings!H$2:'Rankings'!H$1000,ROW()),Rankings!H$2:'Rankings'!H$1000,0))</f>
        <v>Alfonso Lopez Velez</v>
      </c>
      <c r="C26" t="str">
        <f>INDEX(Rankings!C$2:'Rankings'!C$1149,MATCH(SMALL(Rankings!H$2:'Rankings'!H$1000,ROW()),Rankings!H$2:'Rankings'!H$1000,0))</f>
        <v>Alfonso Lopez Velez</v>
      </c>
      <c r="D26" t="str">
        <f>INDEX(Rankings!C$2:'Rankings'!C$1149,MATCH(SMALL(Rankings!H$2:'Rankings'!H$1000,ROW()),Rankings!H$2:'Rankings'!H$1000,0))</f>
        <v>Alfonso Lopez Velez</v>
      </c>
      <c r="E26" s="106"/>
      <c r="F26" s="106"/>
      <c r="G26" t="str">
        <f>INDEX(Rankings!C$2:'Rankings'!C$1149,MATCH(SMALL(Rankings!H$2:'Rankings'!H$1000,ROW()),Rankings!H$2:'Rankings'!H$1000,0))</f>
        <v>Alfonso Lopez Velez</v>
      </c>
      <c r="H26" s="13"/>
      <c r="I26" s="13"/>
      <c r="J26" s="13"/>
      <c r="K26" s="13"/>
      <c r="L26" s="13"/>
      <c r="M26" s="13"/>
      <c r="N26" s="13"/>
      <c r="O26" s="13"/>
      <c r="P26" s="13"/>
      <c r="Q26" s="13"/>
      <c r="R26" s="13"/>
      <c r="S26" s="13"/>
      <c r="T26" s="13"/>
      <c r="U26" s="13"/>
      <c r="V26" s="13"/>
      <c r="W26" s="13"/>
      <c r="X26" s="13"/>
    </row>
    <row r="27" spans="1:24" ht="16.5" hidden="1" customHeight="1" outlineLevel="1" x14ac:dyDescent="0.25">
      <c r="A27" s="13"/>
      <c r="B27" t="str">
        <f>INDEX(Rankings!C$2:'Rankings'!C$1149,MATCH(SMALL(Rankings!H$2:'Rankings'!H$1000,ROW()),Rankings!H$2:'Rankings'!H$1000,0))</f>
        <v>Ali Dastrandj</v>
      </c>
      <c r="C27" t="str">
        <f>INDEX(Rankings!C$2:'Rankings'!C$1149,MATCH(SMALL(Rankings!H$2:'Rankings'!H$1000,ROW()),Rankings!H$2:'Rankings'!H$1000,0))</f>
        <v>Ali Dastrandj</v>
      </c>
      <c r="D27" t="str">
        <f>INDEX(Rankings!C$2:'Rankings'!C$1149,MATCH(SMALL(Rankings!H$2:'Rankings'!H$1000,ROW()),Rankings!H$2:'Rankings'!H$1000,0))</f>
        <v>Ali Dastrandj</v>
      </c>
      <c r="E27" s="11"/>
      <c r="F27" s="11"/>
      <c r="G27" t="str">
        <f>INDEX(Rankings!C$2:'Rankings'!C$1149,MATCH(SMALL(Rankings!H$2:'Rankings'!H$1000,ROW()),Rankings!H$2:'Rankings'!H$1000,0))</f>
        <v>Ali Dastrandj</v>
      </c>
      <c r="H27" s="13"/>
      <c r="I27" s="13"/>
      <c r="J27" s="13"/>
      <c r="K27" s="13"/>
      <c r="L27" s="13"/>
      <c r="M27" s="13"/>
      <c r="N27" s="13"/>
      <c r="O27" s="13"/>
      <c r="P27" s="13"/>
      <c r="Q27" s="13"/>
      <c r="R27" s="13"/>
      <c r="S27" s="13"/>
      <c r="T27" s="13"/>
      <c r="U27" s="13"/>
      <c r="V27" s="13"/>
      <c r="W27" s="13"/>
      <c r="X27" s="13"/>
    </row>
    <row r="28" spans="1:24" ht="16.5" hidden="1" customHeight="1" outlineLevel="1" x14ac:dyDescent="0.25">
      <c r="A28" s="13"/>
      <c r="B28" t="str">
        <f>INDEX(Rankings!C$2:'Rankings'!C$1149,MATCH(SMALL(Rankings!H$2:'Rankings'!H$1000,ROW()),Rankings!H$2:'Rankings'!H$1000,0))</f>
        <v>Alice Tommazzini</v>
      </c>
      <c r="C28" t="str">
        <f>INDEX(Rankings!C$2:'Rankings'!C$1149,MATCH(SMALL(Rankings!H$2:'Rankings'!H$1000,ROW()),Rankings!H$2:'Rankings'!H$1000,0))</f>
        <v>Alice Tommazzini</v>
      </c>
      <c r="D28" t="str">
        <f>INDEX(Rankings!C$2:'Rankings'!C$1149,MATCH(SMALL(Rankings!H$2:'Rankings'!H$1000,ROW()),Rankings!H$2:'Rankings'!H$1000,0))</f>
        <v>Alice Tommazzini</v>
      </c>
      <c r="E28" s="11"/>
      <c r="F28" s="11"/>
      <c r="G28" t="str">
        <f>INDEX(Rankings!C$2:'Rankings'!C$1149,MATCH(SMALL(Rankings!H$2:'Rankings'!H$1000,ROW()),Rankings!H$2:'Rankings'!H$1000,0))</f>
        <v>Alice Tommazzini</v>
      </c>
      <c r="H28" s="13"/>
      <c r="I28" s="13"/>
      <c r="J28" s="13"/>
      <c r="K28" s="13"/>
      <c r="L28" s="13"/>
      <c r="M28" s="13"/>
      <c r="N28" s="13"/>
      <c r="O28" s="13"/>
      <c r="P28" s="13"/>
      <c r="Q28" s="13"/>
      <c r="R28" s="13"/>
      <c r="S28" s="13"/>
      <c r="T28" s="13"/>
      <c r="U28" s="13"/>
      <c r="V28" s="13"/>
      <c r="W28" s="13"/>
      <c r="X28" s="13"/>
    </row>
    <row r="29" spans="1:24" ht="16.5" hidden="1" customHeight="1" outlineLevel="1" x14ac:dyDescent="0.25">
      <c r="A29" s="13"/>
      <c r="B29" t="str">
        <f>INDEX(Rankings!C$2:'Rankings'!C$1149,MATCH(SMALL(Rankings!H$2:'Rankings'!H$1000,ROW()),Rankings!H$2:'Rankings'!H$1000,0))</f>
        <v>Allan Clark</v>
      </c>
      <c r="C29" t="str">
        <f>INDEX(Rankings!C$2:'Rankings'!C$1149,MATCH(SMALL(Rankings!H$2:'Rankings'!H$1000,ROW()),Rankings!H$2:'Rankings'!H$1000,0))</f>
        <v>Allan Clark</v>
      </c>
      <c r="D29" t="str">
        <f>INDEX(Rankings!C$2:'Rankings'!C$1149,MATCH(SMALL(Rankings!H$2:'Rankings'!H$1000,ROW()),Rankings!H$2:'Rankings'!H$1000,0))</f>
        <v>Allan Clark</v>
      </c>
      <c r="E29" s="11"/>
      <c r="F29" s="11"/>
      <c r="G29" t="str">
        <f>INDEX(Rankings!C$2:'Rankings'!C$1149,MATCH(SMALL(Rankings!H$2:'Rankings'!H$1000,ROW()),Rankings!H$2:'Rankings'!H$1000,0))</f>
        <v>Allan Clark</v>
      </c>
      <c r="H29" s="13"/>
      <c r="I29" s="13"/>
      <c r="J29" s="13"/>
      <c r="K29" s="13"/>
      <c r="L29" s="13"/>
      <c r="M29" s="13"/>
      <c r="N29" s="13"/>
      <c r="O29" s="13"/>
      <c r="P29" s="13"/>
      <c r="Q29" s="13"/>
      <c r="R29" s="13"/>
      <c r="S29" s="13"/>
      <c r="T29" s="13"/>
      <c r="U29" s="13"/>
      <c r="V29" s="13"/>
      <c r="W29" s="13"/>
      <c r="X29" s="13"/>
    </row>
    <row r="30" spans="1:24" ht="16.5" hidden="1" customHeight="1" outlineLevel="1" x14ac:dyDescent="0.25">
      <c r="A30" s="13"/>
      <c r="B30" t="str">
        <f>INDEX(Rankings!C$2:'Rankings'!C$1149,MATCH(SMALL(Rankings!H$2:'Rankings'!H$1000,ROW()),Rankings!H$2:'Rankings'!H$1000,0))</f>
        <v>Amy Campbell</v>
      </c>
      <c r="C30" t="str">
        <f>INDEX(Rankings!C$2:'Rankings'!C$1149,MATCH(SMALL(Rankings!H$2:'Rankings'!H$1000,ROW()),Rankings!H$2:'Rankings'!H$1000,0))</f>
        <v>Amy Campbell</v>
      </c>
      <c r="D30" t="str">
        <f>INDEX(Rankings!C$2:'Rankings'!C$1149,MATCH(SMALL(Rankings!H$2:'Rankings'!H$1000,ROW()),Rankings!H$2:'Rankings'!H$1000,0))</f>
        <v>Amy Campbell</v>
      </c>
      <c r="E30" s="11"/>
      <c r="F30" s="11"/>
      <c r="G30" t="str">
        <f>INDEX(Rankings!C$2:'Rankings'!C$1149,MATCH(SMALL(Rankings!H$2:'Rankings'!H$1000,ROW()),Rankings!H$2:'Rankings'!H$1000,0))</f>
        <v>Amy Campbell</v>
      </c>
      <c r="H30" s="13"/>
      <c r="I30" s="13"/>
      <c r="J30" s="13"/>
      <c r="K30" s="13"/>
      <c r="L30" s="13"/>
      <c r="M30" s="13"/>
      <c r="N30" s="13"/>
      <c r="O30" s="13"/>
      <c r="P30" s="13"/>
      <c r="Q30" s="13"/>
      <c r="R30" s="13"/>
      <c r="S30" s="13"/>
      <c r="T30" s="13"/>
      <c r="U30" s="13"/>
      <c r="V30" s="13"/>
      <c r="W30" s="13"/>
      <c r="X30" s="13"/>
    </row>
    <row r="31" spans="1:24" ht="16.5" hidden="1" customHeight="1" outlineLevel="1" x14ac:dyDescent="0.25">
      <c r="A31" s="13"/>
      <c r="B31" t="str">
        <f>INDEX(Rankings!C$2:'Rankings'!C$1149,MATCH(SMALL(Rankings!H$2:'Rankings'!H$1000,ROW()),Rankings!H$2:'Rankings'!H$1000,0))</f>
        <v>Amy Schiller</v>
      </c>
      <c r="C31" t="str">
        <f>INDEX(Rankings!C$2:'Rankings'!C$1149,MATCH(SMALL(Rankings!H$2:'Rankings'!H$1000,ROW()),Rankings!H$2:'Rankings'!H$1000,0))</f>
        <v>Amy Schiller</v>
      </c>
      <c r="D31" t="str">
        <f>INDEX(Rankings!C$2:'Rankings'!C$1149,MATCH(SMALL(Rankings!H$2:'Rankings'!H$1000,ROW()),Rankings!H$2:'Rankings'!H$1000,0))</f>
        <v>Amy Schiller</v>
      </c>
      <c r="E31" s="11"/>
      <c r="F31" s="11"/>
      <c r="G31" t="str">
        <f>INDEX(Rankings!C$2:'Rankings'!C$1149,MATCH(SMALL(Rankings!H$2:'Rankings'!H$1000,ROW()),Rankings!H$2:'Rankings'!H$1000,0))</f>
        <v>Amy Schiller</v>
      </c>
      <c r="H31" s="13"/>
      <c r="I31" s="13"/>
      <c r="J31" s="13"/>
      <c r="K31" s="13"/>
      <c r="L31" s="13"/>
      <c r="M31" s="13"/>
      <c r="N31" s="13"/>
      <c r="O31" s="13"/>
      <c r="P31" s="13"/>
      <c r="Q31" s="13"/>
      <c r="R31" s="13"/>
      <c r="S31" s="13"/>
      <c r="T31" s="13"/>
      <c r="U31" s="13"/>
      <c r="V31" s="13"/>
      <c r="W31" s="13"/>
      <c r="X31" s="13"/>
    </row>
    <row r="32" spans="1:24" hidden="1" outlineLevel="1" x14ac:dyDescent="0.25">
      <c r="B32" t="str">
        <f>INDEX(Rankings!C$2:'Rankings'!C$1149,MATCH(SMALL(Rankings!H$2:'Rankings'!H$1000,ROW()),Rankings!H$2:'Rankings'!H$1000,0))</f>
        <v>Anders Johnsson</v>
      </c>
      <c r="C32" t="str">
        <f>INDEX(Rankings!C$2:'Rankings'!C$1149,MATCH(SMALL(Rankings!H$2:'Rankings'!H$1000,ROW()),Rankings!H$2:'Rankings'!H$1000,0))</f>
        <v>Anders Johnsson</v>
      </c>
      <c r="D32" t="str">
        <f>INDEX(Rankings!C$2:'Rankings'!C$1149,MATCH(SMALL(Rankings!H$2:'Rankings'!H$1000,ROW()),Rankings!H$2:'Rankings'!H$1000,0))</f>
        <v>Anders Johnsson</v>
      </c>
      <c r="E32" s="11"/>
      <c r="F32" s="11"/>
      <c r="G32" t="str">
        <f>INDEX(Rankings!C$2:'Rankings'!C$1149,MATCH(SMALL(Rankings!H$2:'Rankings'!H$1000,ROW()),Rankings!H$2:'Rankings'!H$1000,0))</f>
        <v>Anders Johnsson</v>
      </c>
      <c r="H32" s="13"/>
      <c r="I32" s="13"/>
      <c r="J32" s="13"/>
      <c r="K32" s="13"/>
      <c r="L32" s="13"/>
      <c r="M32" s="13"/>
      <c r="N32" s="13"/>
      <c r="O32" s="13"/>
      <c r="P32" s="13"/>
      <c r="Q32" s="13"/>
      <c r="R32" s="13"/>
      <c r="S32" s="13"/>
      <c r="T32" s="13"/>
      <c r="U32" s="13"/>
      <c r="V32" s="13"/>
      <c r="W32" s="13"/>
      <c r="X32" s="13"/>
    </row>
    <row r="33" spans="2:7" hidden="1" outlineLevel="1" x14ac:dyDescent="0.25">
      <c r="B33" t="str">
        <f>INDEX(Rankings!C$2:'Rankings'!C$1149,MATCH(SMALL(Rankings!H$2:'Rankings'!H$1000,ROW()),Rankings!H$2:'Rankings'!H$1000,0))</f>
        <v>André Hillman</v>
      </c>
      <c r="C33" t="str">
        <f>INDEX(Rankings!C$2:'Rankings'!C$1149,MATCH(SMALL(Rankings!H$2:'Rankings'!H$1000,ROW()),Rankings!H$2:'Rankings'!H$1000,0))</f>
        <v>André Hillman</v>
      </c>
      <c r="D33" t="str">
        <f>INDEX(Rankings!C$2:'Rankings'!C$1149,MATCH(SMALL(Rankings!H$2:'Rankings'!H$1000,ROW()),Rankings!H$2:'Rankings'!H$1000,0))</f>
        <v>André Hillman</v>
      </c>
      <c r="G33" t="str">
        <f>INDEX(Rankings!C$2:'Rankings'!C$1149,MATCH(SMALL(Rankings!H$2:'Rankings'!H$1000,ROW()),Rankings!H$2:'Rankings'!H$1000,0))</f>
        <v>André Hillman</v>
      </c>
    </row>
    <row r="34" spans="2:7" hidden="1" outlineLevel="1" x14ac:dyDescent="0.25">
      <c r="B34" t="str">
        <f>INDEX(Rankings!C$2:'Rankings'!C$1149,MATCH(SMALL(Rankings!H$2:'Rankings'!H$1000,ROW()),Rankings!H$2:'Rankings'!H$1000,0))</f>
        <v>Andrea Arfilli</v>
      </c>
      <c r="C34" t="str">
        <f>INDEX(Rankings!C$2:'Rankings'!C$1149,MATCH(SMALL(Rankings!H$2:'Rankings'!H$1000,ROW()),Rankings!H$2:'Rankings'!H$1000,0))</f>
        <v>Andrea Arfilli</v>
      </c>
      <c r="D34" t="str">
        <f>INDEX(Rankings!C$2:'Rankings'!C$1149,MATCH(SMALL(Rankings!H$2:'Rankings'!H$1000,ROW()),Rankings!H$2:'Rankings'!H$1000,0))</f>
        <v>Andrea Arfilli</v>
      </c>
      <c r="G34" t="str">
        <f>INDEX(Rankings!C$2:'Rankings'!C$1149,MATCH(SMALL(Rankings!H$2:'Rankings'!H$1000,ROW()),Rankings!H$2:'Rankings'!H$1000,0))</f>
        <v>Andrea Arfilli</v>
      </c>
    </row>
    <row r="35" spans="2:7" hidden="1" outlineLevel="1" x14ac:dyDescent="0.25">
      <c r="B35" t="str">
        <f>INDEX(Rankings!C$2:'Rankings'!C$1149,MATCH(SMALL(Rankings!H$2:'Rankings'!H$1000,ROW()),Rankings!H$2:'Rankings'!H$1000,0))</f>
        <v>Andrea Corizzo</v>
      </c>
      <c r="C35" t="str">
        <f>INDEX(Rankings!C$2:'Rankings'!C$1149,MATCH(SMALL(Rankings!H$2:'Rankings'!H$1000,ROW()),Rankings!H$2:'Rankings'!H$1000,0))</f>
        <v>Andrea Corizzo</v>
      </c>
      <c r="D35" t="str">
        <f>INDEX(Rankings!C$2:'Rankings'!C$1149,MATCH(SMALL(Rankings!H$2:'Rankings'!H$1000,ROW()),Rankings!H$2:'Rankings'!H$1000,0))</f>
        <v>Andrea Corizzo</v>
      </c>
      <c r="G35" t="str">
        <f>INDEX(Rankings!C$2:'Rankings'!C$1149,MATCH(SMALL(Rankings!H$2:'Rankings'!H$1000,ROW()),Rankings!H$2:'Rankings'!H$1000,0))</f>
        <v>Andrea Corizzo</v>
      </c>
    </row>
    <row r="36" spans="2:7" hidden="1" outlineLevel="1" x14ac:dyDescent="0.25">
      <c r="B36" t="str">
        <f>INDEX(Rankings!C$2:'Rankings'!C$1149,MATCH(SMALL(Rankings!H$2:'Rankings'!H$1000,ROW()),Rankings!H$2:'Rankings'!H$1000,0))</f>
        <v>Andrea Dini</v>
      </c>
      <c r="C36" t="str">
        <f>INDEX(Rankings!C$2:'Rankings'!C$1149,MATCH(SMALL(Rankings!H$2:'Rankings'!H$1000,ROW()),Rankings!H$2:'Rankings'!H$1000,0))</f>
        <v>Andrea Dini</v>
      </c>
      <c r="D36" t="str">
        <f>INDEX(Rankings!C$2:'Rankings'!C$1149,MATCH(SMALL(Rankings!H$2:'Rankings'!H$1000,ROW()),Rankings!H$2:'Rankings'!H$1000,0))</f>
        <v>Andrea Dini</v>
      </c>
      <c r="G36" t="str">
        <f>INDEX(Rankings!C$2:'Rankings'!C$1149,MATCH(SMALL(Rankings!H$2:'Rankings'!H$1000,ROW()),Rankings!H$2:'Rankings'!H$1000,0))</f>
        <v>Andrea Dini</v>
      </c>
    </row>
    <row r="37" spans="2:7" hidden="1" outlineLevel="1" x14ac:dyDescent="0.25">
      <c r="B37" t="str">
        <f>INDEX(Rankings!C$2:'Rankings'!C$1149,MATCH(SMALL(Rankings!H$2:'Rankings'!H$1000,ROW()),Rankings!H$2:'Rankings'!H$1000,0))</f>
        <v>Andrea Festi</v>
      </c>
      <c r="C37" t="str">
        <f>INDEX(Rankings!C$2:'Rankings'!C$1149,MATCH(SMALL(Rankings!H$2:'Rankings'!H$1000,ROW()),Rankings!H$2:'Rankings'!H$1000,0))</f>
        <v>Andrea Festi</v>
      </c>
      <c r="D37" t="str">
        <f>INDEX(Rankings!C$2:'Rankings'!C$1149,MATCH(SMALL(Rankings!H$2:'Rankings'!H$1000,ROW()),Rankings!H$2:'Rankings'!H$1000,0))</f>
        <v>Andrea Festi</v>
      </c>
      <c r="G37" t="str">
        <f>INDEX(Rankings!C$2:'Rankings'!C$1149,MATCH(SMALL(Rankings!H$2:'Rankings'!H$1000,ROW()),Rankings!H$2:'Rankings'!H$1000,0))</f>
        <v>Andrea Festi</v>
      </c>
    </row>
    <row r="38" spans="2:7" hidden="1" outlineLevel="1" x14ac:dyDescent="0.25">
      <c r="B38" t="str">
        <f>INDEX(Rankings!C$2:'Rankings'!C$1149,MATCH(SMALL(Rankings!H$2:'Rankings'!H$1000,ROW()),Rankings!H$2:'Rankings'!H$1000,0))</f>
        <v>Andrea Furlan</v>
      </c>
      <c r="C38" t="str">
        <f>INDEX(Rankings!C$2:'Rankings'!C$1149,MATCH(SMALL(Rankings!H$2:'Rankings'!H$1000,ROW()),Rankings!H$2:'Rankings'!H$1000,0))</f>
        <v>Andrea Furlan</v>
      </c>
      <c r="D38" t="str">
        <f>INDEX(Rankings!C$2:'Rankings'!C$1149,MATCH(SMALL(Rankings!H$2:'Rankings'!H$1000,ROW()),Rankings!H$2:'Rankings'!H$1000,0))</f>
        <v>Andrea Furlan</v>
      </c>
      <c r="G38" t="str">
        <f>INDEX(Rankings!C$2:'Rankings'!C$1149,MATCH(SMALL(Rankings!H$2:'Rankings'!H$1000,ROW()),Rankings!H$2:'Rankings'!H$1000,0))</f>
        <v>Andrea Furlan</v>
      </c>
    </row>
    <row r="39" spans="2:7" hidden="1" outlineLevel="1" x14ac:dyDescent="0.25">
      <c r="B39" t="str">
        <f>INDEX(Rankings!C$2:'Rankings'!C$1149,MATCH(SMALL(Rankings!H$2:'Rankings'!H$1000,ROW()),Rankings!H$2:'Rankings'!H$1000,0))</f>
        <v>Andrea Gallotti</v>
      </c>
      <c r="C39" t="str">
        <f>INDEX(Rankings!C$2:'Rankings'!C$1149,MATCH(SMALL(Rankings!H$2:'Rankings'!H$1000,ROW()),Rankings!H$2:'Rankings'!H$1000,0))</f>
        <v>Andrea Gallotti</v>
      </c>
      <c r="D39" t="str">
        <f>INDEX(Rankings!C$2:'Rankings'!C$1149,MATCH(SMALL(Rankings!H$2:'Rankings'!H$1000,ROW()),Rankings!H$2:'Rankings'!H$1000,0))</f>
        <v>Andrea Gallotti</v>
      </c>
      <c r="G39" t="str">
        <f>INDEX(Rankings!C$2:'Rankings'!C$1149,MATCH(SMALL(Rankings!H$2:'Rankings'!H$1000,ROW()),Rankings!H$2:'Rankings'!H$1000,0))</f>
        <v>Andrea Gallotti</v>
      </c>
    </row>
    <row r="40" spans="2:7" hidden="1" outlineLevel="1" x14ac:dyDescent="0.25">
      <c r="B40" t="str">
        <f>INDEX(Rankings!C$2:'Rankings'!C$1149,MATCH(SMALL(Rankings!H$2:'Rankings'!H$1000,ROW()),Rankings!H$2:'Rankings'!H$1000,0))</f>
        <v>Andrea Girodo</v>
      </c>
      <c r="C40" t="str">
        <f>INDEX(Rankings!C$2:'Rankings'!C$1149,MATCH(SMALL(Rankings!H$2:'Rankings'!H$1000,ROW()),Rankings!H$2:'Rankings'!H$1000,0))</f>
        <v>Andrea Girodo</v>
      </c>
      <c r="D40" t="str">
        <f>INDEX(Rankings!C$2:'Rankings'!C$1149,MATCH(SMALL(Rankings!H$2:'Rankings'!H$1000,ROW()),Rankings!H$2:'Rankings'!H$1000,0))</f>
        <v>Andrea Girodo</v>
      </c>
      <c r="G40" t="str">
        <f>INDEX(Rankings!C$2:'Rankings'!C$1149,MATCH(SMALL(Rankings!H$2:'Rankings'!H$1000,ROW()),Rankings!H$2:'Rankings'!H$1000,0))</f>
        <v>Andrea Girodo</v>
      </c>
    </row>
    <row r="41" spans="2:7" hidden="1" outlineLevel="1" x14ac:dyDescent="0.25">
      <c r="B41" t="str">
        <f>INDEX(Rankings!C$2:'Rankings'!C$1149,MATCH(SMALL(Rankings!H$2:'Rankings'!H$1000,ROW()),Rankings!H$2:'Rankings'!H$1000,0))</f>
        <v>Andrea Izzo</v>
      </c>
      <c r="C41" t="str">
        <f>INDEX(Rankings!C$2:'Rankings'!C$1149,MATCH(SMALL(Rankings!H$2:'Rankings'!H$1000,ROW()),Rankings!H$2:'Rankings'!H$1000,0))</f>
        <v>Andrea Izzo</v>
      </c>
      <c r="D41" t="str">
        <f>INDEX(Rankings!C$2:'Rankings'!C$1149,MATCH(SMALL(Rankings!H$2:'Rankings'!H$1000,ROW()),Rankings!H$2:'Rankings'!H$1000,0))</f>
        <v>Andrea Izzo</v>
      </c>
      <c r="G41" t="str">
        <f>INDEX(Rankings!C$2:'Rankings'!C$1149,MATCH(SMALL(Rankings!H$2:'Rankings'!H$1000,ROW()),Rankings!H$2:'Rankings'!H$1000,0))</f>
        <v>Andrea Izzo</v>
      </c>
    </row>
    <row r="42" spans="2:7" hidden="1" outlineLevel="1" x14ac:dyDescent="0.25">
      <c r="B42" t="str">
        <f>INDEX(Rankings!C$2:'Rankings'!C$1149,MATCH(SMALL(Rankings!H$2:'Rankings'!H$1000,ROW()),Rankings!H$2:'Rankings'!H$1000,0))</f>
        <v>Andrea Ludergnani</v>
      </c>
      <c r="C42" t="str">
        <f>INDEX(Rankings!C$2:'Rankings'!C$1149,MATCH(SMALL(Rankings!H$2:'Rankings'!H$1000,ROW()),Rankings!H$2:'Rankings'!H$1000,0))</f>
        <v>Andrea Ludergnani</v>
      </c>
      <c r="D42" t="str">
        <f>INDEX(Rankings!C$2:'Rankings'!C$1149,MATCH(SMALL(Rankings!H$2:'Rankings'!H$1000,ROW()),Rankings!H$2:'Rankings'!H$1000,0))</f>
        <v>Andrea Ludergnani</v>
      </c>
      <c r="G42" t="str">
        <f>INDEX(Rankings!C$2:'Rankings'!C$1149,MATCH(SMALL(Rankings!H$2:'Rankings'!H$1000,ROW()),Rankings!H$2:'Rankings'!H$1000,0))</f>
        <v>Andrea Ludergnani</v>
      </c>
    </row>
    <row r="43" spans="2:7" hidden="1" outlineLevel="1" x14ac:dyDescent="0.25">
      <c r="B43" t="str">
        <f>INDEX(Rankings!C$2:'Rankings'!C$1149,MATCH(SMALL(Rankings!H$2:'Rankings'!H$1000,ROW()),Rankings!H$2:'Rankings'!H$1000,0))</f>
        <v>Andrea Lugli</v>
      </c>
      <c r="C43" t="str">
        <f>INDEX(Rankings!C$2:'Rankings'!C$1149,MATCH(SMALL(Rankings!H$2:'Rankings'!H$1000,ROW()),Rankings!H$2:'Rankings'!H$1000,0))</f>
        <v>Andrea Lugli</v>
      </c>
      <c r="D43" t="str">
        <f>INDEX(Rankings!C$2:'Rankings'!C$1149,MATCH(SMALL(Rankings!H$2:'Rankings'!H$1000,ROW()),Rankings!H$2:'Rankings'!H$1000,0))</f>
        <v>Andrea Lugli</v>
      </c>
      <c r="G43" t="str">
        <f>INDEX(Rankings!C$2:'Rankings'!C$1149,MATCH(SMALL(Rankings!H$2:'Rankings'!H$1000,ROW()),Rankings!H$2:'Rankings'!H$1000,0))</f>
        <v>Andrea Lugli</v>
      </c>
    </row>
    <row r="44" spans="2:7" hidden="1" outlineLevel="1" x14ac:dyDescent="0.25">
      <c r="B44" t="str">
        <f>INDEX(Rankings!C$2:'Rankings'!C$1149,MATCH(SMALL(Rankings!H$2:'Rankings'!H$1000,ROW()),Rankings!H$2:'Rankings'!H$1000,0))</f>
        <v>Andrea Marciano</v>
      </c>
      <c r="C44" t="str">
        <f>INDEX(Rankings!C$2:'Rankings'!C$1149,MATCH(SMALL(Rankings!H$2:'Rankings'!H$1000,ROW()),Rankings!H$2:'Rankings'!H$1000,0))</f>
        <v>Andrea Marciano</v>
      </c>
      <c r="D44" t="str">
        <f>INDEX(Rankings!C$2:'Rankings'!C$1149,MATCH(SMALL(Rankings!H$2:'Rankings'!H$1000,ROW()),Rankings!H$2:'Rankings'!H$1000,0))</f>
        <v>Andrea Marciano</v>
      </c>
      <c r="G44" t="str">
        <f>INDEX(Rankings!C$2:'Rankings'!C$1149,MATCH(SMALL(Rankings!H$2:'Rankings'!H$1000,ROW()),Rankings!H$2:'Rankings'!H$1000,0))</f>
        <v>Andrea Marciano</v>
      </c>
    </row>
    <row r="45" spans="2:7" hidden="1" outlineLevel="1" x14ac:dyDescent="0.25">
      <c r="B45" t="str">
        <f>INDEX(Rankings!C$2:'Rankings'!C$1149,MATCH(SMALL(Rankings!H$2:'Rankings'!H$1000,ROW()),Rankings!H$2:'Rankings'!H$1000,0))</f>
        <v>Andrea Meola</v>
      </c>
      <c r="C45" t="str">
        <f>INDEX(Rankings!C$2:'Rankings'!C$1149,MATCH(SMALL(Rankings!H$2:'Rankings'!H$1000,ROW()),Rankings!H$2:'Rankings'!H$1000,0))</f>
        <v>Andrea Meola</v>
      </c>
      <c r="D45" t="str">
        <f>INDEX(Rankings!C$2:'Rankings'!C$1149,MATCH(SMALL(Rankings!H$2:'Rankings'!H$1000,ROW()),Rankings!H$2:'Rankings'!H$1000,0))</f>
        <v>Andrea Meola</v>
      </c>
      <c r="G45" t="str">
        <f>INDEX(Rankings!C$2:'Rankings'!C$1149,MATCH(SMALL(Rankings!H$2:'Rankings'!H$1000,ROW()),Rankings!H$2:'Rankings'!H$1000,0))</f>
        <v>Andrea Meola</v>
      </c>
    </row>
    <row r="46" spans="2:7" hidden="1" outlineLevel="1" x14ac:dyDescent="0.25">
      <c r="B46" t="str">
        <f>INDEX(Rankings!C$2:'Rankings'!C$1149,MATCH(SMALL(Rankings!H$2:'Rankings'!H$1000,ROW()),Rankings!H$2:'Rankings'!H$1000,0))</f>
        <v>Andrea Mizzi</v>
      </c>
      <c r="C46" t="str">
        <f>INDEX(Rankings!C$2:'Rankings'!C$1149,MATCH(SMALL(Rankings!H$2:'Rankings'!H$1000,ROW()),Rankings!H$2:'Rankings'!H$1000,0))</f>
        <v>Andrea Mizzi</v>
      </c>
      <c r="D46" t="str">
        <f>INDEX(Rankings!C$2:'Rankings'!C$1149,MATCH(SMALL(Rankings!H$2:'Rankings'!H$1000,ROW()),Rankings!H$2:'Rankings'!H$1000,0))</f>
        <v>Andrea Mizzi</v>
      </c>
      <c r="G46" t="str">
        <f>INDEX(Rankings!C$2:'Rankings'!C$1149,MATCH(SMALL(Rankings!H$2:'Rankings'!H$1000,ROW()),Rankings!H$2:'Rankings'!H$1000,0))</f>
        <v>Andrea Mizzi</v>
      </c>
    </row>
    <row r="47" spans="2:7" hidden="1" outlineLevel="1" x14ac:dyDescent="0.25">
      <c r="B47" t="str">
        <f>INDEX(Rankings!C$2:'Rankings'!C$1149,MATCH(SMALL(Rankings!H$2:'Rankings'!H$1000,ROW()),Rankings!H$2:'Rankings'!H$1000,0))</f>
        <v>Andrea Pecchiari</v>
      </c>
      <c r="C47" t="str">
        <f>INDEX(Rankings!C$2:'Rankings'!C$1149,MATCH(SMALL(Rankings!H$2:'Rankings'!H$1000,ROW()),Rankings!H$2:'Rankings'!H$1000,0))</f>
        <v>Andrea Pecchiari</v>
      </c>
      <c r="D47" t="str">
        <f>INDEX(Rankings!C$2:'Rankings'!C$1149,MATCH(SMALL(Rankings!H$2:'Rankings'!H$1000,ROW()),Rankings!H$2:'Rankings'!H$1000,0))</f>
        <v>Andrea Pecchiari</v>
      </c>
      <c r="G47" t="str">
        <f>INDEX(Rankings!C$2:'Rankings'!C$1149,MATCH(SMALL(Rankings!H$2:'Rankings'!H$1000,ROW()),Rankings!H$2:'Rankings'!H$1000,0))</f>
        <v>Andrea Pecchiari</v>
      </c>
    </row>
    <row r="48" spans="2:7" hidden="1" outlineLevel="1" x14ac:dyDescent="0.25">
      <c r="B48" t="str">
        <f>INDEX(Rankings!C$2:'Rankings'!C$1149,MATCH(SMALL(Rankings!H$2:'Rankings'!H$1000,ROW()),Rankings!H$2:'Rankings'!H$1000,0))</f>
        <v>Andrea Piemontese</v>
      </c>
      <c r="C48" t="str">
        <f>INDEX(Rankings!C$2:'Rankings'!C$1149,MATCH(SMALL(Rankings!H$2:'Rankings'!H$1000,ROW()),Rankings!H$2:'Rankings'!H$1000,0))</f>
        <v>Andrea Piemontese</v>
      </c>
      <c r="D48" t="str">
        <f>INDEX(Rankings!C$2:'Rankings'!C$1149,MATCH(SMALL(Rankings!H$2:'Rankings'!H$1000,ROW()),Rankings!H$2:'Rankings'!H$1000,0))</f>
        <v>Andrea Piemontese</v>
      </c>
      <c r="G48" t="str">
        <f>INDEX(Rankings!C$2:'Rankings'!C$1149,MATCH(SMALL(Rankings!H$2:'Rankings'!H$1000,ROW()),Rankings!H$2:'Rankings'!H$1000,0))</f>
        <v>Andrea Piemontese</v>
      </c>
    </row>
    <row r="49" spans="2:7" hidden="1" outlineLevel="1" x14ac:dyDescent="0.25">
      <c r="B49" t="str">
        <f>INDEX(Rankings!C$2:'Rankings'!C$1149,MATCH(SMALL(Rankings!H$2:'Rankings'!H$1000,ROW()),Rankings!H$2:'Rankings'!H$1000,0))</f>
        <v>Andrea Pietrangeli</v>
      </c>
      <c r="C49" t="str">
        <f>INDEX(Rankings!C$2:'Rankings'!C$1149,MATCH(SMALL(Rankings!H$2:'Rankings'!H$1000,ROW()),Rankings!H$2:'Rankings'!H$1000,0))</f>
        <v>Andrea Pietrangeli</v>
      </c>
      <c r="D49" t="str">
        <f>INDEX(Rankings!C$2:'Rankings'!C$1149,MATCH(SMALL(Rankings!H$2:'Rankings'!H$1000,ROW()),Rankings!H$2:'Rankings'!H$1000,0))</f>
        <v>Andrea Pietrangeli</v>
      </c>
      <c r="G49" t="str">
        <f>INDEX(Rankings!C$2:'Rankings'!C$1149,MATCH(SMALL(Rankings!H$2:'Rankings'!H$1000,ROW()),Rankings!H$2:'Rankings'!H$1000,0))</f>
        <v>Andrea Pietrangeli</v>
      </c>
    </row>
    <row r="50" spans="2:7" hidden="1" outlineLevel="1" x14ac:dyDescent="0.25">
      <c r="B50" t="str">
        <f>INDEX(Rankings!C$2:'Rankings'!C$1149,MATCH(SMALL(Rankings!H$2:'Rankings'!H$1000,ROW()),Rankings!H$2:'Rankings'!H$1000,0))</f>
        <v>Andrea Poli</v>
      </c>
      <c r="C50" t="str">
        <f>INDEX(Rankings!C$2:'Rankings'!C$1149,MATCH(SMALL(Rankings!H$2:'Rankings'!H$1000,ROW()),Rankings!H$2:'Rankings'!H$1000,0))</f>
        <v>Andrea Poli</v>
      </c>
      <c r="D50" t="str">
        <f>INDEX(Rankings!C$2:'Rankings'!C$1149,MATCH(SMALL(Rankings!H$2:'Rankings'!H$1000,ROW()),Rankings!H$2:'Rankings'!H$1000,0))</f>
        <v>Andrea Poli</v>
      </c>
      <c r="G50" t="str">
        <f>INDEX(Rankings!C$2:'Rankings'!C$1149,MATCH(SMALL(Rankings!H$2:'Rankings'!H$1000,ROW()),Rankings!H$2:'Rankings'!H$1000,0))</f>
        <v>Andrea Poli</v>
      </c>
    </row>
    <row r="51" spans="2:7" hidden="1" outlineLevel="1" x14ac:dyDescent="0.25">
      <c r="B51" t="str">
        <f>INDEX(Rankings!C$2:'Rankings'!C$1149,MATCH(SMALL(Rankings!H$2:'Rankings'!H$1000,ROW()),Rankings!H$2:'Rankings'!H$1000,0))</f>
        <v>Andrea Rimatori</v>
      </c>
      <c r="C51" t="str">
        <f>INDEX(Rankings!C$2:'Rankings'!C$1149,MATCH(SMALL(Rankings!H$2:'Rankings'!H$1000,ROW()),Rankings!H$2:'Rankings'!H$1000,0))</f>
        <v>Andrea Rimatori</v>
      </c>
      <c r="D51" t="str">
        <f>INDEX(Rankings!C$2:'Rankings'!C$1149,MATCH(SMALL(Rankings!H$2:'Rankings'!H$1000,ROW()),Rankings!H$2:'Rankings'!H$1000,0))</f>
        <v>Andrea Rimatori</v>
      </c>
      <c r="G51" t="str">
        <f>INDEX(Rankings!C$2:'Rankings'!C$1149,MATCH(SMALL(Rankings!H$2:'Rankings'!H$1000,ROW()),Rankings!H$2:'Rankings'!H$1000,0))</f>
        <v>Andrea Rimatori</v>
      </c>
    </row>
    <row r="52" spans="2:7" hidden="1" outlineLevel="1" x14ac:dyDescent="0.25">
      <c r="B52" t="str">
        <f>INDEX(Rankings!C$2:'Rankings'!C$1149,MATCH(SMALL(Rankings!H$2:'Rankings'!H$1000,ROW()),Rankings!H$2:'Rankings'!H$1000,0))</f>
        <v>Andrea Sarti</v>
      </c>
      <c r="C52" t="str">
        <f>INDEX(Rankings!C$2:'Rankings'!C$1149,MATCH(SMALL(Rankings!H$2:'Rankings'!H$1000,ROW()),Rankings!H$2:'Rankings'!H$1000,0))</f>
        <v>Andrea Sarti</v>
      </c>
      <c r="D52" t="str">
        <f>INDEX(Rankings!C$2:'Rankings'!C$1149,MATCH(SMALL(Rankings!H$2:'Rankings'!H$1000,ROW()),Rankings!H$2:'Rankings'!H$1000,0))</f>
        <v>Andrea Sarti</v>
      </c>
      <c r="G52" t="str">
        <f>INDEX(Rankings!C$2:'Rankings'!C$1149,MATCH(SMALL(Rankings!H$2:'Rankings'!H$1000,ROW()),Rankings!H$2:'Rankings'!H$1000,0))</f>
        <v>Andrea Sarti</v>
      </c>
    </row>
    <row r="53" spans="2:7" hidden="1" outlineLevel="1" x14ac:dyDescent="0.25">
      <c r="B53" t="str">
        <f>INDEX(Rankings!C$2:'Rankings'!C$1149,MATCH(SMALL(Rankings!H$2:'Rankings'!H$1000,ROW()),Rankings!H$2:'Rankings'!H$1000,0))</f>
        <v>Andrea Stazi</v>
      </c>
      <c r="C53" t="str">
        <f>INDEX(Rankings!C$2:'Rankings'!C$1149,MATCH(SMALL(Rankings!H$2:'Rankings'!H$1000,ROW()),Rankings!H$2:'Rankings'!H$1000,0))</f>
        <v>Andrea Stazi</v>
      </c>
      <c r="D53" t="str">
        <f>INDEX(Rankings!C$2:'Rankings'!C$1149,MATCH(SMALL(Rankings!H$2:'Rankings'!H$1000,ROW()),Rankings!H$2:'Rankings'!H$1000,0))</f>
        <v>Andrea Stazi</v>
      </c>
      <c r="G53" t="str">
        <f>INDEX(Rankings!C$2:'Rankings'!C$1149,MATCH(SMALL(Rankings!H$2:'Rankings'!H$1000,ROW()),Rankings!H$2:'Rankings'!H$1000,0))</f>
        <v>Andrea Stazi</v>
      </c>
    </row>
    <row r="54" spans="2:7" hidden="1" outlineLevel="1" x14ac:dyDescent="0.25">
      <c r="B54" t="str">
        <f>INDEX(Rankings!C$2:'Rankings'!C$1149,MATCH(SMALL(Rankings!H$2:'Rankings'!H$1000,ROW()),Rankings!H$2:'Rankings'!H$1000,0))</f>
        <v>Andreas Bochmann</v>
      </c>
      <c r="C54" t="str">
        <f>INDEX(Rankings!C$2:'Rankings'!C$1149,MATCH(SMALL(Rankings!H$2:'Rankings'!H$1000,ROW()),Rankings!H$2:'Rankings'!H$1000,0))</f>
        <v>Andreas Bochmann</v>
      </c>
      <c r="D54" t="str">
        <f>INDEX(Rankings!C$2:'Rankings'!C$1149,MATCH(SMALL(Rankings!H$2:'Rankings'!H$1000,ROW()),Rankings!H$2:'Rankings'!H$1000,0))</f>
        <v>Andreas Bochmann</v>
      </c>
      <c r="G54" t="str">
        <f>INDEX(Rankings!C$2:'Rankings'!C$1149,MATCH(SMALL(Rankings!H$2:'Rankings'!H$1000,ROW()),Rankings!H$2:'Rankings'!H$1000,0))</f>
        <v>Andreas Bochmann</v>
      </c>
    </row>
    <row r="55" spans="2:7" hidden="1" outlineLevel="1" x14ac:dyDescent="0.25">
      <c r="B55" t="str">
        <f>INDEX(Rankings!C$2:'Rankings'!C$1149,MATCH(SMALL(Rankings!H$2:'Rankings'!H$1000,ROW()),Rankings!H$2:'Rankings'!H$1000,0))</f>
        <v>Andreas Jaderyd</v>
      </c>
      <c r="C55" t="str">
        <f>INDEX(Rankings!C$2:'Rankings'!C$1149,MATCH(SMALL(Rankings!H$2:'Rankings'!H$1000,ROW()),Rankings!H$2:'Rankings'!H$1000,0))</f>
        <v>Andreas Jaderyd</v>
      </c>
      <c r="D55" t="str">
        <f>INDEX(Rankings!C$2:'Rankings'!C$1149,MATCH(SMALL(Rankings!H$2:'Rankings'!H$1000,ROW()),Rankings!H$2:'Rankings'!H$1000,0))</f>
        <v>Andreas Jaderyd</v>
      </c>
      <c r="G55" t="str">
        <f>INDEX(Rankings!C$2:'Rankings'!C$1149,MATCH(SMALL(Rankings!H$2:'Rankings'!H$1000,ROW()),Rankings!H$2:'Rankings'!H$1000,0))</f>
        <v>Andreas Jaderyd</v>
      </c>
    </row>
    <row r="56" spans="2:7" hidden="1" outlineLevel="1" x14ac:dyDescent="0.25">
      <c r="B56" t="str">
        <f>INDEX(Rankings!C$2:'Rankings'!C$1149,MATCH(SMALL(Rankings!H$2:'Rankings'!H$1000,ROW()),Rankings!H$2:'Rankings'!H$1000,0))</f>
        <v>Andreas Nogay</v>
      </c>
      <c r="C56" t="str">
        <f>INDEX(Rankings!C$2:'Rankings'!C$1149,MATCH(SMALL(Rankings!H$2:'Rankings'!H$1000,ROW()),Rankings!H$2:'Rankings'!H$1000,0))</f>
        <v>Andreas Nogay</v>
      </c>
      <c r="D56" t="str">
        <f>INDEX(Rankings!C$2:'Rankings'!C$1149,MATCH(SMALL(Rankings!H$2:'Rankings'!H$1000,ROW()),Rankings!H$2:'Rankings'!H$1000,0))</f>
        <v>Andreas Nogay</v>
      </c>
      <c r="G56" t="str">
        <f>INDEX(Rankings!C$2:'Rankings'!C$1149,MATCH(SMALL(Rankings!H$2:'Rankings'!H$1000,ROW()),Rankings!H$2:'Rankings'!H$1000,0))</f>
        <v>Andreas Nogay</v>
      </c>
    </row>
    <row r="57" spans="2:7" hidden="1" outlineLevel="1" x14ac:dyDescent="0.25">
      <c r="B57" t="str">
        <f>INDEX(Rankings!C$2:'Rankings'!C$1149,MATCH(SMALL(Rankings!H$2:'Rankings'!H$1000,ROW()),Rankings!H$2:'Rankings'!H$1000,0))</f>
        <v>Andres Rivera</v>
      </c>
      <c r="C57" t="str">
        <f>INDEX(Rankings!C$2:'Rankings'!C$1149,MATCH(SMALL(Rankings!H$2:'Rankings'!H$1000,ROW()),Rankings!H$2:'Rankings'!H$1000,0))</f>
        <v>Andres Rivera</v>
      </c>
      <c r="D57" t="str">
        <f>INDEX(Rankings!C$2:'Rankings'!C$1149,MATCH(SMALL(Rankings!H$2:'Rankings'!H$1000,ROW()),Rankings!H$2:'Rankings'!H$1000,0))</f>
        <v>Andres Rivera</v>
      </c>
      <c r="G57" t="str">
        <f>INDEX(Rankings!C$2:'Rankings'!C$1149,MATCH(SMALL(Rankings!H$2:'Rankings'!H$1000,ROW()),Rankings!H$2:'Rankings'!H$1000,0))</f>
        <v>Andres Rivera</v>
      </c>
    </row>
    <row r="58" spans="2:7" hidden="1" outlineLevel="1" x14ac:dyDescent="0.25">
      <c r="B58" t="str">
        <f>INDEX(Rankings!C$2:'Rankings'!C$1149,MATCH(SMALL(Rankings!H$2:'Rankings'!H$1000,ROW()),Rankings!H$2:'Rankings'!H$1000,0))</f>
        <v>Andres Serna</v>
      </c>
      <c r="C58" t="str">
        <f>INDEX(Rankings!C$2:'Rankings'!C$1149,MATCH(SMALL(Rankings!H$2:'Rankings'!H$1000,ROW()),Rankings!H$2:'Rankings'!H$1000,0))</f>
        <v>Andres Serna</v>
      </c>
      <c r="D58" t="str">
        <f>INDEX(Rankings!C$2:'Rankings'!C$1149,MATCH(SMALL(Rankings!H$2:'Rankings'!H$1000,ROW()),Rankings!H$2:'Rankings'!H$1000,0))</f>
        <v>Andres Serna</v>
      </c>
      <c r="G58" t="str">
        <f>INDEX(Rankings!C$2:'Rankings'!C$1149,MATCH(SMALL(Rankings!H$2:'Rankings'!H$1000,ROW()),Rankings!H$2:'Rankings'!H$1000,0))</f>
        <v>Andres Serna</v>
      </c>
    </row>
    <row r="59" spans="2:7" hidden="1" outlineLevel="1" x14ac:dyDescent="0.25">
      <c r="B59" t="str">
        <f>INDEX(Rankings!C$2:'Rankings'!C$1149,MATCH(SMALL(Rankings!H$2:'Rankings'!H$1000,ROW()),Rankings!H$2:'Rankings'!H$1000,0))</f>
        <v>Andrew Lemann</v>
      </c>
      <c r="C59" t="str">
        <f>INDEX(Rankings!C$2:'Rankings'!C$1149,MATCH(SMALL(Rankings!H$2:'Rankings'!H$1000,ROW()),Rankings!H$2:'Rankings'!H$1000,0))</f>
        <v>Andrew Lemann</v>
      </c>
      <c r="D59" t="str">
        <f>INDEX(Rankings!C$2:'Rankings'!C$1149,MATCH(SMALL(Rankings!H$2:'Rankings'!H$1000,ROW()),Rankings!H$2:'Rankings'!H$1000,0))</f>
        <v>Andrew Lemann</v>
      </c>
      <c r="G59" t="str">
        <f>INDEX(Rankings!C$2:'Rankings'!C$1149,MATCH(SMALL(Rankings!H$2:'Rankings'!H$1000,ROW()),Rankings!H$2:'Rankings'!H$1000,0))</f>
        <v>Andrew Lemann</v>
      </c>
    </row>
    <row r="60" spans="2:7" hidden="1" outlineLevel="1" x14ac:dyDescent="0.25">
      <c r="B60" t="str">
        <f>INDEX(Rankings!C$2:'Rankings'!C$1149,MATCH(SMALL(Rankings!H$2:'Rankings'!H$1000,ROW()),Rankings!H$2:'Rankings'!H$1000,0))</f>
        <v>Andrew Quinn</v>
      </c>
      <c r="C60" t="str">
        <f>INDEX(Rankings!C$2:'Rankings'!C$1149,MATCH(SMALL(Rankings!H$2:'Rankings'!H$1000,ROW()),Rankings!H$2:'Rankings'!H$1000,0))</f>
        <v>Andrew Quinn</v>
      </c>
      <c r="D60" t="str">
        <f>INDEX(Rankings!C$2:'Rankings'!C$1149,MATCH(SMALL(Rankings!H$2:'Rankings'!H$1000,ROW()),Rankings!H$2:'Rankings'!H$1000,0))</f>
        <v>Andrew Quinn</v>
      </c>
      <c r="G60" t="str">
        <f>INDEX(Rankings!C$2:'Rankings'!C$1149,MATCH(SMALL(Rankings!H$2:'Rankings'!H$1000,ROW()),Rankings!H$2:'Rankings'!H$1000,0))</f>
        <v>Andrew Quinn</v>
      </c>
    </row>
    <row r="61" spans="2:7" hidden="1" outlineLevel="1" x14ac:dyDescent="0.25">
      <c r="B61" t="str">
        <f>INDEX(Rankings!C$2:'Rankings'!C$1149,MATCH(SMALL(Rankings!H$2:'Rankings'!H$1000,ROW()),Rankings!H$2:'Rankings'!H$1000,0))</f>
        <v>Andrew Van Lanen</v>
      </c>
      <c r="C61" t="str">
        <f>INDEX(Rankings!C$2:'Rankings'!C$1149,MATCH(SMALL(Rankings!H$2:'Rankings'!H$1000,ROW()),Rankings!H$2:'Rankings'!H$1000,0))</f>
        <v>Andrew Van Lanen</v>
      </c>
      <c r="D61" t="str">
        <f>INDEX(Rankings!C$2:'Rankings'!C$1149,MATCH(SMALL(Rankings!H$2:'Rankings'!H$1000,ROW()),Rankings!H$2:'Rankings'!H$1000,0))</f>
        <v>Andrew Van Lanen</v>
      </c>
      <c r="G61" t="str">
        <f>INDEX(Rankings!C$2:'Rankings'!C$1149,MATCH(SMALL(Rankings!H$2:'Rankings'!H$1000,ROW()),Rankings!H$2:'Rankings'!H$1000,0))</f>
        <v>Andrew Van Lanen</v>
      </c>
    </row>
    <row r="62" spans="2:7" hidden="1" outlineLevel="1" x14ac:dyDescent="0.25">
      <c r="B62" t="str">
        <f>INDEX(Rankings!C$2:'Rankings'!C$1149,MATCH(SMALL(Rankings!H$2:'Rankings'!H$1000,ROW()),Rankings!H$2:'Rankings'!H$1000,0))</f>
        <v>Angela Goeller</v>
      </c>
      <c r="C62" t="str">
        <f>INDEX(Rankings!C$2:'Rankings'!C$1149,MATCH(SMALL(Rankings!H$2:'Rankings'!H$1000,ROW()),Rankings!H$2:'Rankings'!H$1000,0))</f>
        <v>Angela Goeller</v>
      </c>
      <c r="D62" t="str">
        <f>INDEX(Rankings!C$2:'Rankings'!C$1149,MATCH(SMALL(Rankings!H$2:'Rankings'!H$1000,ROW()),Rankings!H$2:'Rankings'!H$1000,0))</f>
        <v>Angela Goeller</v>
      </c>
      <c r="G62" t="str">
        <f>INDEX(Rankings!C$2:'Rankings'!C$1149,MATCH(SMALL(Rankings!H$2:'Rankings'!H$1000,ROW()),Rankings!H$2:'Rankings'!H$1000,0))</f>
        <v>Angela Goeller</v>
      </c>
    </row>
    <row r="63" spans="2:7" hidden="1" outlineLevel="1" x14ac:dyDescent="0.25">
      <c r="B63" t="str">
        <f>INDEX(Rankings!C$2:'Rankings'!C$1149,MATCH(SMALL(Rankings!H$2:'Rankings'!H$1000,ROW()),Rankings!H$2:'Rankings'!H$1000,0))</f>
        <v>Angelo Mancarella</v>
      </c>
      <c r="C63" t="str">
        <f>INDEX(Rankings!C$2:'Rankings'!C$1149,MATCH(SMALL(Rankings!H$2:'Rankings'!H$1000,ROW()),Rankings!H$2:'Rankings'!H$1000,0))</f>
        <v>Angelo Mancarella</v>
      </c>
      <c r="D63" t="str">
        <f>INDEX(Rankings!C$2:'Rankings'!C$1149,MATCH(SMALL(Rankings!H$2:'Rankings'!H$1000,ROW()),Rankings!H$2:'Rankings'!H$1000,0))</f>
        <v>Angelo Mancarella</v>
      </c>
      <c r="G63" t="str">
        <f>INDEX(Rankings!C$2:'Rankings'!C$1149,MATCH(SMALL(Rankings!H$2:'Rankings'!H$1000,ROW()),Rankings!H$2:'Rankings'!H$1000,0))</f>
        <v>Angelo Mancarella</v>
      </c>
    </row>
    <row r="64" spans="2:7" hidden="1" outlineLevel="1" x14ac:dyDescent="0.25">
      <c r="B64" t="str">
        <f>INDEX(Rankings!C$2:'Rankings'!C$1149,MATCH(SMALL(Rankings!H$2:'Rankings'!H$1000,ROW()),Rankings!H$2:'Rankings'!H$1000,0))</f>
        <v>Angelo Trevino</v>
      </c>
      <c r="C64" t="str">
        <f>INDEX(Rankings!C$2:'Rankings'!C$1149,MATCH(SMALL(Rankings!H$2:'Rankings'!H$1000,ROW()),Rankings!H$2:'Rankings'!H$1000,0))</f>
        <v>Angelo Trevino</v>
      </c>
      <c r="D64" t="str">
        <f>INDEX(Rankings!C$2:'Rankings'!C$1149,MATCH(SMALL(Rankings!H$2:'Rankings'!H$1000,ROW()),Rankings!H$2:'Rankings'!H$1000,0))</f>
        <v>Angelo Trevino</v>
      </c>
      <c r="G64" t="str">
        <f>INDEX(Rankings!C$2:'Rankings'!C$1149,MATCH(SMALL(Rankings!H$2:'Rankings'!H$1000,ROW()),Rankings!H$2:'Rankings'!H$1000,0))</f>
        <v>Angelo Trevino</v>
      </c>
    </row>
    <row r="65" spans="2:7" hidden="1" outlineLevel="1" x14ac:dyDescent="0.25">
      <c r="B65" t="str">
        <f>INDEX(Rankings!C$2:'Rankings'!C$1149,MATCH(SMALL(Rankings!H$2:'Rankings'!H$1000,ROW()),Rankings!H$2:'Rankings'!H$1000,0))</f>
        <v>Anna Bragagnolo</v>
      </c>
      <c r="C65" t="str">
        <f>INDEX(Rankings!C$2:'Rankings'!C$1149,MATCH(SMALL(Rankings!H$2:'Rankings'!H$1000,ROW()),Rankings!H$2:'Rankings'!H$1000,0))</f>
        <v>Anna Bragagnolo</v>
      </c>
      <c r="D65" t="str">
        <f>INDEX(Rankings!C$2:'Rankings'!C$1149,MATCH(SMALL(Rankings!H$2:'Rankings'!H$1000,ROW()),Rankings!H$2:'Rankings'!H$1000,0))</f>
        <v>Anna Bragagnolo</v>
      </c>
      <c r="G65" t="str">
        <f>INDEX(Rankings!C$2:'Rankings'!C$1149,MATCH(SMALL(Rankings!H$2:'Rankings'!H$1000,ROW()),Rankings!H$2:'Rankings'!H$1000,0))</f>
        <v>Anna Bragagnolo</v>
      </c>
    </row>
    <row r="66" spans="2:7" hidden="1" outlineLevel="1" x14ac:dyDescent="0.25">
      <c r="B66" t="str">
        <f>INDEX(Rankings!C$2:'Rankings'!C$1149,MATCH(SMALL(Rankings!H$2:'Rankings'!H$1000,ROW()),Rankings!H$2:'Rankings'!H$1000,0))</f>
        <v>Anna Longoni</v>
      </c>
      <c r="C66" t="str">
        <f>INDEX(Rankings!C$2:'Rankings'!C$1149,MATCH(SMALL(Rankings!H$2:'Rankings'!H$1000,ROW()),Rankings!H$2:'Rankings'!H$1000,0))</f>
        <v>Anna Longoni</v>
      </c>
      <c r="D66" t="str">
        <f>INDEX(Rankings!C$2:'Rankings'!C$1149,MATCH(SMALL(Rankings!H$2:'Rankings'!H$1000,ROW()),Rankings!H$2:'Rankings'!H$1000,0))</f>
        <v>Anna Longoni</v>
      </c>
      <c r="G66" t="str">
        <f>INDEX(Rankings!C$2:'Rankings'!C$1149,MATCH(SMALL(Rankings!H$2:'Rankings'!H$1000,ROW()),Rankings!H$2:'Rankings'!H$1000,0))</f>
        <v>Anna Longoni</v>
      </c>
    </row>
    <row r="67" spans="2:7" hidden="1" outlineLevel="1" x14ac:dyDescent="0.25">
      <c r="B67" t="str">
        <f>INDEX(Rankings!C$2:'Rankings'!C$1149,MATCH(SMALL(Rankings!H$2:'Rankings'!H$1000,ROW()),Rankings!H$2:'Rankings'!H$1000,0))</f>
        <v>Anna Merlo</v>
      </c>
      <c r="C67" t="str">
        <f>INDEX(Rankings!C$2:'Rankings'!C$1149,MATCH(SMALL(Rankings!H$2:'Rankings'!H$1000,ROW()),Rankings!H$2:'Rankings'!H$1000,0))</f>
        <v>Anna Merlo</v>
      </c>
      <c r="D67" t="str">
        <f>INDEX(Rankings!C$2:'Rankings'!C$1149,MATCH(SMALL(Rankings!H$2:'Rankings'!H$1000,ROW()),Rankings!H$2:'Rankings'!H$1000,0))</f>
        <v>Anna Merlo</v>
      </c>
      <c r="G67" t="str">
        <f>INDEX(Rankings!C$2:'Rankings'!C$1149,MATCH(SMALL(Rankings!H$2:'Rankings'!H$1000,ROW()),Rankings!H$2:'Rankings'!H$1000,0))</f>
        <v>Anna Merlo</v>
      </c>
    </row>
    <row r="68" spans="2:7" hidden="1" outlineLevel="1" x14ac:dyDescent="0.25">
      <c r="B68" t="str">
        <f>INDEX(Rankings!C$2:'Rankings'!C$1149,MATCH(SMALL(Rankings!H$2:'Rankings'!H$1000,ROW()),Rankings!H$2:'Rankings'!H$1000,0))</f>
        <v>Anna Strait</v>
      </c>
      <c r="C68" t="str">
        <f>INDEX(Rankings!C$2:'Rankings'!C$1149,MATCH(SMALL(Rankings!H$2:'Rankings'!H$1000,ROW()),Rankings!H$2:'Rankings'!H$1000,0))</f>
        <v>Anna Strait</v>
      </c>
      <c r="D68" t="str">
        <f>INDEX(Rankings!C$2:'Rankings'!C$1149,MATCH(SMALL(Rankings!H$2:'Rankings'!H$1000,ROW()),Rankings!H$2:'Rankings'!H$1000,0))</f>
        <v>Anna Strait</v>
      </c>
      <c r="G68" t="str">
        <f>INDEX(Rankings!C$2:'Rankings'!C$1149,MATCH(SMALL(Rankings!H$2:'Rankings'!H$1000,ROW()),Rankings!H$2:'Rankings'!H$1000,0))</f>
        <v>Anna Strait</v>
      </c>
    </row>
    <row r="69" spans="2:7" hidden="1" outlineLevel="1" x14ac:dyDescent="0.25">
      <c r="B69" t="str">
        <f>INDEX(Rankings!C$2:'Rankings'!C$1149,MATCH(SMALL(Rankings!H$2:'Rankings'!H$1000,ROW()),Rankings!H$2:'Rankings'!H$1000,0))</f>
        <v>Annalisa Bergonzoni</v>
      </c>
      <c r="C69" t="str">
        <f>INDEX(Rankings!C$2:'Rankings'!C$1149,MATCH(SMALL(Rankings!H$2:'Rankings'!H$1000,ROW()),Rankings!H$2:'Rankings'!H$1000,0))</f>
        <v>Annalisa Bergonzoni</v>
      </c>
      <c r="D69" t="str">
        <f>INDEX(Rankings!C$2:'Rankings'!C$1149,MATCH(SMALL(Rankings!H$2:'Rankings'!H$1000,ROW()),Rankings!H$2:'Rankings'!H$1000,0))</f>
        <v>Annalisa Bergonzoni</v>
      </c>
      <c r="G69" t="str">
        <f>INDEX(Rankings!C$2:'Rankings'!C$1149,MATCH(SMALL(Rankings!H$2:'Rankings'!H$1000,ROW()),Rankings!H$2:'Rankings'!H$1000,0))</f>
        <v>Annalisa Bergonzoni</v>
      </c>
    </row>
    <row r="70" spans="2:7" hidden="1" outlineLevel="1" x14ac:dyDescent="0.25">
      <c r="B70" t="str">
        <f>INDEX(Rankings!C$2:'Rankings'!C$1149,MATCH(SMALL(Rankings!H$2:'Rankings'!H$1000,ROW()),Rankings!H$2:'Rankings'!H$1000,0))</f>
        <v>Ann-Charlotte Johansson</v>
      </c>
      <c r="C70" t="str">
        <f>INDEX(Rankings!C$2:'Rankings'!C$1149,MATCH(SMALL(Rankings!H$2:'Rankings'!H$1000,ROW()),Rankings!H$2:'Rankings'!H$1000,0))</f>
        <v>Ann-Charlotte Johansson</v>
      </c>
      <c r="D70" t="str">
        <f>INDEX(Rankings!C$2:'Rankings'!C$1149,MATCH(SMALL(Rankings!H$2:'Rankings'!H$1000,ROW()),Rankings!H$2:'Rankings'!H$1000,0))</f>
        <v>Ann-Charlotte Johansson</v>
      </c>
      <c r="G70" t="str">
        <f>INDEX(Rankings!C$2:'Rankings'!C$1149,MATCH(SMALL(Rankings!H$2:'Rankings'!H$1000,ROW()),Rankings!H$2:'Rankings'!H$1000,0))</f>
        <v>Ann-Charlotte Johansson</v>
      </c>
    </row>
    <row r="71" spans="2:7" hidden="1" outlineLevel="1" x14ac:dyDescent="0.25">
      <c r="B71" t="str">
        <f>INDEX(Rankings!C$2:'Rankings'!C$1149,MATCH(SMALL(Rankings!H$2:'Rankings'!H$1000,ROW()),Rankings!H$2:'Rankings'!H$1000,0))</f>
        <v>Anne Goh</v>
      </c>
      <c r="C71" t="str">
        <f>INDEX(Rankings!C$2:'Rankings'!C$1149,MATCH(SMALL(Rankings!H$2:'Rankings'!H$1000,ROW()),Rankings!H$2:'Rankings'!H$1000,0))</f>
        <v>Anne Goh</v>
      </c>
      <c r="D71" t="str">
        <f>INDEX(Rankings!C$2:'Rankings'!C$1149,MATCH(SMALL(Rankings!H$2:'Rankings'!H$1000,ROW()),Rankings!H$2:'Rankings'!H$1000,0))</f>
        <v>Anne Goh</v>
      </c>
      <c r="G71" t="str">
        <f>INDEX(Rankings!C$2:'Rankings'!C$1149,MATCH(SMALL(Rankings!H$2:'Rankings'!H$1000,ROW()),Rankings!H$2:'Rankings'!H$1000,0))</f>
        <v>Anne Goh</v>
      </c>
    </row>
    <row r="72" spans="2:7" hidden="1" outlineLevel="1" x14ac:dyDescent="0.25">
      <c r="B72" t="str">
        <f>INDEX(Rankings!C$2:'Rankings'!C$1149,MATCH(SMALL(Rankings!H$2:'Rankings'!H$1000,ROW()),Rankings!H$2:'Rankings'!H$1000,0))</f>
        <v>Eric Wootten</v>
      </c>
      <c r="C72" t="str">
        <f>INDEX(Rankings!C$2:'Rankings'!C$1149,MATCH(SMALL(Rankings!H$2:'Rankings'!H$1000,ROW()),Rankings!H$2:'Rankings'!H$1000,0))</f>
        <v>Eric Wootten</v>
      </c>
      <c r="D72" t="str">
        <f>INDEX(Rankings!C$2:'Rankings'!C$1149,MATCH(SMALL(Rankings!H$2:'Rankings'!H$1000,ROW()),Rankings!H$2:'Rankings'!H$1000,0))</f>
        <v>Eric Wootten</v>
      </c>
      <c r="G72" t="str">
        <f>INDEX(Rankings!C$2:'Rankings'!C$1149,MATCH(SMALL(Rankings!H$2:'Rankings'!H$1000,ROW()),Rankings!H$2:'Rankings'!H$1000,0))</f>
        <v>Eric Wootten</v>
      </c>
    </row>
    <row r="73" spans="2:7" hidden="1" outlineLevel="1" x14ac:dyDescent="0.25">
      <c r="B73" t="str">
        <f>INDEX(Rankings!C$2:'Rankings'!C$1149,MATCH(SMALL(Rankings!H$2:'Rankings'!H$1000,ROW()),Rankings!H$2:'Rankings'!H$1000,0))</f>
        <v>Anton Capellmann</v>
      </c>
      <c r="C73" t="str">
        <f>INDEX(Rankings!C$2:'Rankings'!C$1149,MATCH(SMALL(Rankings!H$2:'Rankings'!H$1000,ROW()),Rankings!H$2:'Rankings'!H$1000,0))</f>
        <v>Anton Capellmann</v>
      </c>
      <c r="D73" t="str">
        <f>INDEX(Rankings!C$2:'Rankings'!C$1149,MATCH(SMALL(Rankings!H$2:'Rankings'!H$1000,ROW()),Rankings!H$2:'Rankings'!H$1000,0))</f>
        <v>Anton Capellmann</v>
      </c>
      <c r="G73" t="str">
        <f>INDEX(Rankings!C$2:'Rankings'!C$1149,MATCH(SMALL(Rankings!H$2:'Rankings'!H$1000,ROW()),Rankings!H$2:'Rankings'!H$1000,0))</f>
        <v>Anton Capellmann</v>
      </c>
    </row>
    <row r="74" spans="2:7" hidden="1" outlineLevel="1" x14ac:dyDescent="0.25">
      <c r="B74" t="str">
        <f>INDEX(Rankings!C$2:'Rankings'!C$1149,MATCH(SMALL(Rankings!H$2:'Rankings'!H$1000,ROW()),Rankings!H$2:'Rankings'!H$1000,0))</f>
        <v>Anton Kappling</v>
      </c>
      <c r="C74" t="str">
        <f>INDEX(Rankings!C$2:'Rankings'!C$1149,MATCH(SMALL(Rankings!H$2:'Rankings'!H$1000,ROW()),Rankings!H$2:'Rankings'!H$1000,0))</f>
        <v>Anton Kappling</v>
      </c>
      <c r="D74" t="str">
        <f>INDEX(Rankings!C$2:'Rankings'!C$1149,MATCH(SMALL(Rankings!H$2:'Rankings'!H$1000,ROW()),Rankings!H$2:'Rankings'!H$1000,0))</f>
        <v>Anton Kappling</v>
      </c>
      <c r="G74" t="str">
        <f>INDEX(Rankings!C$2:'Rankings'!C$1149,MATCH(SMALL(Rankings!H$2:'Rankings'!H$1000,ROW()),Rankings!H$2:'Rankings'!H$1000,0))</f>
        <v>Anton Kappling</v>
      </c>
    </row>
    <row r="75" spans="2:7" hidden="1" outlineLevel="1" x14ac:dyDescent="0.25">
      <c r="B75" t="str">
        <f>INDEX(Rankings!C$2:'Rankings'!C$1149,MATCH(SMALL(Rankings!H$2:'Rankings'!H$1000,ROW()),Rankings!H$2:'Rankings'!H$1000,0))</f>
        <v>Antonio Attanasio</v>
      </c>
      <c r="C75" t="str">
        <f>INDEX(Rankings!C$2:'Rankings'!C$1149,MATCH(SMALL(Rankings!H$2:'Rankings'!H$1000,ROW()),Rankings!H$2:'Rankings'!H$1000,0))</f>
        <v>Antonio Attanasio</v>
      </c>
      <c r="D75" t="str">
        <f>INDEX(Rankings!C$2:'Rankings'!C$1149,MATCH(SMALL(Rankings!H$2:'Rankings'!H$1000,ROW()),Rankings!H$2:'Rankings'!H$1000,0))</f>
        <v>Antonio Attanasio</v>
      </c>
      <c r="G75" t="str">
        <f>INDEX(Rankings!C$2:'Rankings'!C$1149,MATCH(SMALL(Rankings!H$2:'Rankings'!H$1000,ROW()),Rankings!H$2:'Rankings'!H$1000,0))</f>
        <v>Antonio Attanasio</v>
      </c>
    </row>
    <row r="76" spans="2:7" hidden="1" outlineLevel="1" x14ac:dyDescent="0.25">
      <c r="B76" t="str">
        <f>INDEX(Rankings!C$2:'Rankings'!C$1149,MATCH(SMALL(Rankings!H$2:'Rankings'!H$1000,ROW()),Rankings!H$2:'Rankings'!H$1000,0))</f>
        <v>Antonio Caporale</v>
      </c>
      <c r="C76" t="str">
        <f>INDEX(Rankings!C$2:'Rankings'!C$1149,MATCH(SMALL(Rankings!H$2:'Rankings'!H$1000,ROW()),Rankings!H$2:'Rankings'!H$1000,0))</f>
        <v>Antonio Caporale</v>
      </c>
      <c r="D76" t="str">
        <f>INDEX(Rankings!C$2:'Rankings'!C$1149,MATCH(SMALL(Rankings!H$2:'Rankings'!H$1000,ROW()),Rankings!H$2:'Rankings'!H$1000,0))</f>
        <v>Antonio Caporale</v>
      </c>
      <c r="G76" t="str">
        <f>INDEX(Rankings!C$2:'Rankings'!C$1149,MATCH(SMALL(Rankings!H$2:'Rankings'!H$1000,ROW()),Rankings!H$2:'Rankings'!H$1000,0))</f>
        <v>Antonio Caporale</v>
      </c>
    </row>
    <row r="77" spans="2:7" hidden="1" outlineLevel="1" x14ac:dyDescent="0.25">
      <c r="B77" t="str">
        <f>INDEX(Rankings!C$2:'Rankings'!C$1149,MATCH(SMALL(Rankings!H$2:'Rankings'!H$1000,ROW()),Rankings!H$2:'Rankings'!H$1000,0))</f>
        <v>Antonio Piccione Cusmá</v>
      </c>
      <c r="C77" t="str">
        <f>INDEX(Rankings!C$2:'Rankings'!C$1149,MATCH(SMALL(Rankings!H$2:'Rankings'!H$1000,ROW()),Rankings!H$2:'Rankings'!H$1000,0))</f>
        <v>Antonio Piccione Cusmá</v>
      </c>
      <c r="D77" t="str">
        <f>INDEX(Rankings!C$2:'Rankings'!C$1149,MATCH(SMALL(Rankings!H$2:'Rankings'!H$1000,ROW()),Rankings!H$2:'Rankings'!H$1000,0))</f>
        <v>Antonio Piccione Cusmá</v>
      </c>
      <c r="G77" t="str">
        <f>INDEX(Rankings!C$2:'Rankings'!C$1149,MATCH(SMALL(Rankings!H$2:'Rankings'!H$1000,ROW()),Rankings!H$2:'Rankings'!H$1000,0))</f>
        <v>Antonio Piccione Cusmá</v>
      </c>
    </row>
    <row r="78" spans="2:7" hidden="1" outlineLevel="1" x14ac:dyDescent="0.25">
      <c r="B78" t="str">
        <f>INDEX(Rankings!C$2:'Rankings'!C$1149,MATCH(SMALL(Rankings!H$2:'Rankings'!H$1000,ROW()),Rankings!H$2:'Rankings'!H$1000,0))</f>
        <v>Ari Kloke</v>
      </c>
      <c r="C78" t="str">
        <f>INDEX(Rankings!C$2:'Rankings'!C$1149,MATCH(SMALL(Rankings!H$2:'Rankings'!H$1000,ROW()),Rankings!H$2:'Rankings'!H$1000,0))</f>
        <v>Ari Kloke</v>
      </c>
      <c r="D78" t="str">
        <f>INDEX(Rankings!C$2:'Rankings'!C$1149,MATCH(SMALL(Rankings!H$2:'Rankings'!H$1000,ROW()),Rankings!H$2:'Rankings'!H$1000,0))</f>
        <v>Ari Kloke</v>
      </c>
      <c r="G78" t="str">
        <f>INDEX(Rankings!C$2:'Rankings'!C$1149,MATCH(SMALL(Rankings!H$2:'Rankings'!H$1000,ROW()),Rankings!H$2:'Rankings'!H$1000,0))</f>
        <v>Ari Kloke</v>
      </c>
    </row>
    <row r="79" spans="2:7" hidden="1" outlineLevel="1" x14ac:dyDescent="0.25">
      <c r="B79" t="str">
        <f>INDEX(Rankings!C$2:'Rankings'!C$1149,MATCH(SMALL(Rankings!H$2:'Rankings'!H$1000,ROW()),Rankings!H$2:'Rankings'!H$1000,0))</f>
        <v>Arnon Avitzur</v>
      </c>
      <c r="C79" t="str">
        <f>INDEX(Rankings!C$2:'Rankings'!C$1149,MATCH(SMALL(Rankings!H$2:'Rankings'!H$1000,ROW()),Rankings!H$2:'Rankings'!H$1000,0))</f>
        <v>Arnon Avitzur</v>
      </c>
      <c r="D79" t="str">
        <f>INDEX(Rankings!C$2:'Rankings'!C$1149,MATCH(SMALL(Rankings!H$2:'Rankings'!H$1000,ROW()),Rankings!H$2:'Rankings'!H$1000,0))</f>
        <v>Arnon Avitzur</v>
      </c>
      <c r="G79" t="str">
        <f>INDEX(Rankings!C$2:'Rankings'!C$1149,MATCH(SMALL(Rankings!H$2:'Rankings'!H$1000,ROW()),Rankings!H$2:'Rankings'!H$1000,0))</f>
        <v>Arnon Avitzur</v>
      </c>
    </row>
    <row r="80" spans="2:7" hidden="1" outlineLevel="1" x14ac:dyDescent="0.25">
      <c r="B80" t="str">
        <f>INDEX(Rankings!C$2:'Rankings'!C$1149,MATCH(SMALL(Rankings!H$2:'Rankings'!H$1000,ROW()),Rankings!H$2:'Rankings'!H$1000,0))</f>
        <v>Art Viger</v>
      </c>
      <c r="C80" t="str">
        <f>INDEX(Rankings!C$2:'Rankings'!C$1149,MATCH(SMALL(Rankings!H$2:'Rankings'!H$1000,ROW()),Rankings!H$2:'Rankings'!H$1000,0))</f>
        <v>Art Viger</v>
      </c>
      <c r="D80" t="str">
        <f>INDEX(Rankings!C$2:'Rankings'!C$1149,MATCH(SMALL(Rankings!H$2:'Rankings'!H$1000,ROW()),Rankings!H$2:'Rankings'!H$1000,0))</f>
        <v>Art Viger</v>
      </c>
      <c r="G80" t="str">
        <f>INDEX(Rankings!C$2:'Rankings'!C$1149,MATCH(SMALL(Rankings!H$2:'Rankings'!H$1000,ROW()),Rankings!H$2:'Rankings'!H$1000,0))</f>
        <v>Art Viger</v>
      </c>
    </row>
    <row r="81" spans="2:7" hidden="1" outlineLevel="1" x14ac:dyDescent="0.25">
      <c r="B81" t="str">
        <f>INDEX(Rankings!C$2:'Rankings'!C$1149,MATCH(SMALL(Rankings!H$2:'Rankings'!H$1000,ROW()),Rankings!H$2:'Rankings'!H$1000,0))</f>
        <v>Arthur Coddington</v>
      </c>
      <c r="C81" t="str">
        <f>INDEX(Rankings!C$2:'Rankings'!C$1149,MATCH(SMALL(Rankings!H$2:'Rankings'!H$1000,ROW()),Rankings!H$2:'Rankings'!H$1000,0))</f>
        <v>Arthur Coddington</v>
      </c>
      <c r="D81" t="str">
        <f>INDEX(Rankings!C$2:'Rankings'!C$1149,MATCH(SMALL(Rankings!H$2:'Rankings'!H$1000,ROW()),Rankings!H$2:'Rankings'!H$1000,0))</f>
        <v>Arthur Coddington</v>
      </c>
      <c r="G81" t="str">
        <f>INDEX(Rankings!C$2:'Rankings'!C$1149,MATCH(SMALL(Rankings!H$2:'Rankings'!H$1000,ROW()),Rankings!H$2:'Rankings'!H$1000,0))</f>
        <v>Arthur Coddington</v>
      </c>
    </row>
    <row r="82" spans="2:7" hidden="1" outlineLevel="1" x14ac:dyDescent="0.25">
      <c r="B82" t="str">
        <f>INDEX(Rankings!C$2:'Rankings'!C$1149,MATCH(SMALL(Rankings!H$2:'Rankings'!H$1000,ROW()),Rankings!H$2:'Rankings'!H$1000,0))</f>
        <v>Austin Borcherding</v>
      </c>
      <c r="C82" t="str">
        <f>INDEX(Rankings!C$2:'Rankings'!C$1149,MATCH(SMALL(Rankings!H$2:'Rankings'!H$1000,ROW()),Rankings!H$2:'Rankings'!H$1000,0))</f>
        <v>Austin Borcherding</v>
      </c>
      <c r="D82" t="str">
        <f>INDEX(Rankings!C$2:'Rankings'!C$1149,MATCH(SMALL(Rankings!H$2:'Rankings'!H$1000,ROW()),Rankings!H$2:'Rankings'!H$1000,0))</f>
        <v>Austin Borcherding</v>
      </c>
      <c r="G82" t="str">
        <f>INDEX(Rankings!C$2:'Rankings'!C$1149,MATCH(SMALL(Rankings!H$2:'Rankings'!H$1000,ROW()),Rankings!H$2:'Rankings'!H$1000,0))</f>
        <v>Austin Borcherding</v>
      </c>
    </row>
    <row r="83" spans="2:7" hidden="1" outlineLevel="1" x14ac:dyDescent="0.25">
      <c r="B83" t="str">
        <f>INDEX(Rankings!C$2:'Rankings'!C$1149,MATCH(SMALL(Rankings!H$2:'Rankings'!H$1000,ROW()),Rankings!H$2:'Rankings'!H$1000,0))</f>
        <v>Avery Jenkins</v>
      </c>
      <c r="C83" t="str">
        <f>INDEX(Rankings!C$2:'Rankings'!C$1149,MATCH(SMALL(Rankings!H$2:'Rankings'!H$1000,ROW()),Rankings!H$2:'Rankings'!H$1000,0))</f>
        <v>Avery Jenkins</v>
      </c>
      <c r="D83" t="str">
        <f>INDEX(Rankings!C$2:'Rankings'!C$1149,MATCH(SMALL(Rankings!H$2:'Rankings'!H$1000,ROW()),Rankings!H$2:'Rankings'!H$1000,0))</f>
        <v>Avery Jenkins</v>
      </c>
      <c r="G83" t="str">
        <f>INDEX(Rankings!C$2:'Rankings'!C$1149,MATCH(SMALL(Rankings!H$2:'Rankings'!H$1000,ROW()),Rankings!H$2:'Rankings'!H$1000,0))</f>
        <v>Avery Jenkins</v>
      </c>
    </row>
    <row r="84" spans="2:7" hidden="1" outlineLevel="1" x14ac:dyDescent="0.25">
      <c r="B84" t="str">
        <f>INDEX(Rankings!C$2:'Rankings'!C$1149,MATCH(SMALL(Rankings!H$2:'Rankings'!H$1000,ROW()),Rankings!H$2:'Rankings'!H$1000,0))</f>
        <v>Dori Yaniv</v>
      </c>
      <c r="C84" t="str">
        <f>INDEX(Rankings!C$2:'Rankings'!C$1149,MATCH(SMALL(Rankings!H$2:'Rankings'!H$1000,ROW()),Rankings!H$2:'Rankings'!H$1000,0))</f>
        <v>Dori Yaniv</v>
      </c>
      <c r="D84" t="str">
        <f>INDEX(Rankings!C$2:'Rankings'!C$1149,MATCH(SMALL(Rankings!H$2:'Rankings'!H$1000,ROW()),Rankings!H$2:'Rankings'!H$1000,0))</f>
        <v>Dori Yaniv</v>
      </c>
      <c r="G84" t="str">
        <f>INDEX(Rankings!C$2:'Rankings'!C$1149,MATCH(SMALL(Rankings!H$2:'Rankings'!H$1000,ROW()),Rankings!H$2:'Rankings'!H$1000,0))</f>
        <v>Dori Yaniv</v>
      </c>
    </row>
    <row r="85" spans="2:7" hidden="1" outlineLevel="1" x14ac:dyDescent="0.25">
      <c r="B85" t="str">
        <f>INDEX(Rankings!C$2:'Rankings'!C$1149,MATCH(SMALL(Rankings!H$2:'Rankings'!H$1000,ROW()),Rankings!H$2:'Rankings'!H$1000,0))</f>
        <v>Ayal Benin</v>
      </c>
      <c r="C85" t="str">
        <f>INDEX(Rankings!C$2:'Rankings'!C$1149,MATCH(SMALL(Rankings!H$2:'Rankings'!H$1000,ROW()),Rankings!H$2:'Rankings'!H$1000,0))</f>
        <v>Ayal Benin</v>
      </c>
      <c r="D85" t="str">
        <f>INDEX(Rankings!C$2:'Rankings'!C$1149,MATCH(SMALL(Rankings!H$2:'Rankings'!H$1000,ROW()),Rankings!H$2:'Rankings'!H$1000,0))</f>
        <v>Ayal Benin</v>
      </c>
      <c r="G85" t="str">
        <f>INDEX(Rankings!C$2:'Rankings'!C$1149,MATCH(SMALL(Rankings!H$2:'Rankings'!H$1000,ROW()),Rankings!H$2:'Rankings'!H$1000,0))</f>
        <v>Ayal Benin</v>
      </c>
    </row>
    <row r="86" spans="2:7" hidden="1" outlineLevel="1" x14ac:dyDescent="0.25">
      <c r="B86" t="str">
        <f>INDEX(Rankings!C$2:'Rankings'!C$1149,MATCH(SMALL(Rankings!H$2:'Rankings'!H$1000,ROW()),Rankings!H$2:'Rankings'!H$1000,0))</f>
        <v>Balasz Major</v>
      </c>
      <c r="C86" t="str">
        <f>INDEX(Rankings!C$2:'Rankings'!C$1149,MATCH(SMALL(Rankings!H$2:'Rankings'!H$1000,ROW()),Rankings!H$2:'Rankings'!H$1000,0))</f>
        <v>Balasz Major</v>
      </c>
      <c r="D86" t="str">
        <f>INDEX(Rankings!C$2:'Rankings'!C$1149,MATCH(SMALL(Rankings!H$2:'Rankings'!H$1000,ROW()),Rankings!H$2:'Rankings'!H$1000,0))</f>
        <v>Balasz Major</v>
      </c>
      <c r="G86" t="str">
        <f>INDEX(Rankings!C$2:'Rankings'!C$1149,MATCH(SMALL(Rankings!H$2:'Rankings'!H$1000,ROW()),Rankings!H$2:'Rankings'!H$1000,0))</f>
        <v>Balasz Major</v>
      </c>
    </row>
    <row r="87" spans="2:7" hidden="1" outlineLevel="1" x14ac:dyDescent="0.25">
      <c r="B87" t="str">
        <f>INDEX(Rankings!C$2:'Rankings'!C$1149,MATCH(SMALL(Rankings!H$2:'Rankings'!H$1000,ROW()),Rankings!H$2:'Rankings'!H$1000,0))</f>
        <v>Barrett White</v>
      </c>
      <c r="C87" t="str">
        <f>INDEX(Rankings!C$2:'Rankings'!C$1149,MATCH(SMALL(Rankings!H$2:'Rankings'!H$1000,ROW()),Rankings!H$2:'Rankings'!H$1000,0))</f>
        <v>Barrett White</v>
      </c>
      <c r="D87" t="str">
        <f>INDEX(Rankings!C$2:'Rankings'!C$1149,MATCH(SMALL(Rankings!H$2:'Rankings'!H$1000,ROW()),Rankings!H$2:'Rankings'!H$1000,0))</f>
        <v>Barrett White</v>
      </c>
      <c r="G87" t="str">
        <f>INDEX(Rankings!C$2:'Rankings'!C$1149,MATCH(SMALL(Rankings!H$2:'Rankings'!H$1000,ROW()),Rankings!H$2:'Rankings'!H$1000,0))</f>
        <v>Barrett White</v>
      </c>
    </row>
    <row r="88" spans="2:7" hidden="1" outlineLevel="1" x14ac:dyDescent="0.25">
      <c r="B88" t="str">
        <f>INDEX(Rankings!C$2:'Rankings'!C$1149,MATCH(SMALL(Rankings!H$2:'Rankings'!H$1000,ROW()),Rankings!H$2:'Rankings'!H$1000,0))</f>
        <v>Bart Lodewijk</v>
      </c>
      <c r="C88" t="str">
        <f>INDEX(Rankings!C$2:'Rankings'!C$1149,MATCH(SMALL(Rankings!H$2:'Rankings'!H$1000,ROW()),Rankings!H$2:'Rankings'!H$1000,0))</f>
        <v>Bart Lodewijk</v>
      </c>
      <c r="D88" t="str">
        <f>INDEX(Rankings!C$2:'Rankings'!C$1149,MATCH(SMALL(Rankings!H$2:'Rankings'!H$1000,ROW()),Rankings!H$2:'Rankings'!H$1000,0))</f>
        <v>Bart Lodewijk</v>
      </c>
      <c r="G88" t="str">
        <f>INDEX(Rankings!C$2:'Rankings'!C$1149,MATCH(SMALL(Rankings!H$2:'Rankings'!H$1000,ROW()),Rankings!H$2:'Rankings'!H$1000,0))</f>
        <v>Bart Lodewijk</v>
      </c>
    </row>
    <row r="89" spans="2:7" hidden="1" outlineLevel="1" x14ac:dyDescent="0.25">
      <c r="B89" t="str">
        <f>INDEX(Rankings!C$2:'Rankings'!C$1149,MATCH(SMALL(Rankings!H$2:'Rankings'!H$1000,ROW()),Rankings!H$2:'Rankings'!H$1000,0))</f>
        <v>Bartek Dusowski</v>
      </c>
      <c r="C89" t="str">
        <f>INDEX(Rankings!C$2:'Rankings'!C$1149,MATCH(SMALL(Rankings!H$2:'Rankings'!H$1000,ROW()),Rankings!H$2:'Rankings'!H$1000,0))</f>
        <v>Bartek Dusowski</v>
      </c>
      <c r="D89" t="str">
        <f>INDEX(Rankings!C$2:'Rankings'!C$1149,MATCH(SMALL(Rankings!H$2:'Rankings'!H$1000,ROW()),Rankings!H$2:'Rankings'!H$1000,0))</f>
        <v>Bartek Dusowski</v>
      </c>
      <c r="G89" t="str">
        <f>INDEX(Rankings!C$2:'Rankings'!C$1149,MATCH(SMALL(Rankings!H$2:'Rankings'!H$1000,ROW()),Rankings!H$2:'Rankings'!H$1000,0))</f>
        <v>Bartek Dusowski</v>
      </c>
    </row>
    <row r="90" spans="2:7" hidden="1" outlineLevel="1" x14ac:dyDescent="0.25">
      <c r="B90" t="str">
        <f>INDEX(Rankings!C$2:'Rankings'!C$1149,MATCH(SMALL(Rankings!H$2:'Rankings'!H$1000,ROW()),Rankings!H$2:'Rankings'!H$1000,0))</f>
        <v>Ben Singer</v>
      </c>
      <c r="C90" t="str">
        <f>INDEX(Rankings!C$2:'Rankings'!C$1149,MATCH(SMALL(Rankings!H$2:'Rankings'!H$1000,ROW()),Rankings!H$2:'Rankings'!H$1000,0))</f>
        <v>Ben Singer</v>
      </c>
      <c r="D90" t="str">
        <f>INDEX(Rankings!C$2:'Rankings'!C$1149,MATCH(SMALL(Rankings!H$2:'Rankings'!H$1000,ROW()),Rankings!H$2:'Rankings'!H$1000,0))</f>
        <v>Ben Singer</v>
      </c>
      <c r="G90" t="str">
        <f>INDEX(Rankings!C$2:'Rankings'!C$1149,MATCH(SMALL(Rankings!H$2:'Rankings'!H$1000,ROW()),Rankings!H$2:'Rankings'!H$1000,0))</f>
        <v>Ben Singer</v>
      </c>
    </row>
    <row r="91" spans="2:7" hidden="1" outlineLevel="1" x14ac:dyDescent="0.25">
      <c r="B91" t="str">
        <f>INDEX(Rankings!C$2:'Rankings'!C$1149,MATCH(SMALL(Rankings!H$2:'Rankings'!H$1000,ROW()),Rankings!H$2:'Rankings'!H$1000,0))</f>
        <v>Benedigt Becker</v>
      </c>
      <c r="C91" t="str">
        <f>INDEX(Rankings!C$2:'Rankings'!C$1149,MATCH(SMALL(Rankings!H$2:'Rankings'!H$1000,ROW()),Rankings!H$2:'Rankings'!H$1000,0))</f>
        <v>Benedigt Becker</v>
      </c>
      <c r="D91" t="str">
        <f>INDEX(Rankings!C$2:'Rankings'!C$1149,MATCH(SMALL(Rankings!H$2:'Rankings'!H$1000,ROW()),Rankings!H$2:'Rankings'!H$1000,0))</f>
        <v>Benedigt Becker</v>
      </c>
      <c r="G91" t="str">
        <f>INDEX(Rankings!C$2:'Rankings'!C$1149,MATCH(SMALL(Rankings!H$2:'Rankings'!H$1000,ROW()),Rankings!H$2:'Rankings'!H$1000,0))</f>
        <v>Benedigt Becker</v>
      </c>
    </row>
    <row r="92" spans="2:7" hidden="1" outlineLevel="1" x14ac:dyDescent="0.25">
      <c r="B92" t="str">
        <f>INDEX(Rankings!C$2:'Rankings'!C$1149,MATCH(SMALL(Rankings!H$2:'Rankings'!H$1000,ROW()),Rankings!H$2:'Rankings'!H$1000,0))</f>
        <v>Benjamin Edelmann</v>
      </c>
      <c r="C92" t="str">
        <f>INDEX(Rankings!C$2:'Rankings'!C$1149,MATCH(SMALL(Rankings!H$2:'Rankings'!H$1000,ROW()),Rankings!H$2:'Rankings'!H$1000,0))</f>
        <v>Benjamin Edelmann</v>
      </c>
      <c r="D92" t="str">
        <f>INDEX(Rankings!C$2:'Rankings'!C$1149,MATCH(SMALL(Rankings!H$2:'Rankings'!H$1000,ROW()),Rankings!H$2:'Rankings'!H$1000,0))</f>
        <v>Benjamin Edelmann</v>
      </c>
      <c r="G92" t="str">
        <f>INDEX(Rankings!C$2:'Rankings'!C$1149,MATCH(SMALL(Rankings!H$2:'Rankings'!H$1000,ROW()),Rankings!H$2:'Rankings'!H$1000,0))</f>
        <v>Benjamin Edelmann</v>
      </c>
    </row>
    <row r="93" spans="2:7" hidden="1" outlineLevel="1" x14ac:dyDescent="0.25">
      <c r="B93" t="str">
        <f>INDEX(Rankings!C$2:'Rankings'!C$1149,MATCH(SMALL(Rankings!H$2:'Rankings'!H$1000,ROW()),Rankings!H$2:'Rankings'!H$1000,0))</f>
        <v>Benni Sing</v>
      </c>
      <c r="C93" t="str">
        <f>INDEX(Rankings!C$2:'Rankings'!C$1149,MATCH(SMALL(Rankings!H$2:'Rankings'!H$1000,ROW()),Rankings!H$2:'Rankings'!H$1000,0))</f>
        <v>Benni Sing</v>
      </c>
      <c r="D93" t="str">
        <f>INDEX(Rankings!C$2:'Rankings'!C$1149,MATCH(SMALL(Rankings!H$2:'Rankings'!H$1000,ROW()),Rankings!H$2:'Rankings'!H$1000,0))</f>
        <v>Benni Sing</v>
      </c>
      <c r="G93" t="str">
        <f>INDEX(Rankings!C$2:'Rankings'!C$1149,MATCH(SMALL(Rankings!H$2:'Rankings'!H$1000,ROW()),Rankings!H$2:'Rankings'!H$1000,0))</f>
        <v>Benni Sing</v>
      </c>
    </row>
    <row r="94" spans="2:7" hidden="1" outlineLevel="1" x14ac:dyDescent="0.25">
      <c r="B94" t="str">
        <f>INDEX(Rankings!C$2:'Rankings'!C$1149,MATCH(SMALL(Rankings!H$2:'Rankings'!H$1000,ROW()),Rankings!H$2:'Rankings'!H$1000,0))</f>
        <v>Bernie Murray</v>
      </c>
      <c r="C94" t="str">
        <f>INDEX(Rankings!C$2:'Rankings'!C$1149,MATCH(SMALL(Rankings!H$2:'Rankings'!H$1000,ROW()),Rankings!H$2:'Rankings'!H$1000,0))</f>
        <v>Bernie Murray</v>
      </c>
      <c r="D94" t="str">
        <f>INDEX(Rankings!C$2:'Rankings'!C$1149,MATCH(SMALL(Rankings!H$2:'Rankings'!H$1000,ROW()),Rankings!H$2:'Rankings'!H$1000,0))</f>
        <v>Bernie Murray</v>
      </c>
      <c r="G94" t="str">
        <f>INDEX(Rankings!C$2:'Rankings'!C$1149,MATCH(SMALL(Rankings!H$2:'Rankings'!H$1000,ROW()),Rankings!H$2:'Rankings'!H$1000,0))</f>
        <v>Bernie Murray</v>
      </c>
    </row>
    <row r="95" spans="2:7" hidden="1" outlineLevel="1" x14ac:dyDescent="0.25">
      <c r="B95" t="str">
        <f>INDEX(Rankings!C$2:'Rankings'!C$1149,MATCH(SMALL(Rankings!H$2:'Rankings'!H$1000,ROW()),Rankings!H$2:'Rankings'!H$1000,0))</f>
        <v>Beth Verish</v>
      </c>
      <c r="C95" t="str">
        <f>INDEX(Rankings!C$2:'Rankings'!C$1149,MATCH(SMALL(Rankings!H$2:'Rankings'!H$1000,ROW()),Rankings!H$2:'Rankings'!H$1000,0))</f>
        <v>Beth Verish</v>
      </c>
      <c r="D95" t="str">
        <f>INDEX(Rankings!C$2:'Rankings'!C$1149,MATCH(SMALL(Rankings!H$2:'Rankings'!H$1000,ROW()),Rankings!H$2:'Rankings'!H$1000,0))</f>
        <v>Beth Verish</v>
      </c>
      <c r="G95" t="str">
        <f>INDEX(Rankings!C$2:'Rankings'!C$1149,MATCH(SMALL(Rankings!H$2:'Rankings'!H$1000,ROW()),Rankings!H$2:'Rankings'!H$1000,0))</f>
        <v>Beth Verish</v>
      </c>
    </row>
    <row r="96" spans="2:7" hidden="1" outlineLevel="1" x14ac:dyDescent="0.25">
      <c r="B96" t="str">
        <f>INDEX(Rankings!C$2:'Rankings'!C$1149,MATCH(SMALL(Rankings!H$2:'Rankings'!H$1000,ROW()),Rankings!H$2:'Rankings'!H$1000,0))</f>
        <v>Bethany Sanchez</v>
      </c>
      <c r="C96" t="str">
        <f>INDEX(Rankings!C$2:'Rankings'!C$1149,MATCH(SMALL(Rankings!H$2:'Rankings'!H$1000,ROW()),Rankings!H$2:'Rankings'!H$1000,0))</f>
        <v>Bethany Sanchez</v>
      </c>
      <c r="D96" t="str">
        <f>INDEX(Rankings!C$2:'Rankings'!C$1149,MATCH(SMALL(Rankings!H$2:'Rankings'!H$1000,ROW()),Rankings!H$2:'Rankings'!H$1000,0))</f>
        <v>Bethany Sanchez</v>
      </c>
      <c r="G96" t="str">
        <f>INDEX(Rankings!C$2:'Rankings'!C$1149,MATCH(SMALL(Rankings!H$2:'Rankings'!H$1000,ROW()),Rankings!H$2:'Rankings'!H$1000,0))</f>
        <v>Bethany Sanchez</v>
      </c>
    </row>
    <row r="97" spans="2:7" hidden="1" outlineLevel="1" x14ac:dyDescent="0.25">
      <c r="B97" t="str">
        <f>INDEX(Rankings!C$2:'Rankings'!C$1149,MATCH(SMALL(Rankings!H$2:'Rankings'!H$1000,ROW()),Rankings!H$2:'Rankings'!H$1000,0))</f>
        <v>Bianca Strunz</v>
      </c>
      <c r="C97" t="str">
        <f>INDEX(Rankings!C$2:'Rankings'!C$1149,MATCH(SMALL(Rankings!H$2:'Rankings'!H$1000,ROW()),Rankings!H$2:'Rankings'!H$1000,0))</f>
        <v>Bianca Strunz</v>
      </c>
      <c r="D97" t="str">
        <f>INDEX(Rankings!C$2:'Rankings'!C$1149,MATCH(SMALL(Rankings!H$2:'Rankings'!H$1000,ROW()),Rankings!H$2:'Rankings'!H$1000,0))</f>
        <v>Bianca Strunz</v>
      </c>
      <c r="G97" t="str">
        <f>INDEX(Rankings!C$2:'Rankings'!C$1149,MATCH(SMALL(Rankings!H$2:'Rankings'!H$1000,ROW()),Rankings!H$2:'Rankings'!H$1000,0))</f>
        <v>Bianca Strunz</v>
      </c>
    </row>
    <row r="98" spans="2:7" hidden="1" outlineLevel="1" x14ac:dyDescent="0.25">
      <c r="B98" t="str">
        <f>INDEX(Rankings!C$2:'Rankings'!C$1149,MATCH(SMALL(Rankings!H$2:'Rankings'!H$1000,ROW()),Rankings!H$2:'Rankings'!H$1000,0))</f>
        <v>Bill Chetel</v>
      </c>
      <c r="C98" t="str">
        <f>INDEX(Rankings!C$2:'Rankings'!C$1149,MATCH(SMALL(Rankings!H$2:'Rankings'!H$1000,ROW()),Rankings!H$2:'Rankings'!H$1000,0))</f>
        <v>Bill Chetel</v>
      </c>
      <c r="D98" t="str">
        <f>INDEX(Rankings!C$2:'Rankings'!C$1149,MATCH(SMALL(Rankings!H$2:'Rankings'!H$1000,ROW()),Rankings!H$2:'Rankings'!H$1000,0))</f>
        <v>Bill Chetel</v>
      </c>
      <c r="G98" t="str">
        <f>INDEX(Rankings!C$2:'Rankings'!C$1149,MATCH(SMALL(Rankings!H$2:'Rankings'!H$1000,ROW()),Rankings!H$2:'Rankings'!H$1000,0))</f>
        <v>Bill Chetel</v>
      </c>
    </row>
    <row r="99" spans="2:7" hidden="1" outlineLevel="1" x14ac:dyDescent="0.25">
      <c r="B99" t="str">
        <f>INDEX(Rankings!C$2:'Rankings'!C$1149,MATCH(SMALL(Rankings!H$2:'Rankings'!H$1000,ROW()),Rankings!H$2:'Rankings'!H$1000,0))</f>
        <v>Bill Wright</v>
      </c>
      <c r="C99" t="str">
        <f>INDEX(Rankings!C$2:'Rankings'!C$1149,MATCH(SMALL(Rankings!H$2:'Rankings'!H$1000,ROW()),Rankings!H$2:'Rankings'!H$1000,0))</f>
        <v>Bill Wright</v>
      </c>
      <c r="D99" t="str">
        <f>INDEX(Rankings!C$2:'Rankings'!C$1149,MATCH(SMALL(Rankings!H$2:'Rankings'!H$1000,ROW()),Rankings!H$2:'Rankings'!H$1000,0))</f>
        <v>Bill Wright</v>
      </c>
      <c r="G99" t="str">
        <f>INDEX(Rankings!C$2:'Rankings'!C$1149,MATCH(SMALL(Rankings!H$2:'Rankings'!H$1000,ROW()),Rankings!H$2:'Rankings'!H$1000,0))</f>
        <v>Bill Wright</v>
      </c>
    </row>
    <row r="100" spans="2:7" hidden="1" outlineLevel="1" x14ac:dyDescent="0.25">
      <c r="B100" t="str">
        <f>INDEX(Rankings!C$2:'Rankings'!C$1149,MATCH(SMALL(Rankings!H$2:'Rankings'!H$1000,ROW()),Rankings!H$2:'Rankings'!H$1000,0))</f>
        <v>Billy Caplin</v>
      </c>
      <c r="C100" t="str">
        <f>INDEX(Rankings!C$2:'Rankings'!C$1149,MATCH(SMALL(Rankings!H$2:'Rankings'!H$1000,ROW()),Rankings!H$2:'Rankings'!H$1000,0))</f>
        <v>Billy Caplin</v>
      </c>
      <c r="D100" t="str">
        <f>INDEX(Rankings!C$2:'Rankings'!C$1149,MATCH(SMALL(Rankings!H$2:'Rankings'!H$1000,ROW()),Rankings!H$2:'Rankings'!H$1000,0))</f>
        <v>Billy Caplin</v>
      </c>
      <c r="G100" t="str">
        <f>INDEX(Rankings!C$2:'Rankings'!C$1149,MATCH(SMALL(Rankings!H$2:'Rankings'!H$1000,ROW()),Rankings!H$2:'Rankings'!H$1000,0))</f>
        <v>Billy Caplin</v>
      </c>
    </row>
    <row r="101" spans="2:7" hidden="1" outlineLevel="1" x14ac:dyDescent="0.25">
      <c r="B101" t="str">
        <f>INDEX(Rankings!C$2:'Rankings'!C$1149,MATCH(SMALL(Rankings!H$2:'Rankings'!H$1000,ROW()),Rankings!H$2:'Rankings'!H$1000,0))</f>
        <v>Billy Kaplan</v>
      </c>
      <c r="C101" t="str">
        <f>INDEX(Rankings!C$2:'Rankings'!C$1149,MATCH(SMALL(Rankings!H$2:'Rankings'!H$1000,ROW()),Rankings!H$2:'Rankings'!H$1000,0))</f>
        <v>Billy Kaplan</v>
      </c>
      <c r="D101" t="str">
        <f>INDEX(Rankings!C$2:'Rankings'!C$1149,MATCH(SMALL(Rankings!H$2:'Rankings'!H$1000,ROW()),Rankings!H$2:'Rankings'!H$1000,0))</f>
        <v>Billy Kaplan</v>
      </c>
      <c r="G101" t="str">
        <f>INDEX(Rankings!C$2:'Rankings'!C$1149,MATCH(SMALL(Rankings!H$2:'Rankings'!H$1000,ROW()),Rankings!H$2:'Rankings'!H$1000,0))</f>
        <v>Billy Kaplan</v>
      </c>
    </row>
    <row r="102" spans="2:7" hidden="1" outlineLevel="1" x14ac:dyDescent="0.25">
      <c r="B102" t="str">
        <f>INDEX(Rankings!C$2:'Rankings'!C$1149,MATCH(SMALL(Rankings!H$2:'Rankings'!H$1000,ROW()),Rankings!H$2:'Rankings'!H$1000,0))</f>
        <v>Birger Schmidt</v>
      </c>
      <c r="C102" t="str">
        <f>INDEX(Rankings!C$2:'Rankings'!C$1149,MATCH(SMALL(Rankings!H$2:'Rankings'!H$1000,ROW()),Rankings!H$2:'Rankings'!H$1000,0))</f>
        <v>Birger Schmidt</v>
      </c>
      <c r="D102" t="str">
        <f>INDEX(Rankings!C$2:'Rankings'!C$1149,MATCH(SMALL(Rankings!H$2:'Rankings'!H$1000,ROW()),Rankings!H$2:'Rankings'!H$1000,0))</f>
        <v>Birger Schmidt</v>
      </c>
      <c r="G102" t="str">
        <f>INDEX(Rankings!C$2:'Rankings'!C$1149,MATCH(SMALL(Rankings!H$2:'Rankings'!H$1000,ROW()),Rankings!H$2:'Rankings'!H$1000,0))</f>
        <v>Birger Schmidt</v>
      </c>
    </row>
    <row r="103" spans="2:7" hidden="1" outlineLevel="1" x14ac:dyDescent="0.25">
      <c r="B103" t="str">
        <f>INDEX(Rankings!C$2:'Rankings'!C$1149,MATCH(SMALL(Rankings!H$2:'Rankings'!H$1000,ROW()),Rankings!H$2:'Rankings'!H$1000,0))</f>
        <v>Birgit Lenger</v>
      </c>
      <c r="C103" t="str">
        <f>INDEX(Rankings!C$2:'Rankings'!C$1149,MATCH(SMALL(Rankings!H$2:'Rankings'!H$1000,ROW()),Rankings!H$2:'Rankings'!H$1000,0))</f>
        <v>Birgit Lenger</v>
      </c>
      <c r="D103" t="str">
        <f>INDEX(Rankings!C$2:'Rankings'!C$1149,MATCH(SMALL(Rankings!H$2:'Rankings'!H$1000,ROW()),Rankings!H$2:'Rankings'!H$1000,0))</f>
        <v>Birgit Lenger</v>
      </c>
      <c r="G103" t="str">
        <f>INDEX(Rankings!C$2:'Rankings'!C$1149,MATCH(SMALL(Rankings!H$2:'Rankings'!H$1000,ROW()),Rankings!H$2:'Rankings'!H$1000,0))</f>
        <v>Birgit Lenger</v>
      </c>
    </row>
    <row r="104" spans="2:7" hidden="1" outlineLevel="1" x14ac:dyDescent="0.25">
      <c r="B104" t="str">
        <f>INDEX(Rankings!C$2:'Rankings'!C$1149,MATCH(SMALL(Rankings!H$2:'Rankings'!H$1000,ROW()),Rankings!H$2:'Rankings'!H$1000,0))</f>
        <v>Björn Ahlström</v>
      </c>
      <c r="C104" t="str">
        <f>INDEX(Rankings!C$2:'Rankings'!C$1149,MATCH(SMALL(Rankings!H$2:'Rankings'!H$1000,ROW()),Rankings!H$2:'Rankings'!H$1000,0))</f>
        <v>Björn Ahlström</v>
      </c>
      <c r="D104" t="str">
        <f>INDEX(Rankings!C$2:'Rankings'!C$1149,MATCH(SMALL(Rankings!H$2:'Rankings'!H$1000,ROW()),Rankings!H$2:'Rankings'!H$1000,0))</f>
        <v>Björn Ahlström</v>
      </c>
      <c r="G104" t="str">
        <f>INDEX(Rankings!C$2:'Rankings'!C$1149,MATCH(SMALL(Rankings!H$2:'Rankings'!H$1000,ROW()),Rankings!H$2:'Rankings'!H$1000,0))</f>
        <v>Björn Ahlström</v>
      </c>
    </row>
    <row r="105" spans="2:7" hidden="1" outlineLevel="1" x14ac:dyDescent="0.25">
      <c r="B105" t="str">
        <f>INDEX(Rankings!C$2:'Rankings'!C$1149,MATCH(SMALL(Rankings!H$2:'Rankings'!H$1000,ROW()),Rankings!H$2:'Rankings'!H$1000,0))</f>
        <v>Bjorn Tiggis</v>
      </c>
      <c r="C105" t="str">
        <f>INDEX(Rankings!C$2:'Rankings'!C$1149,MATCH(SMALL(Rankings!H$2:'Rankings'!H$1000,ROW()),Rankings!H$2:'Rankings'!H$1000,0))</f>
        <v>Bjorn Tiggis</v>
      </c>
      <c r="D105" t="str">
        <f>INDEX(Rankings!C$2:'Rankings'!C$1149,MATCH(SMALL(Rankings!H$2:'Rankings'!H$1000,ROW()),Rankings!H$2:'Rankings'!H$1000,0))</f>
        <v>Bjorn Tiggis</v>
      </c>
      <c r="G105" t="str">
        <f>INDEX(Rankings!C$2:'Rankings'!C$1149,MATCH(SMALL(Rankings!H$2:'Rankings'!H$1000,ROW()),Rankings!H$2:'Rankings'!H$1000,0))</f>
        <v>Bjorn Tiggis</v>
      </c>
    </row>
    <row r="106" spans="2:7" hidden="1" outlineLevel="1" x14ac:dyDescent="0.25">
      <c r="B106" t="str">
        <f>INDEX(Rankings!C$2:'Rankings'!C$1149,MATCH(SMALL(Rankings!H$2:'Rankings'!H$1000,ROW()),Rankings!H$2:'Rankings'!H$1000,0))</f>
        <v>Blake Herrschaft</v>
      </c>
      <c r="C106" t="str">
        <f>INDEX(Rankings!C$2:'Rankings'!C$1149,MATCH(SMALL(Rankings!H$2:'Rankings'!H$1000,ROW()),Rankings!H$2:'Rankings'!H$1000,0))</f>
        <v>Blake Herrschaft</v>
      </c>
      <c r="D106" t="str">
        <f>INDEX(Rankings!C$2:'Rankings'!C$1149,MATCH(SMALL(Rankings!H$2:'Rankings'!H$1000,ROW()),Rankings!H$2:'Rankings'!H$1000,0))</f>
        <v>Blake Herrschaft</v>
      </c>
      <c r="G106" t="str">
        <f>INDEX(Rankings!C$2:'Rankings'!C$1149,MATCH(SMALL(Rankings!H$2:'Rankings'!H$1000,ROW()),Rankings!H$2:'Rankings'!H$1000,0))</f>
        <v>Blake Herrschaft</v>
      </c>
    </row>
    <row r="107" spans="2:7" hidden="1" outlineLevel="1" x14ac:dyDescent="0.25">
      <c r="B107" t="str">
        <f>INDEX(Rankings!C$2:'Rankings'!C$1149,MATCH(SMALL(Rankings!H$2:'Rankings'!H$1000,ROW()),Rankings!H$2:'Rankings'!H$1000,0))</f>
        <v>Bob Boulware</v>
      </c>
      <c r="C107" t="str">
        <f>INDEX(Rankings!C$2:'Rankings'!C$1149,MATCH(SMALL(Rankings!H$2:'Rankings'!H$1000,ROW()),Rankings!H$2:'Rankings'!H$1000,0))</f>
        <v>Bob Boulware</v>
      </c>
      <c r="D107" t="str">
        <f>INDEX(Rankings!C$2:'Rankings'!C$1149,MATCH(SMALL(Rankings!H$2:'Rankings'!H$1000,ROW()),Rankings!H$2:'Rankings'!H$1000,0))</f>
        <v>Bob Boulware</v>
      </c>
      <c r="G107" t="str">
        <f>INDEX(Rankings!C$2:'Rankings'!C$1149,MATCH(SMALL(Rankings!H$2:'Rankings'!H$1000,ROW()),Rankings!H$2:'Rankings'!H$1000,0))</f>
        <v>Bob Boulware</v>
      </c>
    </row>
    <row r="108" spans="2:7" hidden="1" outlineLevel="1" x14ac:dyDescent="0.25">
      <c r="B108" t="str">
        <f>INDEX(Rankings!C$2:'Rankings'!C$1149,MATCH(SMALL(Rankings!H$2:'Rankings'!H$1000,ROW()),Rankings!H$2:'Rankings'!H$1000,0))</f>
        <v>Bob Coleman</v>
      </c>
      <c r="C108" t="str">
        <f>INDEX(Rankings!C$2:'Rankings'!C$1149,MATCH(SMALL(Rankings!H$2:'Rankings'!H$1000,ROW()),Rankings!H$2:'Rankings'!H$1000,0))</f>
        <v>Bob Coleman</v>
      </c>
      <c r="D108" t="str">
        <f>INDEX(Rankings!C$2:'Rankings'!C$1149,MATCH(SMALL(Rankings!H$2:'Rankings'!H$1000,ROW()),Rankings!H$2:'Rankings'!H$1000,0))</f>
        <v>Bob Coleman</v>
      </c>
      <c r="G108" t="str">
        <f>INDEX(Rankings!C$2:'Rankings'!C$1149,MATCH(SMALL(Rankings!H$2:'Rankings'!H$1000,ROW()),Rankings!H$2:'Rankings'!H$1000,0))</f>
        <v>Bob Coleman</v>
      </c>
    </row>
    <row r="109" spans="2:7" hidden="1" outlineLevel="1" x14ac:dyDescent="0.25">
      <c r="B109" t="str">
        <f>INDEX(Rankings!C$2:'Rankings'!C$1149,MATCH(SMALL(Rankings!H$2:'Rankings'!H$1000,ROW()),Rankings!H$2:'Rankings'!H$1000,0))</f>
        <v>Bob Cooksey</v>
      </c>
      <c r="C109" t="str">
        <f>INDEX(Rankings!C$2:'Rankings'!C$1149,MATCH(SMALL(Rankings!H$2:'Rankings'!H$1000,ROW()),Rankings!H$2:'Rankings'!H$1000,0))</f>
        <v>Bob Cooksey</v>
      </c>
      <c r="D109" t="str">
        <f>INDEX(Rankings!C$2:'Rankings'!C$1149,MATCH(SMALL(Rankings!H$2:'Rankings'!H$1000,ROW()),Rankings!H$2:'Rankings'!H$1000,0))</f>
        <v>Bob Cooksey</v>
      </c>
      <c r="G109" t="str">
        <f>INDEX(Rankings!C$2:'Rankings'!C$1149,MATCH(SMALL(Rankings!H$2:'Rankings'!H$1000,ROW()),Rankings!H$2:'Rankings'!H$1000,0))</f>
        <v>Bob Cooksey</v>
      </c>
    </row>
    <row r="110" spans="2:7" hidden="1" outlineLevel="1" x14ac:dyDescent="0.25">
      <c r="B110" t="str">
        <f>INDEX(Rankings!C$2:'Rankings'!C$1149,MATCH(SMALL(Rankings!H$2:'Rankings'!H$1000,ROW()),Rankings!H$2:'Rankings'!H$1000,0))</f>
        <v>Bob Gossett</v>
      </c>
      <c r="C110" t="str">
        <f>INDEX(Rankings!C$2:'Rankings'!C$1149,MATCH(SMALL(Rankings!H$2:'Rankings'!H$1000,ROW()),Rankings!H$2:'Rankings'!H$1000,0))</f>
        <v>Bob Gossett</v>
      </c>
      <c r="D110" t="str">
        <f>INDEX(Rankings!C$2:'Rankings'!C$1149,MATCH(SMALL(Rankings!H$2:'Rankings'!H$1000,ROW()),Rankings!H$2:'Rankings'!H$1000,0))</f>
        <v>Bob Gossett</v>
      </c>
      <c r="G110" t="str">
        <f>INDEX(Rankings!C$2:'Rankings'!C$1149,MATCH(SMALL(Rankings!H$2:'Rankings'!H$1000,ROW()),Rankings!H$2:'Rankings'!H$1000,0))</f>
        <v>Bob Gossett</v>
      </c>
    </row>
    <row r="111" spans="2:7" hidden="1" outlineLevel="1" x14ac:dyDescent="0.25">
      <c r="B111" t="str">
        <f>INDEX(Rankings!C$2:'Rankings'!C$1149,MATCH(SMALL(Rankings!H$2:'Rankings'!H$1000,ROW()),Rankings!H$2:'Rankings'!H$1000,0))</f>
        <v>Bobbo Karlsson</v>
      </c>
      <c r="C111" t="str">
        <f>INDEX(Rankings!C$2:'Rankings'!C$1149,MATCH(SMALL(Rankings!H$2:'Rankings'!H$1000,ROW()),Rankings!H$2:'Rankings'!H$1000,0))</f>
        <v>Bobbo Karlsson</v>
      </c>
      <c r="D111" t="str">
        <f>INDEX(Rankings!C$2:'Rankings'!C$1149,MATCH(SMALL(Rankings!H$2:'Rankings'!H$1000,ROW()),Rankings!H$2:'Rankings'!H$1000,0))</f>
        <v>Bobbo Karlsson</v>
      </c>
      <c r="G111" t="str">
        <f>INDEX(Rankings!C$2:'Rankings'!C$1149,MATCH(SMALL(Rankings!H$2:'Rankings'!H$1000,ROW()),Rankings!H$2:'Rankings'!H$1000,0))</f>
        <v>Bobbo Karlsson</v>
      </c>
    </row>
    <row r="112" spans="2:7" hidden="1" outlineLevel="1" x14ac:dyDescent="0.25">
      <c r="B112" t="str">
        <f>INDEX(Rankings!C$2:'Rankings'!C$1149,MATCH(SMALL(Rankings!H$2:'Rankings'!H$1000,ROW()),Rankings!H$2:'Rankings'!H$1000,0))</f>
        <v>Boguslaw Bul</v>
      </c>
      <c r="C112" t="str">
        <f>INDEX(Rankings!C$2:'Rankings'!C$1149,MATCH(SMALL(Rankings!H$2:'Rankings'!H$1000,ROW()),Rankings!H$2:'Rankings'!H$1000,0))</f>
        <v>Boguslaw Bul</v>
      </c>
      <c r="D112" t="str">
        <f>INDEX(Rankings!C$2:'Rankings'!C$1149,MATCH(SMALL(Rankings!H$2:'Rankings'!H$1000,ROW()),Rankings!H$2:'Rankings'!H$1000,0))</f>
        <v>Boguslaw Bul</v>
      </c>
      <c r="G112" t="str">
        <f>INDEX(Rankings!C$2:'Rankings'!C$1149,MATCH(SMALL(Rankings!H$2:'Rankings'!H$1000,ROW()),Rankings!H$2:'Rankings'!H$1000,0))</f>
        <v>Boguslaw Bul</v>
      </c>
    </row>
    <row r="113" spans="2:7" hidden="1" outlineLevel="1" x14ac:dyDescent="0.25">
      <c r="B113" t="str">
        <f>INDEX(Rankings!C$2:'Rankings'!C$1149,MATCH(SMALL(Rankings!H$2:'Rankings'!H$1000,ROW()),Rankings!H$2:'Rankings'!H$1000,0))</f>
        <v>Brad Bishop</v>
      </c>
      <c r="C113" t="str">
        <f>INDEX(Rankings!C$2:'Rankings'!C$1149,MATCH(SMALL(Rankings!H$2:'Rankings'!H$1000,ROW()),Rankings!H$2:'Rankings'!H$1000,0))</f>
        <v>Brad Bishop</v>
      </c>
      <c r="D113" t="str">
        <f>INDEX(Rankings!C$2:'Rankings'!C$1149,MATCH(SMALL(Rankings!H$2:'Rankings'!H$1000,ROW()),Rankings!H$2:'Rankings'!H$1000,0))</f>
        <v>Brad Bishop</v>
      </c>
      <c r="G113" t="str">
        <f>INDEX(Rankings!C$2:'Rankings'!C$1149,MATCH(SMALL(Rankings!H$2:'Rankings'!H$1000,ROW()),Rankings!H$2:'Rankings'!H$1000,0))</f>
        <v>Brad Bishop</v>
      </c>
    </row>
    <row r="114" spans="2:7" hidden="1" outlineLevel="1" x14ac:dyDescent="0.25">
      <c r="B114" t="str">
        <f>INDEX(Rankings!C$2:'Rankings'!C$1149,MATCH(SMALL(Rankings!H$2:'Rankings'!H$1000,ROW()),Rankings!H$2:'Rankings'!H$1000,0))</f>
        <v>Brad Keller</v>
      </c>
      <c r="C114" t="str">
        <f>INDEX(Rankings!C$2:'Rankings'!C$1149,MATCH(SMALL(Rankings!H$2:'Rankings'!H$1000,ROW()),Rankings!H$2:'Rankings'!H$1000,0))</f>
        <v>Brad Keller</v>
      </c>
      <c r="D114" t="str">
        <f>INDEX(Rankings!C$2:'Rankings'!C$1149,MATCH(SMALL(Rankings!H$2:'Rankings'!H$1000,ROW()),Rankings!H$2:'Rankings'!H$1000,0))</f>
        <v>Brad Keller</v>
      </c>
      <c r="G114" t="str">
        <f>INDEX(Rankings!C$2:'Rankings'!C$1149,MATCH(SMALL(Rankings!H$2:'Rankings'!H$1000,ROW()),Rankings!H$2:'Rankings'!H$1000,0))</f>
        <v>Brad Keller</v>
      </c>
    </row>
    <row r="115" spans="2:7" hidden="1" outlineLevel="1" x14ac:dyDescent="0.25">
      <c r="B115" t="str">
        <f>INDEX(Rankings!C$2:'Rankings'!C$1149,MATCH(SMALL(Rankings!H$2:'Rankings'!H$1000,ROW()),Rankings!H$2:'Rankings'!H$1000,0))</f>
        <v>Brad Wendt</v>
      </c>
      <c r="C115" t="str">
        <f>INDEX(Rankings!C$2:'Rankings'!C$1149,MATCH(SMALL(Rankings!H$2:'Rankings'!H$1000,ROW()),Rankings!H$2:'Rankings'!H$1000,0))</f>
        <v>Brad Wendt</v>
      </c>
      <c r="D115" t="str">
        <f>INDEX(Rankings!C$2:'Rankings'!C$1149,MATCH(SMALL(Rankings!H$2:'Rankings'!H$1000,ROW()),Rankings!H$2:'Rankings'!H$1000,0))</f>
        <v>Brad Wendt</v>
      </c>
      <c r="G115" t="str">
        <f>INDEX(Rankings!C$2:'Rankings'!C$1149,MATCH(SMALL(Rankings!H$2:'Rankings'!H$1000,ROW()),Rankings!H$2:'Rankings'!H$1000,0))</f>
        <v>Brad Wendt</v>
      </c>
    </row>
    <row r="116" spans="2:7" hidden="1" outlineLevel="1" x14ac:dyDescent="0.25">
      <c r="B116" t="str">
        <f>INDEX(Rankings!C$2:'Rankings'!C$1149,MATCH(SMALL(Rankings!H$2:'Rankings'!H$1000,ROW()),Rankings!H$2:'Rankings'!H$1000,0))</f>
        <v>Bram Maassen</v>
      </c>
      <c r="C116" t="str">
        <f>INDEX(Rankings!C$2:'Rankings'!C$1149,MATCH(SMALL(Rankings!H$2:'Rankings'!H$1000,ROW()),Rankings!H$2:'Rankings'!H$1000,0))</f>
        <v>Bram Maassen</v>
      </c>
      <c r="D116" t="str">
        <f>INDEX(Rankings!C$2:'Rankings'!C$1149,MATCH(SMALL(Rankings!H$2:'Rankings'!H$1000,ROW()),Rankings!H$2:'Rankings'!H$1000,0))</f>
        <v>Bram Maassen</v>
      </c>
      <c r="G116" t="str">
        <f>INDEX(Rankings!C$2:'Rankings'!C$1149,MATCH(SMALL(Rankings!H$2:'Rankings'!H$1000,ROW()),Rankings!H$2:'Rankings'!H$1000,0))</f>
        <v>Bram Maassen</v>
      </c>
    </row>
    <row r="117" spans="2:7" hidden="1" outlineLevel="1" x14ac:dyDescent="0.25">
      <c r="B117" t="str">
        <f>INDEX(Rankings!C$2:'Rankings'!C$1149,MATCH(SMALL(Rankings!H$2:'Rankings'!H$1000,ROW()),Rankings!H$2:'Rankings'!H$1000,0))</f>
        <v>Brian Boate</v>
      </c>
      <c r="C117" t="str">
        <f>INDEX(Rankings!C$2:'Rankings'!C$1149,MATCH(SMALL(Rankings!H$2:'Rankings'!H$1000,ROW()),Rankings!H$2:'Rankings'!H$1000,0))</f>
        <v>Brian Boate</v>
      </c>
      <c r="D117" t="str">
        <f>INDEX(Rankings!C$2:'Rankings'!C$1149,MATCH(SMALL(Rankings!H$2:'Rankings'!H$1000,ROW()),Rankings!H$2:'Rankings'!H$1000,0))</f>
        <v>Brian Boate</v>
      </c>
      <c r="G117" t="str">
        <f>INDEX(Rankings!C$2:'Rankings'!C$1149,MATCH(SMALL(Rankings!H$2:'Rankings'!H$1000,ROW()),Rankings!H$2:'Rankings'!H$1000,0))</f>
        <v>Brian Boate</v>
      </c>
    </row>
    <row r="118" spans="2:7" hidden="1" outlineLevel="1" x14ac:dyDescent="0.25">
      <c r="B118" t="str">
        <f>INDEX(Rankings!C$2:'Rankings'!C$1149,MATCH(SMALL(Rankings!H$2:'Rankings'!H$1000,ROW()),Rankings!H$2:'Rankings'!H$1000,0))</f>
        <v>Bruce Page</v>
      </c>
      <c r="C118" t="str">
        <f>INDEX(Rankings!C$2:'Rankings'!C$1149,MATCH(SMALL(Rankings!H$2:'Rankings'!H$1000,ROW()),Rankings!H$2:'Rankings'!H$1000,0))</f>
        <v>Bruce Page</v>
      </c>
      <c r="D118" t="str">
        <f>INDEX(Rankings!C$2:'Rankings'!C$1149,MATCH(SMALL(Rankings!H$2:'Rankings'!H$1000,ROW()),Rankings!H$2:'Rankings'!H$1000,0))</f>
        <v>Bruce Page</v>
      </c>
      <c r="G118" t="str">
        <f>INDEX(Rankings!C$2:'Rankings'!C$1149,MATCH(SMALL(Rankings!H$2:'Rankings'!H$1000,ROW()),Rankings!H$2:'Rankings'!H$1000,0))</f>
        <v>Bruce Page</v>
      </c>
    </row>
    <row r="119" spans="2:7" hidden="1" outlineLevel="1" x14ac:dyDescent="0.25">
      <c r="B119" t="str">
        <f>INDEX(Rankings!C$2:'Rankings'!C$1149,MATCH(SMALL(Rankings!H$2:'Rankings'!H$1000,ROW()),Rankings!H$2:'Rankings'!H$1000,0))</f>
        <v>Bryan Steffen</v>
      </c>
      <c r="C119" t="str">
        <f>INDEX(Rankings!C$2:'Rankings'!C$1149,MATCH(SMALL(Rankings!H$2:'Rankings'!H$1000,ROW()),Rankings!H$2:'Rankings'!H$1000,0))</f>
        <v>Bryan Steffen</v>
      </c>
      <c r="D119" t="str">
        <f>INDEX(Rankings!C$2:'Rankings'!C$1149,MATCH(SMALL(Rankings!H$2:'Rankings'!H$1000,ROW()),Rankings!H$2:'Rankings'!H$1000,0))</f>
        <v>Bryan Steffen</v>
      </c>
      <c r="G119" t="str">
        <f>INDEX(Rankings!C$2:'Rankings'!C$1149,MATCH(SMALL(Rankings!H$2:'Rankings'!H$1000,ROW()),Rankings!H$2:'Rankings'!H$1000,0))</f>
        <v>Bryan Steffen</v>
      </c>
    </row>
    <row r="120" spans="2:7" hidden="1" outlineLevel="1" x14ac:dyDescent="0.25">
      <c r="B120" t="str">
        <f>INDEX(Rankings!C$2:'Rankings'!C$1149,MATCH(SMALL(Rankings!H$2:'Rankings'!H$1000,ROW()),Rankings!H$2:'Rankings'!H$1000,0))</f>
        <v>Caleb DePaola</v>
      </c>
      <c r="C120" t="str">
        <f>INDEX(Rankings!C$2:'Rankings'!C$1149,MATCH(SMALL(Rankings!H$2:'Rankings'!H$1000,ROW()),Rankings!H$2:'Rankings'!H$1000,0))</f>
        <v>Caleb DePaola</v>
      </c>
      <c r="D120" t="str">
        <f>INDEX(Rankings!C$2:'Rankings'!C$1149,MATCH(SMALL(Rankings!H$2:'Rankings'!H$1000,ROW()),Rankings!H$2:'Rankings'!H$1000,0))</f>
        <v>Caleb DePaola</v>
      </c>
      <c r="G120" t="str">
        <f>INDEX(Rankings!C$2:'Rankings'!C$1149,MATCH(SMALL(Rankings!H$2:'Rankings'!H$1000,ROW()),Rankings!H$2:'Rankings'!H$1000,0))</f>
        <v>Caleb DePaola</v>
      </c>
    </row>
    <row r="121" spans="2:7" hidden="1" outlineLevel="1" x14ac:dyDescent="0.25">
      <c r="B121" t="str">
        <f>INDEX(Rankings!C$2:'Rankings'!C$1149,MATCH(SMALL(Rankings!H$2:'Rankings'!H$1000,ROW()),Rankings!H$2:'Rankings'!H$1000,0))</f>
        <v>Carl Dobson</v>
      </c>
      <c r="C121" t="str">
        <f>INDEX(Rankings!C$2:'Rankings'!C$1149,MATCH(SMALL(Rankings!H$2:'Rankings'!H$1000,ROW()),Rankings!H$2:'Rankings'!H$1000,0))</f>
        <v>Carl Dobson</v>
      </c>
      <c r="D121" t="str">
        <f>INDEX(Rankings!C$2:'Rankings'!C$1149,MATCH(SMALL(Rankings!H$2:'Rankings'!H$1000,ROW()),Rankings!H$2:'Rankings'!H$1000,0))</f>
        <v>Carl Dobson</v>
      </c>
      <c r="G121" t="str">
        <f>INDEX(Rankings!C$2:'Rankings'!C$1149,MATCH(SMALL(Rankings!H$2:'Rankings'!H$1000,ROW()),Rankings!H$2:'Rankings'!H$1000,0))</f>
        <v>Carl Dobson</v>
      </c>
    </row>
    <row r="122" spans="2:7" hidden="1" outlineLevel="1" x14ac:dyDescent="0.25">
      <c r="B122" t="str">
        <f>INDEX(Rankings!C$2:'Rankings'!C$1149,MATCH(SMALL(Rankings!H$2:'Rankings'!H$1000,ROW()),Rankings!H$2:'Rankings'!H$1000,0))</f>
        <v>Carl Emerson</v>
      </c>
      <c r="C122" t="str">
        <f>INDEX(Rankings!C$2:'Rankings'!C$1149,MATCH(SMALL(Rankings!H$2:'Rankings'!H$1000,ROW()),Rankings!H$2:'Rankings'!H$1000,0))</f>
        <v>Carl Emerson</v>
      </c>
      <c r="D122" t="str">
        <f>INDEX(Rankings!C$2:'Rankings'!C$1149,MATCH(SMALL(Rankings!H$2:'Rankings'!H$1000,ROW()),Rankings!H$2:'Rankings'!H$1000,0))</f>
        <v>Carl Emerson</v>
      </c>
      <c r="G122" t="str">
        <f>INDEX(Rankings!C$2:'Rankings'!C$1149,MATCH(SMALL(Rankings!H$2:'Rankings'!H$1000,ROW()),Rankings!H$2:'Rankings'!H$1000,0))</f>
        <v>Carl Emerson</v>
      </c>
    </row>
    <row r="123" spans="2:7" hidden="1" outlineLevel="1" x14ac:dyDescent="0.25">
      <c r="B123" t="str">
        <f>INDEX(Rankings!C$2:'Rankings'!C$1149,MATCH(SMALL(Rankings!H$2:'Rankings'!H$1000,ROW()),Rankings!H$2:'Rankings'!H$1000,0))</f>
        <v>Carlo Lupin</v>
      </c>
      <c r="C123" t="str">
        <f>INDEX(Rankings!C$2:'Rankings'!C$1149,MATCH(SMALL(Rankings!H$2:'Rankings'!H$1000,ROW()),Rankings!H$2:'Rankings'!H$1000,0))</f>
        <v>Carlo Lupin</v>
      </c>
      <c r="D123" t="str">
        <f>INDEX(Rankings!C$2:'Rankings'!C$1149,MATCH(SMALL(Rankings!H$2:'Rankings'!H$1000,ROW()),Rankings!H$2:'Rankings'!H$1000,0))</f>
        <v>Carlo Lupin</v>
      </c>
      <c r="G123" t="str">
        <f>INDEX(Rankings!C$2:'Rankings'!C$1149,MATCH(SMALL(Rankings!H$2:'Rankings'!H$1000,ROW()),Rankings!H$2:'Rankings'!H$1000,0))</f>
        <v>Carlo Lupin</v>
      </c>
    </row>
    <row r="124" spans="2:7" hidden="1" outlineLevel="1" x14ac:dyDescent="0.25">
      <c r="B124" t="str">
        <f>INDEX(Rankings!C$2:'Rankings'!C$1149,MATCH(SMALL(Rankings!H$2:'Rankings'!H$1000,ROW()),Rankings!H$2:'Rankings'!H$1000,0))</f>
        <v>Carlo Perrone</v>
      </c>
      <c r="C124" t="str">
        <f>INDEX(Rankings!C$2:'Rankings'!C$1149,MATCH(SMALL(Rankings!H$2:'Rankings'!H$1000,ROW()),Rankings!H$2:'Rankings'!H$1000,0))</f>
        <v>Carlo Perrone</v>
      </c>
      <c r="D124" t="str">
        <f>INDEX(Rankings!C$2:'Rankings'!C$1149,MATCH(SMALL(Rankings!H$2:'Rankings'!H$1000,ROW()),Rankings!H$2:'Rankings'!H$1000,0))</f>
        <v>Carlo Perrone</v>
      </c>
      <c r="G124" t="str">
        <f>INDEX(Rankings!C$2:'Rankings'!C$1149,MATCH(SMALL(Rankings!H$2:'Rankings'!H$1000,ROW()),Rankings!H$2:'Rankings'!H$1000,0))</f>
        <v>Carlo Perrone</v>
      </c>
    </row>
    <row r="125" spans="2:7" hidden="1" outlineLevel="1" x14ac:dyDescent="0.25">
      <c r="B125" t="str">
        <f>INDEX(Rankings!C$2:'Rankings'!C$1149,MATCH(SMALL(Rankings!H$2:'Rankings'!H$1000,ROW()),Rankings!H$2:'Rankings'!H$1000,0))</f>
        <v>Carlos Lopez</v>
      </c>
      <c r="C125" t="str">
        <f>INDEX(Rankings!C$2:'Rankings'!C$1149,MATCH(SMALL(Rankings!H$2:'Rankings'!H$1000,ROW()),Rankings!H$2:'Rankings'!H$1000,0))</f>
        <v>Carlos Lopez</v>
      </c>
      <c r="D125" t="str">
        <f>INDEX(Rankings!C$2:'Rankings'!C$1149,MATCH(SMALL(Rankings!H$2:'Rankings'!H$1000,ROW()),Rankings!H$2:'Rankings'!H$1000,0))</f>
        <v>Carlos Lopez</v>
      </c>
      <c r="G125" t="str">
        <f>INDEX(Rankings!C$2:'Rankings'!C$1149,MATCH(SMALL(Rankings!H$2:'Rankings'!H$1000,ROW()),Rankings!H$2:'Rankings'!H$1000,0))</f>
        <v>Carlos Lopez</v>
      </c>
    </row>
    <row r="126" spans="2:7" hidden="1" outlineLevel="1" x14ac:dyDescent="0.25">
      <c r="B126" t="str">
        <f>INDEX(Rankings!C$2:'Rankings'!C$1149,MATCH(SMALL(Rankings!H$2:'Rankings'!H$1000,ROW()),Rankings!H$2:'Rankings'!H$1000,0))</f>
        <v>Carlotta Berini</v>
      </c>
      <c r="C126" t="str">
        <f>INDEX(Rankings!C$2:'Rankings'!C$1149,MATCH(SMALL(Rankings!H$2:'Rankings'!H$1000,ROW()),Rankings!H$2:'Rankings'!H$1000,0))</f>
        <v>Carlotta Berini</v>
      </c>
      <c r="D126" t="str">
        <f>INDEX(Rankings!C$2:'Rankings'!C$1149,MATCH(SMALL(Rankings!H$2:'Rankings'!H$1000,ROW()),Rankings!H$2:'Rankings'!H$1000,0))</f>
        <v>Carlotta Berini</v>
      </c>
      <c r="G126" t="str">
        <f>INDEX(Rankings!C$2:'Rankings'!C$1149,MATCH(SMALL(Rankings!H$2:'Rankings'!H$1000,ROW()),Rankings!H$2:'Rankings'!H$1000,0))</f>
        <v>Carlotta Berini</v>
      </c>
    </row>
    <row r="127" spans="2:7" hidden="1" outlineLevel="1" x14ac:dyDescent="0.25">
      <c r="B127" t="str">
        <f>INDEX(Rankings!C$2:'Rankings'!C$1149,MATCH(SMALL(Rankings!H$2:'Rankings'!H$1000,ROW()),Rankings!H$2:'Rankings'!H$1000,0))</f>
        <v>Carolyn Hubbard</v>
      </c>
      <c r="C127" t="str">
        <f>INDEX(Rankings!C$2:'Rankings'!C$1149,MATCH(SMALL(Rankings!H$2:'Rankings'!H$1000,ROW()),Rankings!H$2:'Rankings'!H$1000,0))</f>
        <v>Carolyn Hubbard</v>
      </c>
      <c r="D127" t="str">
        <f>INDEX(Rankings!C$2:'Rankings'!C$1149,MATCH(SMALL(Rankings!H$2:'Rankings'!H$1000,ROW()),Rankings!H$2:'Rankings'!H$1000,0))</f>
        <v>Carolyn Hubbard</v>
      </c>
      <c r="G127" t="str">
        <f>INDEX(Rankings!C$2:'Rankings'!C$1149,MATCH(SMALL(Rankings!H$2:'Rankings'!H$1000,ROW()),Rankings!H$2:'Rankings'!H$1000,0))</f>
        <v>Carolyn Hubbard</v>
      </c>
    </row>
    <row r="128" spans="2:7" hidden="1" outlineLevel="1" x14ac:dyDescent="0.25">
      <c r="B128" t="str">
        <f>INDEX(Rankings!C$2:'Rankings'!C$1149,MATCH(SMALL(Rankings!H$2:'Rankings'!H$1000,ROW()),Rankings!H$2:'Rankings'!H$1000,0))</f>
        <v>Carsten Heim</v>
      </c>
      <c r="C128" t="str">
        <f>INDEX(Rankings!C$2:'Rankings'!C$1149,MATCH(SMALL(Rankings!H$2:'Rankings'!H$1000,ROW()),Rankings!H$2:'Rankings'!H$1000,0))</f>
        <v>Carsten Heim</v>
      </c>
      <c r="D128" t="str">
        <f>INDEX(Rankings!C$2:'Rankings'!C$1149,MATCH(SMALL(Rankings!H$2:'Rankings'!H$1000,ROW()),Rankings!H$2:'Rankings'!H$1000,0))</f>
        <v>Carsten Heim</v>
      </c>
      <c r="G128" t="str">
        <f>INDEX(Rankings!C$2:'Rankings'!C$1149,MATCH(SMALL(Rankings!H$2:'Rankings'!H$1000,ROW()),Rankings!H$2:'Rankings'!H$1000,0))</f>
        <v>Carsten Heim</v>
      </c>
    </row>
    <row r="129" spans="2:7" hidden="1" outlineLevel="1" x14ac:dyDescent="0.25">
      <c r="B129" t="str">
        <f>INDEX(Rankings!C$2:'Rankings'!C$1149,MATCH(SMALL(Rankings!H$2:'Rankings'!H$1000,ROW()),Rankings!H$2:'Rankings'!H$1000,0))</f>
        <v>Cedrik Stevens</v>
      </c>
      <c r="C129" t="str">
        <f>INDEX(Rankings!C$2:'Rankings'!C$1149,MATCH(SMALL(Rankings!H$2:'Rankings'!H$1000,ROW()),Rankings!H$2:'Rankings'!H$1000,0))</f>
        <v>Cedrik Stevens</v>
      </c>
      <c r="D129" t="str">
        <f>INDEX(Rankings!C$2:'Rankings'!C$1149,MATCH(SMALL(Rankings!H$2:'Rankings'!H$1000,ROW()),Rankings!H$2:'Rankings'!H$1000,0))</f>
        <v>Cedrik Stevens</v>
      </c>
      <c r="G129" t="str">
        <f>INDEX(Rankings!C$2:'Rankings'!C$1149,MATCH(SMALL(Rankings!H$2:'Rankings'!H$1000,ROW()),Rankings!H$2:'Rankings'!H$1000,0))</f>
        <v>Cedrik Stevens</v>
      </c>
    </row>
    <row r="130" spans="2:7" hidden="1" outlineLevel="1" x14ac:dyDescent="0.25">
      <c r="B130" t="str">
        <f>INDEX(Rankings!C$2:'Rankings'!C$1149,MATCH(SMALL(Rankings!H$2:'Rankings'!H$1000,ROW()),Rankings!H$2:'Rankings'!H$1000,0))</f>
        <v>Charlene Powell</v>
      </c>
      <c r="C130" t="str">
        <f>INDEX(Rankings!C$2:'Rankings'!C$1149,MATCH(SMALL(Rankings!H$2:'Rankings'!H$1000,ROW()),Rankings!H$2:'Rankings'!H$1000,0))</f>
        <v>Charlene Powell</v>
      </c>
      <c r="D130" t="str">
        <f>INDEX(Rankings!C$2:'Rankings'!C$1149,MATCH(SMALL(Rankings!H$2:'Rankings'!H$1000,ROW()),Rankings!H$2:'Rankings'!H$1000,0))</f>
        <v>Charlene Powell</v>
      </c>
      <c r="G130" t="str">
        <f>INDEX(Rankings!C$2:'Rankings'!C$1149,MATCH(SMALL(Rankings!H$2:'Rankings'!H$1000,ROW()),Rankings!H$2:'Rankings'!H$1000,0))</f>
        <v>Charlene Powell</v>
      </c>
    </row>
    <row r="131" spans="2:7" hidden="1" outlineLevel="1" x14ac:dyDescent="0.25">
      <c r="B131" t="str">
        <f>INDEX(Rankings!C$2:'Rankings'!C$1149,MATCH(SMALL(Rankings!H$2:'Rankings'!H$1000,ROW()),Rankings!H$2:'Rankings'!H$1000,0))</f>
        <v>Charles Logan</v>
      </c>
      <c r="C131" t="str">
        <f>INDEX(Rankings!C$2:'Rankings'!C$1149,MATCH(SMALL(Rankings!H$2:'Rankings'!H$1000,ROW()),Rankings!H$2:'Rankings'!H$1000,0))</f>
        <v>Charles Logan</v>
      </c>
      <c r="D131" t="str">
        <f>INDEX(Rankings!C$2:'Rankings'!C$1149,MATCH(SMALL(Rankings!H$2:'Rankings'!H$1000,ROW()),Rankings!H$2:'Rankings'!H$1000,0))</f>
        <v>Charles Logan</v>
      </c>
      <c r="G131" t="str">
        <f>INDEX(Rankings!C$2:'Rankings'!C$1149,MATCH(SMALL(Rankings!H$2:'Rankings'!H$1000,ROW()),Rankings!H$2:'Rankings'!H$1000,0))</f>
        <v>Charles Logan</v>
      </c>
    </row>
    <row r="132" spans="2:7" hidden="1" outlineLevel="1" x14ac:dyDescent="0.25">
      <c r="B132" t="str">
        <f>INDEX(Rankings!C$2:'Rankings'!C$1149,MATCH(SMALL(Rankings!H$2:'Rankings'!H$1000,ROW()),Rankings!H$2:'Rankings'!H$1000,0))</f>
        <v>Charlotte DePaola</v>
      </c>
      <c r="C132" t="str">
        <f>INDEX(Rankings!C$2:'Rankings'!C$1149,MATCH(SMALL(Rankings!H$2:'Rankings'!H$1000,ROW()),Rankings!H$2:'Rankings'!H$1000,0))</f>
        <v>Charlotte DePaola</v>
      </c>
      <c r="D132" t="str">
        <f>INDEX(Rankings!C$2:'Rankings'!C$1149,MATCH(SMALL(Rankings!H$2:'Rankings'!H$1000,ROW()),Rankings!H$2:'Rankings'!H$1000,0))</f>
        <v>Charlotte DePaola</v>
      </c>
      <c r="G132" t="str">
        <f>INDEX(Rankings!C$2:'Rankings'!C$1149,MATCH(SMALL(Rankings!H$2:'Rankings'!H$1000,ROW()),Rankings!H$2:'Rankings'!H$1000,0))</f>
        <v>Charlotte DePaola</v>
      </c>
    </row>
    <row r="133" spans="2:7" hidden="1" outlineLevel="1" x14ac:dyDescent="0.25">
      <c r="B133" t="str">
        <f>INDEX(Rankings!C$2:'Rankings'!C$1149,MATCH(SMALL(Rankings!H$2:'Rankings'!H$1000,ROW()),Rankings!H$2:'Rankings'!H$1000,0))</f>
        <v>Charly Katzenmaier</v>
      </c>
      <c r="C133" t="str">
        <f>INDEX(Rankings!C$2:'Rankings'!C$1149,MATCH(SMALL(Rankings!H$2:'Rankings'!H$1000,ROW()),Rankings!H$2:'Rankings'!H$1000,0))</f>
        <v>Charly Katzenmaier</v>
      </c>
      <c r="D133" t="str">
        <f>INDEX(Rankings!C$2:'Rankings'!C$1149,MATCH(SMALL(Rankings!H$2:'Rankings'!H$1000,ROW()),Rankings!H$2:'Rankings'!H$1000,0))</f>
        <v>Charly Katzenmaier</v>
      </c>
      <c r="G133" t="str">
        <f>INDEX(Rankings!C$2:'Rankings'!C$1149,MATCH(SMALL(Rankings!H$2:'Rankings'!H$1000,ROW()),Rankings!H$2:'Rankings'!H$1000,0))</f>
        <v>Charly Katzenmaier</v>
      </c>
    </row>
    <row r="134" spans="2:7" hidden="1" outlineLevel="1" x14ac:dyDescent="0.25">
      <c r="B134" t="str">
        <f>INDEX(Rankings!C$2:'Rankings'!C$1149,MATCH(SMALL(Rankings!H$2:'Rankings'!H$1000,ROW()),Rankings!H$2:'Rankings'!H$1000,0))</f>
        <v>Chip Bell</v>
      </c>
      <c r="C134" t="str">
        <f>INDEX(Rankings!C$2:'Rankings'!C$1149,MATCH(SMALL(Rankings!H$2:'Rankings'!H$1000,ROW()),Rankings!H$2:'Rankings'!H$1000,0))</f>
        <v>Chip Bell</v>
      </c>
      <c r="D134" t="str">
        <f>INDEX(Rankings!C$2:'Rankings'!C$1149,MATCH(SMALL(Rankings!H$2:'Rankings'!H$1000,ROW()),Rankings!H$2:'Rankings'!H$1000,0))</f>
        <v>Chip Bell</v>
      </c>
      <c r="G134" t="str">
        <f>INDEX(Rankings!C$2:'Rankings'!C$1149,MATCH(SMALL(Rankings!H$2:'Rankings'!H$1000,ROW()),Rankings!H$2:'Rankings'!H$1000,0))</f>
        <v>Chip Bell</v>
      </c>
    </row>
    <row r="135" spans="2:7" hidden="1" outlineLevel="1" x14ac:dyDescent="0.25">
      <c r="B135" t="str">
        <f>INDEX(Rankings!C$2:'Rankings'!C$1149,MATCH(SMALL(Rankings!H$2:'Rankings'!H$1000,ROW()),Rankings!H$2:'Rankings'!H$1000,0))</f>
        <v>Chris Baker</v>
      </c>
      <c r="C135" t="str">
        <f>INDEX(Rankings!C$2:'Rankings'!C$1149,MATCH(SMALL(Rankings!H$2:'Rankings'!H$1000,ROW()),Rankings!H$2:'Rankings'!H$1000,0))</f>
        <v>Chris Baker</v>
      </c>
      <c r="D135" t="str">
        <f>INDEX(Rankings!C$2:'Rankings'!C$1149,MATCH(SMALL(Rankings!H$2:'Rankings'!H$1000,ROW()),Rankings!H$2:'Rankings'!H$1000,0))</f>
        <v>Chris Baker</v>
      </c>
      <c r="G135" t="str">
        <f>INDEX(Rankings!C$2:'Rankings'!C$1149,MATCH(SMALL(Rankings!H$2:'Rankings'!H$1000,ROW()),Rankings!H$2:'Rankings'!H$1000,0))</f>
        <v>Chris Baker</v>
      </c>
    </row>
    <row r="136" spans="2:7" hidden="1" outlineLevel="1" x14ac:dyDescent="0.25">
      <c r="B136" t="str">
        <f>INDEX(Rankings!C$2:'Rankings'!C$1149,MATCH(SMALL(Rankings!H$2:'Rankings'!H$1000,ROW()),Rankings!H$2:'Rankings'!H$1000,0))</f>
        <v>Chris Bellaj</v>
      </c>
      <c r="C136" t="str">
        <f>INDEX(Rankings!C$2:'Rankings'!C$1149,MATCH(SMALL(Rankings!H$2:'Rankings'!H$1000,ROW()),Rankings!H$2:'Rankings'!H$1000,0))</f>
        <v>Chris Bellaj</v>
      </c>
      <c r="D136" t="str">
        <f>INDEX(Rankings!C$2:'Rankings'!C$1149,MATCH(SMALL(Rankings!H$2:'Rankings'!H$1000,ROW()),Rankings!H$2:'Rankings'!H$1000,0))</f>
        <v>Chris Bellaj</v>
      </c>
      <c r="G136" t="str">
        <f>INDEX(Rankings!C$2:'Rankings'!C$1149,MATCH(SMALL(Rankings!H$2:'Rankings'!H$1000,ROW()),Rankings!H$2:'Rankings'!H$1000,0))</f>
        <v>Chris Bellaj</v>
      </c>
    </row>
    <row r="137" spans="2:7" hidden="1" outlineLevel="1" x14ac:dyDescent="0.25">
      <c r="B137" t="str">
        <f>INDEX(Rankings!C$2:'Rankings'!C$1149,MATCH(SMALL(Rankings!H$2:'Rankings'!H$1000,ROW()),Rankings!H$2:'Rankings'!H$1000,0))</f>
        <v>Chris DePaola</v>
      </c>
      <c r="C137" t="str">
        <f>INDEX(Rankings!C$2:'Rankings'!C$1149,MATCH(SMALL(Rankings!H$2:'Rankings'!H$1000,ROW()),Rankings!H$2:'Rankings'!H$1000,0))</f>
        <v>Chris DePaola</v>
      </c>
      <c r="D137" t="str">
        <f>INDEX(Rankings!C$2:'Rankings'!C$1149,MATCH(SMALL(Rankings!H$2:'Rankings'!H$1000,ROW()),Rankings!H$2:'Rankings'!H$1000,0))</f>
        <v>Chris DePaola</v>
      </c>
      <c r="G137" t="str">
        <f>INDEX(Rankings!C$2:'Rankings'!C$1149,MATCH(SMALL(Rankings!H$2:'Rankings'!H$1000,ROW()),Rankings!H$2:'Rankings'!H$1000,0))</f>
        <v>Chris DePaola</v>
      </c>
    </row>
    <row r="138" spans="2:7" hidden="1" outlineLevel="1" x14ac:dyDescent="0.25">
      <c r="B138" t="str">
        <f>INDEX(Rankings!C$2:'Rankings'!C$1149,MATCH(SMALL(Rankings!H$2:'Rankings'!H$1000,ROW()),Rankings!H$2:'Rankings'!H$1000,0))</f>
        <v>Chris Dunaway</v>
      </c>
      <c r="C138" t="str">
        <f>INDEX(Rankings!C$2:'Rankings'!C$1149,MATCH(SMALL(Rankings!H$2:'Rankings'!H$1000,ROW()),Rankings!H$2:'Rankings'!H$1000,0))</f>
        <v>Chris Dunaway</v>
      </c>
      <c r="D138" t="str">
        <f>INDEX(Rankings!C$2:'Rankings'!C$1149,MATCH(SMALL(Rankings!H$2:'Rankings'!H$1000,ROW()),Rankings!H$2:'Rankings'!H$1000,0))</f>
        <v>Chris Dunaway</v>
      </c>
      <c r="G138" t="str">
        <f>INDEX(Rankings!C$2:'Rankings'!C$1149,MATCH(SMALL(Rankings!H$2:'Rankings'!H$1000,ROW()),Rankings!H$2:'Rankings'!H$1000,0))</f>
        <v>Chris Dunaway</v>
      </c>
    </row>
    <row r="139" spans="2:7" hidden="1" outlineLevel="1" x14ac:dyDescent="0.25">
      <c r="B139" t="str">
        <f>INDEX(Rankings!C$2:'Rankings'!C$1149,MATCH(SMALL(Rankings!H$2:'Rankings'!H$1000,ROW()),Rankings!H$2:'Rankings'!H$1000,0))</f>
        <v>Chris Hill</v>
      </c>
      <c r="C139" t="str">
        <f>INDEX(Rankings!C$2:'Rankings'!C$1149,MATCH(SMALL(Rankings!H$2:'Rankings'!H$1000,ROW()),Rankings!H$2:'Rankings'!H$1000,0))</f>
        <v>Chris Hill</v>
      </c>
      <c r="D139" t="str">
        <f>INDEX(Rankings!C$2:'Rankings'!C$1149,MATCH(SMALL(Rankings!H$2:'Rankings'!H$1000,ROW()),Rankings!H$2:'Rankings'!H$1000,0))</f>
        <v>Chris Hill</v>
      </c>
      <c r="G139" t="str">
        <f>INDEX(Rankings!C$2:'Rankings'!C$1149,MATCH(SMALL(Rankings!H$2:'Rankings'!H$1000,ROW()),Rankings!H$2:'Rankings'!H$1000,0))</f>
        <v>Chris Hill</v>
      </c>
    </row>
    <row r="140" spans="2:7" hidden="1" outlineLevel="1" x14ac:dyDescent="0.25">
      <c r="B140" t="str">
        <f>INDEX(Rankings!C$2:'Rankings'!C$1149,MATCH(SMALL(Rankings!H$2:'Rankings'!H$1000,ROW()),Rankings!H$2:'Rankings'!H$1000,0))</f>
        <v>Chris Horn</v>
      </c>
      <c r="C140" t="str">
        <f>INDEX(Rankings!C$2:'Rankings'!C$1149,MATCH(SMALL(Rankings!H$2:'Rankings'!H$1000,ROW()),Rankings!H$2:'Rankings'!H$1000,0))</f>
        <v>Chris Horn</v>
      </c>
      <c r="D140" t="str">
        <f>INDEX(Rankings!C$2:'Rankings'!C$1149,MATCH(SMALL(Rankings!H$2:'Rankings'!H$1000,ROW()),Rankings!H$2:'Rankings'!H$1000,0))</f>
        <v>Chris Horn</v>
      </c>
      <c r="G140" t="str">
        <f>INDEX(Rankings!C$2:'Rankings'!C$1149,MATCH(SMALL(Rankings!H$2:'Rankings'!H$1000,ROW()),Rankings!H$2:'Rankings'!H$1000,0))</f>
        <v>Chris Horn</v>
      </c>
    </row>
    <row r="141" spans="2:7" hidden="1" outlineLevel="1" x14ac:dyDescent="0.25">
      <c r="B141" t="str">
        <f>INDEX(Rankings!C$2:'Rankings'!C$1149,MATCH(SMALL(Rankings!H$2:'Rankings'!H$1000,ROW()),Rankings!H$2:'Rankings'!H$1000,0))</f>
        <v>Chris Koslowski</v>
      </c>
      <c r="C141" t="str">
        <f>INDEX(Rankings!C$2:'Rankings'!C$1149,MATCH(SMALL(Rankings!H$2:'Rankings'!H$1000,ROW()),Rankings!H$2:'Rankings'!H$1000,0))</f>
        <v>Chris Koslowski</v>
      </c>
      <c r="D141" t="str">
        <f>INDEX(Rankings!C$2:'Rankings'!C$1149,MATCH(SMALL(Rankings!H$2:'Rankings'!H$1000,ROW()),Rankings!H$2:'Rankings'!H$1000,0))</f>
        <v>Chris Koslowski</v>
      </c>
      <c r="G141" t="str">
        <f>INDEX(Rankings!C$2:'Rankings'!C$1149,MATCH(SMALL(Rankings!H$2:'Rankings'!H$1000,ROW()),Rankings!H$2:'Rankings'!H$1000,0))</f>
        <v>Chris Koslowski</v>
      </c>
    </row>
    <row r="142" spans="2:7" hidden="1" outlineLevel="1" x14ac:dyDescent="0.25">
      <c r="B142" t="str">
        <f>INDEX(Rankings!C$2:'Rankings'!C$1149,MATCH(SMALL(Rankings!H$2:'Rankings'!H$1000,ROW()),Rankings!H$2:'Rankings'!H$1000,0))</f>
        <v>Chris Reynolds</v>
      </c>
      <c r="C142" t="str">
        <f>INDEX(Rankings!C$2:'Rankings'!C$1149,MATCH(SMALL(Rankings!H$2:'Rankings'!H$1000,ROW()),Rankings!H$2:'Rankings'!H$1000,0))</f>
        <v>Chris Reynolds</v>
      </c>
      <c r="D142" t="str">
        <f>INDEX(Rankings!C$2:'Rankings'!C$1149,MATCH(SMALL(Rankings!H$2:'Rankings'!H$1000,ROW()),Rankings!H$2:'Rankings'!H$1000,0))</f>
        <v>Chris Reynolds</v>
      </c>
      <c r="G142" t="str">
        <f>INDEX(Rankings!C$2:'Rankings'!C$1149,MATCH(SMALL(Rankings!H$2:'Rankings'!H$1000,ROW()),Rankings!H$2:'Rankings'!H$1000,0))</f>
        <v>Chris Reynolds</v>
      </c>
    </row>
    <row r="143" spans="2:7" hidden="1" outlineLevel="1" x14ac:dyDescent="0.25">
      <c r="B143" t="str">
        <f>INDEX(Rankings!C$2:'Rankings'!C$1149,MATCH(SMALL(Rankings!H$2:'Rankings'!H$1000,ROW()),Rankings!H$2:'Rankings'!H$1000,0))</f>
        <v>Chris Ryan</v>
      </c>
      <c r="C143" t="str">
        <f>INDEX(Rankings!C$2:'Rankings'!C$1149,MATCH(SMALL(Rankings!H$2:'Rankings'!H$1000,ROW()),Rankings!H$2:'Rankings'!H$1000,0))</f>
        <v>Chris Ryan</v>
      </c>
      <c r="D143" t="str">
        <f>INDEX(Rankings!C$2:'Rankings'!C$1149,MATCH(SMALL(Rankings!H$2:'Rankings'!H$1000,ROW()),Rankings!H$2:'Rankings'!H$1000,0))</f>
        <v>Chris Ryan</v>
      </c>
      <c r="G143" t="str">
        <f>INDEX(Rankings!C$2:'Rankings'!C$1149,MATCH(SMALL(Rankings!H$2:'Rankings'!H$1000,ROW()),Rankings!H$2:'Rankings'!H$1000,0))</f>
        <v>Chris Ryan</v>
      </c>
    </row>
    <row r="144" spans="2:7" hidden="1" outlineLevel="1" x14ac:dyDescent="0.25">
      <c r="B144" t="str">
        <f>INDEX(Rankings!C$2:'Rankings'!C$1149,MATCH(SMALL(Rankings!H$2:'Rankings'!H$1000,ROW()),Rankings!H$2:'Rankings'!H$1000,0))</f>
        <v>Chris Sieben</v>
      </c>
      <c r="C144" t="str">
        <f>INDEX(Rankings!C$2:'Rankings'!C$1149,MATCH(SMALL(Rankings!H$2:'Rankings'!H$1000,ROW()),Rankings!H$2:'Rankings'!H$1000,0))</f>
        <v>Chris Sieben</v>
      </c>
      <c r="D144" t="str">
        <f>INDEX(Rankings!C$2:'Rankings'!C$1149,MATCH(SMALL(Rankings!H$2:'Rankings'!H$1000,ROW()),Rankings!H$2:'Rankings'!H$1000,0))</f>
        <v>Chris Sieben</v>
      </c>
      <c r="G144" t="str">
        <f>INDEX(Rankings!C$2:'Rankings'!C$1149,MATCH(SMALL(Rankings!H$2:'Rankings'!H$1000,ROW()),Rankings!H$2:'Rankings'!H$1000,0))</f>
        <v>Chris Sieben</v>
      </c>
    </row>
    <row r="145" spans="2:7" hidden="1" outlineLevel="1" x14ac:dyDescent="0.25">
      <c r="B145" t="str">
        <f>INDEX(Rankings!C$2:'Rankings'!C$1149,MATCH(SMALL(Rankings!H$2:'Rankings'!H$1000,ROW()),Rankings!H$2:'Rankings'!H$1000,0))</f>
        <v>Christian Grau</v>
      </c>
      <c r="C145" t="str">
        <f>INDEX(Rankings!C$2:'Rankings'!C$1149,MATCH(SMALL(Rankings!H$2:'Rankings'!H$1000,ROW()),Rankings!H$2:'Rankings'!H$1000,0))</f>
        <v>Christian Grau</v>
      </c>
      <c r="D145" t="str">
        <f>INDEX(Rankings!C$2:'Rankings'!C$1149,MATCH(SMALL(Rankings!H$2:'Rankings'!H$1000,ROW()),Rankings!H$2:'Rankings'!H$1000,0))</f>
        <v>Christian Grau</v>
      </c>
      <c r="G145" t="str">
        <f>INDEX(Rankings!C$2:'Rankings'!C$1149,MATCH(SMALL(Rankings!H$2:'Rankings'!H$1000,ROW()),Rankings!H$2:'Rankings'!H$1000,0))</f>
        <v>Christian Grau</v>
      </c>
    </row>
    <row r="146" spans="2:7" hidden="1" outlineLevel="1" x14ac:dyDescent="0.25">
      <c r="B146" t="str">
        <f>INDEX(Rankings!C$2:'Rankings'!C$1149,MATCH(SMALL(Rankings!H$2:'Rankings'!H$1000,ROW()),Rankings!H$2:'Rankings'!H$1000,0))</f>
        <v>Christian Lamred</v>
      </c>
      <c r="C146" t="str">
        <f>INDEX(Rankings!C$2:'Rankings'!C$1149,MATCH(SMALL(Rankings!H$2:'Rankings'!H$1000,ROW()),Rankings!H$2:'Rankings'!H$1000,0))</f>
        <v>Christian Lamred</v>
      </c>
      <c r="D146" t="str">
        <f>INDEX(Rankings!C$2:'Rankings'!C$1149,MATCH(SMALL(Rankings!H$2:'Rankings'!H$1000,ROW()),Rankings!H$2:'Rankings'!H$1000,0))</f>
        <v>Christian Lamred</v>
      </c>
      <c r="G146" t="str">
        <f>INDEX(Rankings!C$2:'Rankings'!C$1149,MATCH(SMALL(Rankings!H$2:'Rankings'!H$1000,ROW()),Rankings!H$2:'Rankings'!H$1000,0))</f>
        <v>Christian Lamred</v>
      </c>
    </row>
    <row r="147" spans="2:7" hidden="1" outlineLevel="1" x14ac:dyDescent="0.25">
      <c r="B147" t="str">
        <f>INDEX(Rankings!C$2:'Rankings'!C$1149,MATCH(SMALL(Rankings!H$2:'Rankings'!H$1000,ROW()),Rankings!H$2:'Rankings'!H$1000,0))</f>
        <v>Christian Voigt</v>
      </c>
      <c r="C147" t="str">
        <f>INDEX(Rankings!C$2:'Rankings'!C$1149,MATCH(SMALL(Rankings!H$2:'Rankings'!H$1000,ROW()),Rankings!H$2:'Rankings'!H$1000,0))</f>
        <v>Christian Voigt</v>
      </c>
      <c r="D147" t="str">
        <f>INDEX(Rankings!C$2:'Rankings'!C$1149,MATCH(SMALL(Rankings!H$2:'Rankings'!H$1000,ROW()),Rankings!H$2:'Rankings'!H$1000,0))</f>
        <v>Christian Voigt</v>
      </c>
      <c r="G147" t="str">
        <f>INDEX(Rankings!C$2:'Rankings'!C$1149,MATCH(SMALL(Rankings!H$2:'Rankings'!H$1000,ROW()),Rankings!H$2:'Rankings'!H$1000,0))</f>
        <v>Christian Voigt</v>
      </c>
    </row>
    <row r="148" spans="2:7" hidden="1" outlineLevel="1" x14ac:dyDescent="0.25">
      <c r="B148" t="str">
        <f>INDEX(Rankings!C$2:'Rankings'!C$1149,MATCH(SMALL(Rankings!H$2:'Rankings'!H$1000,ROW()),Rankings!H$2:'Rankings'!H$1000,0))</f>
        <v>Christina Kunze</v>
      </c>
      <c r="C148" t="str">
        <f>INDEX(Rankings!C$2:'Rankings'!C$1149,MATCH(SMALL(Rankings!H$2:'Rankings'!H$1000,ROW()),Rankings!H$2:'Rankings'!H$1000,0))</f>
        <v>Christina Kunze</v>
      </c>
      <c r="D148" t="str">
        <f>INDEX(Rankings!C$2:'Rankings'!C$1149,MATCH(SMALL(Rankings!H$2:'Rankings'!H$1000,ROW()),Rankings!H$2:'Rankings'!H$1000,0))</f>
        <v>Christina Kunze</v>
      </c>
      <c r="G148" t="str">
        <f>INDEX(Rankings!C$2:'Rankings'!C$1149,MATCH(SMALL(Rankings!H$2:'Rankings'!H$1000,ROW()),Rankings!H$2:'Rankings'!H$1000,0))</f>
        <v>Christina Kunze</v>
      </c>
    </row>
    <row r="149" spans="2:7" hidden="1" outlineLevel="1" x14ac:dyDescent="0.25">
      <c r="B149" t="str">
        <f>INDEX(Rankings!C$2:'Rankings'!C$1149,MATCH(SMALL(Rankings!H$2:'Rankings'!H$1000,ROW()),Rankings!H$2:'Rankings'!H$1000,0))</f>
        <v>Christoph Brack</v>
      </c>
      <c r="C149" t="str">
        <f>INDEX(Rankings!C$2:'Rankings'!C$1149,MATCH(SMALL(Rankings!H$2:'Rankings'!H$1000,ROW()),Rankings!H$2:'Rankings'!H$1000,0))</f>
        <v>Christoph Brack</v>
      </c>
      <c r="D149" t="str">
        <f>INDEX(Rankings!C$2:'Rankings'!C$1149,MATCH(SMALL(Rankings!H$2:'Rankings'!H$1000,ROW()),Rankings!H$2:'Rankings'!H$1000,0))</f>
        <v>Christoph Brack</v>
      </c>
      <c r="G149" t="str">
        <f>INDEX(Rankings!C$2:'Rankings'!C$1149,MATCH(SMALL(Rankings!H$2:'Rankings'!H$1000,ROW()),Rankings!H$2:'Rankings'!H$1000,0))</f>
        <v>Christoph Brack</v>
      </c>
    </row>
    <row r="150" spans="2:7" hidden="1" outlineLevel="1" x14ac:dyDescent="0.25">
      <c r="B150" t="str">
        <f>INDEX(Rankings!C$2:'Rankings'!C$1149,MATCH(SMALL(Rankings!H$2:'Rankings'!H$1000,ROW()),Rankings!H$2:'Rankings'!H$1000,0))</f>
        <v>Christophe Legendre</v>
      </c>
      <c r="C150" t="str">
        <f>INDEX(Rankings!C$2:'Rankings'!C$1149,MATCH(SMALL(Rankings!H$2:'Rankings'!H$1000,ROW()),Rankings!H$2:'Rankings'!H$1000,0))</f>
        <v>Christophe Legendre</v>
      </c>
      <c r="D150" t="str">
        <f>INDEX(Rankings!C$2:'Rankings'!C$1149,MATCH(SMALL(Rankings!H$2:'Rankings'!H$1000,ROW()),Rankings!H$2:'Rankings'!H$1000,0))</f>
        <v>Christophe Legendre</v>
      </c>
      <c r="G150" t="str">
        <f>INDEX(Rankings!C$2:'Rankings'!C$1149,MATCH(SMALL(Rankings!H$2:'Rankings'!H$1000,ROW()),Rankings!H$2:'Rankings'!H$1000,0))</f>
        <v>Christophe Legendre</v>
      </c>
    </row>
    <row r="151" spans="2:7" hidden="1" outlineLevel="1" x14ac:dyDescent="0.25">
      <c r="B151" t="str">
        <f>INDEX(Rankings!C$2:'Rankings'!C$1149,MATCH(SMALL(Rankings!H$2:'Rankings'!H$1000,ROW()),Rankings!H$2:'Rankings'!H$1000,0))</f>
        <v>Chuck Richard</v>
      </c>
      <c r="C151" t="str">
        <f>INDEX(Rankings!C$2:'Rankings'!C$1149,MATCH(SMALL(Rankings!H$2:'Rankings'!H$1000,ROW()),Rankings!H$2:'Rankings'!H$1000,0))</f>
        <v>Chuck Richard</v>
      </c>
      <c r="D151" t="str">
        <f>INDEX(Rankings!C$2:'Rankings'!C$1149,MATCH(SMALL(Rankings!H$2:'Rankings'!H$1000,ROW()),Rankings!H$2:'Rankings'!H$1000,0))</f>
        <v>Chuck Richard</v>
      </c>
      <c r="G151" t="str">
        <f>INDEX(Rankings!C$2:'Rankings'!C$1149,MATCH(SMALL(Rankings!H$2:'Rankings'!H$1000,ROW()),Rankings!H$2:'Rankings'!H$1000,0))</f>
        <v>Chuck Richard</v>
      </c>
    </row>
    <row r="152" spans="2:7" hidden="1" outlineLevel="1" x14ac:dyDescent="0.25">
      <c r="B152" t="str">
        <f>INDEX(Rankings!C$2:'Rankings'!C$1149,MATCH(SMALL(Rankings!H$2:'Rankings'!H$1000,ROW()),Rankings!H$2:'Rankings'!H$1000,0))</f>
        <v>Cindy St. Mary</v>
      </c>
      <c r="C152" t="str">
        <f>INDEX(Rankings!C$2:'Rankings'!C$1149,MATCH(SMALL(Rankings!H$2:'Rankings'!H$1000,ROW()),Rankings!H$2:'Rankings'!H$1000,0))</f>
        <v>Cindy St. Mary</v>
      </c>
      <c r="D152" t="str">
        <f>INDEX(Rankings!C$2:'Rankings'!C$1149,MATCH(SMALL(Rankings!H$2:'Rankings'!H$1000,ROW()),Rankings!H$2:'Rankings'!H$1000,0))</f>
        <v>Cindy St. Mary</v>
      </c>
      <c r="G152" t="str">
        <f>INDEX(Rankings!C$2:'Rankings'!C$1149,MATCH(SMALL(Rankings!H$2:'Rankings'!H$1000,ROW()),Rankings!H$2:'Rankings'!H$1000,0))</f>
        <v>Cindy St. Mary</v>
      </c>
    </row>
    <row r="153" spans="2:7" hidden="1" outlineLevel="1" x14ac:dyDescent="0.25">
      <c r="B153" t="str">
        <f>INDEX(Rankings!C$2:'Rankings'!C$1149,MATCH(SMALL(Rankings!H$2:'Rankings'!H$1000,ROW()),Rankings!H$2:'Rankings'!H$1000,0))</f>
        <v>Claudio Cigna</v>
      </c>
      <c r="C153" t="str">
        <f>INDEX(Rankings!C$2:'Rankings'!C$1149,MATCH(SMALL(Rankings!H$2:'Rankings'!H$1000,ROW()),Rankings!H$2:'Rankings'!H$1000,0))</f>
        <v>Claudio Cigna</v>
      </c>
      <c r="D153" t="str">
        <f>INDEX(Rankings!C$2:'Rankings'!C$1149,MATCH(SMALL(Rankings!H$2:'Rankings'!H$1000,ROW()),Rankings!H$2:'Rankings'!H$1000,0))</f>
        <v>Claudio Cigna</v>
      </c>
      <c r="G153" t="str">
        <f>INDEX(Rankings!C$2:'Rankings'!C$1149,MATCH(SMALL(Rankings!H$2:'Rankings'!H$1000,ROW()),Rankings!H$2:'Rankings'!H$1000,0))</f>
        <v>Claudio Cigna</v>
      </c>
    </row>
    <row r="154" spans="2:7" hidden="1" outlineLevel="1" x14ac:dyDescent="0.25">
      <c r="B154" t="str">
        <f>INDEX(Rankings!C$2:'Rankings'!C$1149,MATCH(SMALL(Rankings!H$2:'Rankings'!H$1000,ROW()),Rankings!H$2:'Rankings'!H$1000,0))</f>
        <v>Claudio Collerà</v>
      </c>
      <c r="C154" t="str">
        <f>INDEX(Rankings!C$2:'Rankings'!C$1149,MATCH(SMALL(Rankings!H$2:'Rankings'!H$1000,ROW()),Rankings!H$2:'Rankings'!H$1000,0))</f>
        <v>Claudio Collerà</v>
      </c>
      <c r="D154" t="str">
        <f>INDEX(Rankings!C$2:'Rankings'!C$1149,MATCH(SMALL(Rankings!H$2:'Rankings'!H$1000,ROW()),Rankings!H$2:'Rankings'!H$1000,0))</f>
        <v>Claudio Collerà</v>
      </c>
      <c r="G154" t="str">
        <f>INDEX(Rankings!C$2:'Rankings'!C$1149,MATCH(SMALL(Rankings!H$2:'Rankings'!H$1000,ROW()),Rankings!H$2:'Rankings'!H$1000,0))</f>
        <v>Claudio Collerà</v>
      </c>
    </row>
    <row r="155" spans="2:7" hidden="1" outlineLevel="1" x14ac:dyDescent="0.25">
      <c r="B155" t="str">
        <f>INDEX(Rankings!C$2:'Rankings'!C$1149,MATCH(SMALL(Rankings!H$2:'Rankings'!H$1000,ROW()),Rankings!H$2:'Rankings'!H$1000,0))</f>
        <v>Claudio Marana</v>
      </c>
      <c r="C155" t="str">
        <f>INDEX(Rankings!C$2:'Rankings'!C$1149,MATCH(SMALL(Rankings!H$2:'Rankings'!H$1000,ROW()),Rankings!H$2:'Rankings'!H$1000,0))</f>
        <v>Claudio Marana</v>
      </c>
      <c r="D155" t="str">
        <f>INDEX(Rankings!C$2:'Rankings'!C$1149,MATCH(SMALL(Rankings!H$2:'Rankings'!H$1000,ROW()),Rankings!H$2:'Rankings'!H$1000,0))</f>
        <v>Claudio Marana</v>
      </c>
      <c r="G155" t="str">
        <f>INDEX(Rankings!C$2:'Rankings'!C$1149,MATCH(SMALL(Rankings!H$2:'Rankings'!H$1000,ROW()),Rankings!H$2:'Rankings'!H$1000,0))</f>
        <v>Claudio Marana</v>
      </c>
    </row>
    <row r="156" spans="2:7" hidden="1" outlineLevel="1" x14ac:dyDescent="0.25">
      <c r="B156" t="str">
        <f>INDEX(Rankings!C$2:'Rankings'!C$1149,MATCH(SMALL(Rankings!H$2:'Rankings'!H$1000,ROW()),Rankings!H$2:'Rankings'!H$1000,0))</f>
        <v>Claudio Massaro</v>
      </c>
      <c r="C156" t="str">
        <f>INDEX(Rankings!C$2:'Rankings'!C$1149,MATCH(SMALL(Rankings!H$2:'Rankings'!H$1000,ROW()),Rankings!H$2:'Rankings'!H$1000,0))</f>
        <v>Claudio Massaro</v>
      </c>
      <c r="D156" t="str">
        <f>INDEX(Rankings!C$2:'Rankings'!C$1149,MATCH(SMALL(Rankings!H$2:'Rankings'!H$1000,ROW()),Rankings!H$2:'Rankings'!H$1000,0))</f>
        <v>Claudio Massaro</v>
      </c>
      <c r="G156" t="str">
        <f>INDEX(Rankings!C$2:'Rankings'!C$1149,MATCH(SMALL(Rankings!H$2:'Rankings'!H$1000,ROW()),Rankings!H$2:'Rankings'!H$1000,0))</f>
        <v>Claudio Massaro</v>
      </c>
    </row>
    <row r="157" spans="2:7" hidden="1" outlineLevel="1" x14ac:dyDescent="0.25">
      <c r="B157" t="str">
        <f>INDEX(Rankings!C$2:'Rankings'!C$1149,MATCH(SMALL(Rankings!H$2:'Rankings'!H$1000,ROW()),Rankings!H$2:'Rankings'!H$1000,0))</f>
        <v>Claudio Petro</v>
      </c>
      <c r="C157" t="str">
        <f>INDEX(Rankings!C$2:'Rankings'!C$1149,MATCH(SMALL(Rankings!H$2:'Rankings'!H$1000,ROW()),Rankings!H$2:'Rankings'!H$1000,0))</f>
        <v>Claudio Petro</v>
      </c>
      <c r="D157" t="str">
        <f>INDEX(Rankings!C$2:'Rankings'!C$1149,MATCH(SMALL(Rankings!H$2:'Rankings'!H$1000,ROW()),Rankings!H$2:'Rankings'!H$1000,0))</f>
        <v>Claudio Petro</v>
      </c>
      <c r="G157" t="str">
        <f>INDEX(Rankings!C$2:'Rankings'!C$1149,MATCH(SMALL(Rankings!H$2:'Rankings'!H$1000,ROW()),Rankings!H$2:'Rankings'!H$1000,0))</f>
        <v>Claudio Petro</v>
      </c>
    </row>
    <row r="158" spans="2:7" hidden="1" outlineLevel="1" x14ac:dyDescent="0.25">
      <c r="B158" t="str">
        <f>INDEX(Rankings!C$2:'Rankings'!C$1149,MATCH(SMALL(Rankings!H$2:'Rankings'!H$1000,ROW()),Rankings!H$2:'Rankings'!H$1000,0))</f>
        <v>Claudio Pietranelli</v>
      </c>
      <c r="C158" t="str">
        <f>INDEX(Rankings!C$2:'Rankings'!C$1149,MATCH(SMALL(Rankings!H$2:'Rankings'!H$1000,ROW()),Rankings!H$2:'Rankings'!H$1000,0))</f>
        <v>Claudio Pietranelli</v>
      </c>
      <c r="D158" t="str">
        <f>INDEX(Rankings!C$2:'Rankings'!C$1149,MATCH(SMALL(Rankings!H$2:'Rankings'!H$1000,ROW()),Rankings!H$2:'Rankings'!H$1000,0))</f>
        <v>Claudio Pietranelli</v>
      </c>
      <c r="G158" t="str">
        <f>INDEX(Rankings!C$2:'Rankings'!C$1149,MATCH(SMALL(Rankings!H$2:'Rankings'!H$1000,ROW()),Rankings!H$2:'Rankings'!H$1000,0))</f>
        <v>Claudio Pietranelli</v>
      </c>
    </row>
    <row r="159" spans="2:7" hidden="1" outlineLevel="1" x14ac:dyDescent="0.25">
      <c r="B159" t="str">
        <f>INDEX(Rankings!C$2:'Rankings'!C$1149,MATCH(SMALL(Rankings!H$2:'Rankings'!H$1000,ROW()),Rankings!H$2:'Rankings'!H$1000,0))</f>
        <v>Cody Kirkland</v>
      </c>
      <c r="C159" t="str">
        <f>INDEX(Rankings!C$2:'Rankings'!C$1149,MATCH(SMALL(Rankings!H$2:'Rankings'!H$1000,ROW()),Rankings!H$2:'Rankings'!H$1000,0))</f>
        <v>Cody Kirkland</v>
      </c>
      <c r="D159" t="str">
        <f>INDEX(Rankings!C$2:'Rankings'!C$1149,MATCH(SMALL(Rankings!H$2:'Rankings'!H$1000,ROW()),Rankings!H$2:'Rankings'!H$1000,0))</f>
        <v>Cody Kirkland</v>
      </c>
      <c r="G159" t="str">
        <f>INDEX(Rankings!C$2:'Rankings'!C$1149,MATCH(SMALL(Rankings!H$2:'Rankings'!H$1000,ROW()),Rankings!H$2:'Rankings'!H$1000,0))</f>
        <v>Cody Kirkland</v>
      </c>
    </row>
    <row r="160" spans="2:7" hidden="1" outlineLevel="1" x14ac:dyDescent="0.25">
      <c r="B160" t="str">
        <f>INDEX(Rankings!C$2:'Rankings'!C$1149,MATCH(SMALL(Rankings!H$2:'Rankings'!H$1000,ROW()),Rankings!H$2:'Rankings'!H$1000,0))</f>
        <v>Randy Wylot</v>
      </c>
      <c r="C160" t="str">
        <f>INDEX(Rankings!C$2:'Rankings'!C$1149,MATCH(SMALL(Rankings!H$2:'Rankings'!H$1000,ROW()),Rankings!H$2:'Rankings'!H$1000,0))</f>
        <v>Randy Wylot</v>
      </c>
      <c r="D160" t="str">
        <f>INDEX(Rankings!C$2:'Rankings'!C$1149,MATCH(SMALL(Rankings!H$2:'Rankings'!H$1000,ROW()),Rankings!H$2:'Rankings'!H$1000,0))</f>
        <v>Randy Wylot</v>
      </c>
      <c r="G160" t="str">
        <f>INDEX(Rankings!C$2:'Rankings'!C$1149,MATCH(SMALL(Rankings!H$2:'Rankings'!H$1000,ROW()),Rankings!H$2:'Rankings'!H$1000,0))</f>
        <v>Randy Wylot</v>
      </c>
    </row>
    <row r="161" spans="2:7" hidden="1" outlineLevel="1" x14ac:dyDescent="0.25">
      <c r="B161" t="str">
        <f>INDEX(Rankings!C$2:'Rankings'!C$1149,MATCH(SMALL(Rankings!H$2:'Rankings'!H$1000,ROW()),Rankings!H$2:'Rankings'!H$1000,0))</f>
        <v>Conrad Damon</v>
      </c>
      <c r="C161" t="str">
        <f>INDEX(Rankings!C$2:'Rankings'!C$1149,MATCH(SMALL(Rankings!H$2:'Rankings'!H$1000,ROW()),Rankings!H$2:'Rankings'!H$1000,0))</f>
        <v>Conrad Damon</v>
      </c>
      <c r="D161" t="str">
        <f>INDEX(Rankings!C$2:'Rankings'!C$1149,MATCH(SMALL(Rankings!H$2:'Rankings'!H$1000,ROW()),Rankings!H$2:'Rankings'!H$1000,0))</f>
        <v>Conrad Damon</v>
      </c>
      <c r="G161" t="str">
        <f>INDEX(Rankings!C$2:'Rankings'!C$1149,MATCH(SMALL(Rankings!H$2:'Rankings'!H$1000,ROW()),Rankings!H$2:'Rankings'!H$1000,0))</f>
        <v>Conrad Damon</v>
      </c>
    </row>
    <row r="162" spans="2:7" hidden="1" outlineLevel="1" x14ac:dyDescent="0.25">
      <c r="B162" t="str">
        <f>INDEX(Rankings!C$2:'Rankings'!C$1149,MATCH(SMALL(Rankings!H$2:'Rankings'!H$1000,ROW()),Rankings!H$2:'Rankings'!H$1000,0))</f>
        <v>Corina Schusfer</v>
      </c>
      <c r="C162" t="str">
        <f>INDEX(Rankings!C$2:'Rankings'!C$1149,MATCH(SMALL(Rankings!H$2:'Rankings'!H$1000,ROW()),Rankings!H$2:'Rankings'!H$1000,0))</f>
        <v>Corina Schusfer</v>
      </c>
      <c r="D162" t="str">
        <f>INDEX(Rankings!C$2:'Rankings'!C$1149,MATCH(SMALL(Rankings!H$2:'Rankings'!H$1000,ROW()),Rankings!H$2:'Rankings'!H$1000,0))</f>
        <v>Corina Schusfer</v>
      </c>
      <c r="G162" t="str">
        <f>INDEX(Rankings!C$2:'Rankings'!C$1149,MATCH(SMALL(Rankings!H$2:'Rankings'!H$1000,ROW()),Rankings!H$2:'Rankings'!H$1000,0))</f>
        <v>Corina Schusfer</v>
      </c>
    </row>
    <row r="163" spans="2:7" hidden="1" outlineLevel="1" x14ac:dyDescent="0.25">
      <c r="B163" t="str">
        <f>INDEX(Rankings!C$2:'Rankings'!C$1149,MATCH(SMALL(Rankings!H$2:'Rankings'!H$1000,ROW()),Rankings!H$2:'Rankings'!H$1000,0))</f>
        <v>Cosmi Palmisano</v>
      </c>
      <c r="C163" t="str">
        <f>INDEX(Rankings!C$2:'Rankings'!C$1149,MATCH(SMALL(Rankings!H$2:'Rankings'!H$1000,ROW()),Rankings!H$2:'Rankings'!H$1000,0))</f>
        <v>Cosmi Palmisano</v>
      </c>
      <c r="D163" t="str">
        <f>INDEX(Rankings!C$2:'Rankings'!C$1149,MATCH(SMALL(Rankings!H$2:'Rankings'!H$1000,ROW()),Rankings!H$2:'Rankings'!H$1000,0))</f>
        <v>Cosmi Palmisano</v>
      </c>
      <c r="G163" t="str">
        <f>INDEX(Rankings!C$2:'Rankings'!C$1149,MATCH(SMALL(Rankings!H$2:'Rankings'!H$1000,ROW()),Rankings!H$2:'Rankings'!H$1000,0))</f>
        <v>Cosmi Palmisano</v>
      </c>
    </row>
    <row r="164" spans="2:7" hidden="1" outlineLevel="1" x14ac:dyDescent="0.25">
      <c r="B164" t="str">
        <f>INDEX(Rankings!C$2:'Rankings'!C$1149,MATCH(SMALL(Rankings!H$2:'Rankings'!H$1000,ROW()),Rankings!H$2:'Rankings'!H$1000,0))</f>
        <v>Cotter Michaels</v>
      </c>
      <c r="C164" t="str">
        <f>INDEX(Rankings!C$2:'Rankings'!C$1149,MATCH(SMALL(Rankings!H$2:'Rankings'!H$1000,ROW()),Rankings!H$2:'Rankings'!H$1000,0))</f>
        <v>Cotter Michaels</v>
      </c>
      <c r="D164" t="str">
        <f>INDEX(Rankings!C$2:'Rankings'!C$1149,MATCH(SMALL(Rankings!H$2:'Rankings'!H$1000,ROW()),Rankings!H$2:'Rankings'!H$1000,0))</f>
        <v>Cotter Michaels</v>
      </c>
      <c r="G164" t="str">
        <f>INDEX(Rankings!C$2:'Rankings'!C$1149,MATCH(SMALL(Rankings!H$2:'Rankings'!H$1000,ROW()),Rankings!H$2:'Rankings'!H$1000,0))</f>
        <v>Cotter Michaels</v>
      </c>
    </row>
    <row r="165" spans="2:7" hidden="1" outlineLevel="1" x14ac:dyDescent="0.25">
      <c r="B165" t="str">
        <f>INDEX(Rankings!C$2:'Rankings'!C$1149,MATCH(SMALL(Rankings!H$2:'Rankings'!H$1000,ROW()),Rankings!H$2:'Rankings'!H$1000,0))</f>
        <v>Craig Simon</v>
      </c>
      <c r="C165" t="str">
        <f>INDEX(Rankings!C$2:'Rankings'!C$1149,MATCH(SMALL(Rankings!H$2:'Rankings'!H$1000,ROW()),Rankings!H$2:'Rankings'!H$1000,0))</f>
        <v>Craig Simon</v>
      </c>
      <c r="D165" t="str">
        <f>INDEX(Rankings!C$2:'Rankings'!C$1149,MATCH(SMALL(Rankings!H$2:'Rankings'!H$1000,ROW()),Rankings!H$2:'Rankings'!H$1000,0))</f>
        <v>Craig Simon</v>
      </c>
      <c r="G165" t="str">
        <f>INDEX(Rankings!C$2:'Rankings'!C$1149,MATCH(SMALL(Rankings!H$2:'Rankings'!H$1000,ROW()),Rankings!H$2:'Rankings'!H$1000,0))</f>
        <v>Craig Simon</v>
      </c>
    </row>
    <row r="166" spans="2:7" hidden="1" outlineLevel="1" x14ac:dyDescent="0.25">
      <c r="B166" t="str">
        <f>INDEX(Rankings!C$2:'Rankings'!C$1149,MATCH(SMALL(Rankings!H$2:'Rankings'!H$1000,ROW()),Rankings!H$2:'Rankings'!H$1000,0))</f>
        <v>Cristina Nicolardi</v>
      </c>
      <c r="C166" t="str">
        <f>INDEX(Rankings!C$2:'Rankings'!C$1149,MATCH(SMALL(Rankings!H$2:'Rankings'!H$1000,ROW()),Rankings!H$2:'Rankings'!H$1000,0))</f>
        <v>Cristina Nicolardi</v>
      </c>
      <c r="D166" t="str">
        <f>INDEX(Rankings!C$2:'Rankings'!C$1149,MATCH(SMALL(Rankings!H$2:'Rankings'!H$1000,ROW()),Rankings!H$2:'Rankings'!H$1000,0))</f>
        <v>Cristina Nicolardi</v>
      </c>
      <c r="G166" t="str">
        <f>INDEX(Rankings!C$2:'Rankings'!C$1149,MATCH(SMALL(Rankings!H$2:'Rankings'!H$1000,ROW()),Rankings!H$2:'Rankings'!H$1000,0))</f>
        <v>Cristina Nicolardi</v>
      </c>
    </row>
    <row r="167" spans="2:7" hidden="1" outlineLevel="1" x14ac:dyDescent="0.25">
      <c r="B167" t="str">
        <f>INDEX(Rankings!C$2:'Rankings'!C$1149,MATCH(SMALL(Rankings!H$2:'Rankings'!H$1000,ROW()),Rankings!H$2:'Rankings'!H$1000,0))</f>
        <v>Curran McCrory</v>
      </c>
      <c r="C167" t="str">
        <f>INDEX(Rankings!C$2:'Rankings'!C$1149,MATCH(SMALL(Rankings!H$2:'Rankings'!H$1000,ROW()),Rankings!H$2:'Rankings'!H$1000,0))</f>
        <v>Curran McCrory</v>
      </c>
      <c r="D167" t="str">
        <f>INDEX(Rankings!C$2:'Rankings'!C$1149,MATCH(SMALL(Rankings!H$2:'Rankings'!H$1000,ROW()),Rankings!H$2:'Rankings'!H$1000,0))</f>
        <v>Curran McCrory</v>
      </c>
      <c r="G167" t="str">
        <f>INDEX(Rankings!C$2:'Rankings'!C$1149,MATCH(SMALL(Rankings!H$2:'Rankings'!H$1000,ROW()),Rankings!H$2:'Rankings'!H$1000,0))</f>
        <v>Curran McCrory</v>
      </c>
    </row>
    <row r="168" spans="2:7" hidden="1" outlineLevel="1" x14ac:dyDescent="0.25">
      <c r="B168" t="str">
        <f>INDEX(Rankings!C$2:'Rankings'!C$1149,MATCH(SMALL(Rankings!H$2:'Rankings'!H$1000,ROW()),Rankings!H$2:'Rankings'!H$1000,0))</f>
        <v>Daisuke Kuroda</v>
      </c>
      <c r="C168" t="str">
        <f>INDEX(Rankings!C$2:'Rankings'!C$1149,MATCH(SMALL(Rankings!H$2:'Rankings'!H$1000,ROW()),Rankings!H$2:'Rankings'!H$1000,0))</f>
        <v>Daisuke Kuroda</v>
      </c>
      <c r="D168" t="str">
        <f>INDEX(Rankings!C$2:'Rankings'!C$1149,MATCH(SMALL(Rankings!H$2:'Rankings'!H$1000,ROW()),Rankings!H$2:'Rankings'!H$1000,0))</f>
        <v>Daisuke Kuroda</v>
      </c>
      <c r="G168" t="str">
        <f>INDEX(Rankings!C$2:'Rankings'!C$1149,MATCH(SMALL(Rankings!H$2:'Rankings'!H$1000,ROW()),Rankings!H$2:'Rankings'!H$1000,0))</f>
        <v>Daisuke Kuroda</v>
      </c>
    </row>
    <row r="169" spans="2:7" hidden="1" outlineLevel="1" x14ac:dyDescent="0.25">
      <c r="B169" t="str">
        <f>INDEX(Rankings!C$2:'Rankings'!C$1149,MATCH(SMALL(Rankings!H$2:'Rankings'!H$1000,ROW()),Rankings!H$2:'Rankings'!H$1000,0))</f>
        <v>Daisuke Shinkai</v>
      </c>
      <c r="C169" t="str">
        <f>INDEX(Rankings!C$2:'Rankings'!C$1149,MATCH(SMALL(Rankings!H$2:'Rankings'!H$1000,ROW()),Rankings!H$2:'Rankings'!H$1000,0))</f>
        <v>Daisuke Shinkai</v>
      </c>
      <c r="D169" t="str">
        <f>INDEX(Rankings!C$2:'Rankings'!C$1149,MATCH(SMALL(Rankings!H$2:'Rankings'!H$1000,ROW()),Rankings!H$2:'Rankings'!H$1000,0))</f>
        <v>Daisuke Shinkai</v>
      </c>
      <c r="G169" t="str">
        <f>INDEX(Rankings!C$2:'Rankings'!C$1149,MATCH(SMALL(Rankings!H$2:'Rankings'!H$1000,ROW()),Rankings!H$2:'Rankings'!H$1000,0))</f>
        <v>Daisuke Shinkai</v>
      </c>
    </row>
    <row r="170" spans="2:7" hidden="1" outlineLevel="1" x14ac:dyDescent="0.25">
      <c r="B170" t="str">
        <f>INDEX(Rankings!C$2:'Rankings'!C$1149,MATCH(SMALL(Rankings!H$2:'Rankings'!H$1000,ROW()),Rankings!H$2:'Rankings'!H$1000,0))</f>
        <v>Dale Crawford</v>
      </c>
      <c r="C170" t="str">
        <f>INDEX(Rankings!C$2:'Rankings'!C$1149,MATCH(SMALL(Rankings!H$2:'Rankings'!H$1000,ROW()),Rankings!H$2:'Rankings'!H$1000,0))</f>
        <v>Dale Crawford</v>
      </c>
      <c r="D170" t="str">
        <f>INDEX(Rankings!C$2:'Rankings'!C$1149,MATCH(SMALL(Rankings!H$2:'Rankings'!H$1000,ROW()),Rankings!H$2:'Rankings'!H$1000,0))</f>
        <v>Dale Crawford</v>
      </c>
      <c r="G170" t="str">
        <f>INDEX(Rankings!C$2:'Rankings'!C$1149,MATCH(SMALL(Rankings!H$2:'Rankings'!H$1000,ROW()),Rankings!H$2:'Rankings'!H$1000,0))</f>
        <v>Dale Crawford</v>
      </c>
    </row>
    <row r="171" spans="2:7" hidden="1" outlineLevel="1" x14ac:dyDescent="0.25">
      <c r="B171" t="str">
        <f>INDEX(Rankings!C$2:'Rankings'!C$1149,MATCH(SMALL(Rankings!H$2:'Rankings'!H$1000,ROW()),Rankings!H$2:'Rankings'!H$1000,0))</f>
        <v>Dan Berman</v>
      </c>
      <c r="C171" t="str">
        <f>INDEX(Rankings!C$2:'Rankings'!C$1149,MATCH(SMALL(Rankings!H$2:'Rankings'!H$1000,ROW()),Rankings!H$2:'Rankings'!H$1000,0))</f>
        <v>Dan Berman</v>
      </c>
      <c r="D171" t="str">
        <f>INDEX(Rankings!C$2:'Rankings'!C$1149,MATCH(SMALL(Rankings!H$2:'Rankings'!H$1000,ROW()),Rankings!H$2:'Rankings'!H$1000,0))</f>
        <v>Dan Berman</v>
      </c>
      <c r="G171" t="str">
        <f>INDEX(Rankings!C$2:'Rankings'!C$1149,MATCH(SMALL(Rankings!H$2:'Rankings'!H$1000,ROW()),Rankings!H$2:'Rankings'!H$1000,0))</f>
        <v>Dan Berman</v>
      </c>
    </row>
    <row r="172" spans="2:7" hidden="1" outlineLevel="1" x14ac:dyDescent="0.25">
      <c r="B172" t="str">
        <f>INDEX(Rankings!C$2:'Rankings'!C$1149,MATCH(SMALL(Rankings!H$2:'Rankings'!H$1000,ROW()),Rankings!H$2:'Rankings'!H$1000,0))</f>
        <v>Dan Burke</v>
      </c>
      <c r="C172" t="str">
        <f>INDEX(Rankings!C$2:'Rankings'!C$1149,MATCH(SMALL(Rankings!H$2:'Rankings'!H$1000,ROW()),Rankings!H$2:'Rankings'!H$1000,0))</f>
        <v>Dan Burke</v>
      </c>
      <c r="D172" t="str">
        <f>INDEX(Rankings!C$2:'Rankings'!C$1149,MATCH(SMALL(Rankings!H$2:'Rankings'!H$1000,ROW()),Rankings!H$2:'Rankings'!H$1000,0))</f>
        <v>Dan Burke</v>
      </c>
      <c r="G172" t="str">
        <f>INDEX(Rankings!C$2:'Rankings'!C$1149,MATCH(SMALL(Rankings!H$2:'Rankings'!H$1000,ROW()),Rankings!H$2:'Rankings'!H$1000,0))</f>
        <v>Dan Burke</v>
      </c>
    </row>
    <row r="173" spans="2:7" hidden="1" outlineLevel="1" x14ac:dyDescent="0.25">
      <c r="B173" t="str">
        <f>INDEX(Rankings!C$2:'Rankings'!C$1149,MATCH(SMALL(Rankings!H$2:'Rankings'!H$1000,ROW()),Rankings!H$2:'Rankings'!H$1000,0))</f>
        <v>Dan Exelby</v>
      </c>
      <c r="C173" t="str">
        <f>INDEX(Rankings!C$2:'Rankings'!C$1149,MATCH(SMALL(Rankings!H$2:'Rankings'!H$1000,ROW()),Rankings!H$2:'Rankings'!H$1000,0))</f>
        <v>Dan Exelby</v>
      </c>
      <c r="D173" t="str">
        <f>INDEX(Rankings!C$2:'Rankings'!C$1149,MATCH(SMALL(Rankings!H$2:'Rankings'!H$1000,ROW()),Rankings!H$2:'Rankings'!H$1000,0))</f>
        <v>Dan Exelby</v>
      </c>
      <c r="G173" t="str">
        <f>INDEX(Rankings!C$2:'Rankings'!C$1149,MATCH(SMALL(Rankings!H$2:'Rankings'!H$1000,ROW()),Rankings!H$2:'Rankings'!H$1000,0))</f>
        <v>Dan Exelby</v>
      </c>
    </row>
    <row r="174" spans="2:7" hidden="1" outlineLevel="1" x14ac:dyDescent="0.25">
      <c r="B174" t="str">
        <f>INDEX(Rankings!C$2:'Rankings'!C$1149,MATCH(SMALL(Rankings!H$2:'Rankings'!H$1000,ROW()),Rankings!H$2:'Rankings'!H$1000,0))</f>
        <v>Dan Lustiger</v>
      </c>
      <c r="C174" t="str">
        <f>INDEX(Rankings!C$2:'Rankings'!C$1149,MATCH(SMALL(Rankings!H$2:'Rankings'!H$1000,ROW()),Rankings!H$2:'Rankings'!H$1000,0))</f>
        <v>Dan Lustiger</v>
      </c>
      <c r="D174" t="str">
        <f>INDEX(Rankings!C$2:'Rankings'!C$1149,MATCH(SMALL(Rankings!H$2:'Rankings'!H$1000,ROW()),Rankings!H$2:'Rankings'!H$1000,0))</f>
        <v>Dan Lustiger</v>
      </c>
      <c r="G174" t="str">
        <f>INDEX(Rankings!C$2:'Rankings'!C$1149,MATCH(SMALL(Rankings!H$2:'Rankings'!H$1000,ROW()),Rankings!H$2:'Rankings'!H$1000,0))</f>
        <v>Dan Lustiger</v>
      </c>
    </row>
    <row r="175" spans="2:7" hidden="1" outlineLevel="1" x14ac:dyDescent="0.25">
      <c r="B175" t="str">
        <f>INDEX(Rankings!C$2:'Rankings'!C$1149,MATCH(SMALL(Rankings!H$2:'Rankings'!H$1000,ROW()),Rankings!H$2:'Rankings'!H$1000,0))</f>
        <v>Dan Magallanes</v>
      </c>
      <c r="C175" t="str">
        <f>INDEX(Rankings!C$2:'Rankings'!C$1149,MATCH(SMALL(Rankings!H$2:'Rankings'!H$1000,ROW()),Rankings!H$2:'Rankings'!H$1000,0))</f>
        <v>Dan Magallanes</v>
      </c>
      <c r="D175" t="str">
        <f>INDEX(Rankings!C$2:'Rankings'!C$1149,MATCH(SMALL(Rankings!H$2:'Rankings'!H$1000,ROW()),Rankings!H$2:'Rankings'!H$1000,0))</f>
        <v>Dan Magallanes</v>
      </c>
      <c r="G175" t="str">
        <f>INDEX(Rankings!C$2:'Rankings'!C$1149,MATCH(SMALL(Rankings!H$2:'Rankings'!H$1000,ROW()),Rankings!H$2:'Rankings'!H$1000,0))</f>
        <v>Dan Magallanes</v>
      </c>
    </row>
    <row r="176" spans="2:7" hidden="1" outlineLevel="1" x14ac:dyDescent="0.25">
      <c r="B176" t="str">
        <f>INDEX(Rankings!C$2:'Rankings'!C$1149,MATCH(SMALL(Rankings!H$2:'Rankings'!H$1000,ROW()),Rankings!H$2:'Rankings'!H$1000,0))</f>
        <v>Dan Roddick</v>
      </c>
      <c r="C176" t="str">
        <f>INDEX(Rankings!C$2:'Rankings'!C$1149,MATCH(SMALL(Rankings!H$2:'Rankings'!H$1000,ROW()),Rankings!H$2:'Rankings'!H$1000,0))</f>
        <v>Dan Roddick</v>
      </c>
      <c r="D176" t="str">
        <f>INDEX(Rankings!C$2:'Rankings'!C$1149,MATCH(SMALL(Rankings!H$2:'Rankings'!H$1000,ROW()),Rankings!H$2:'Rankings'!H$1000,0))</f>
        <v>Dan Roddick</v>
      </c>
      <c r="G176" t="str">
        <f>INDEX(Rankings!C$2:'Rankings'!C$1149,MATCH(SMALL(Rankings!H$2:'Rankings'!H$1000,ROW()),Rankings!H$2:'Rankings'!H$1000,0))</f>
        <v>Dan Roddick</v>
      </c>
    </row>
    <row r="177" spans="2:7" hidden="1" outlineLevel="1" x14ac:dyDescent="0.25">
      <c r="B177" t="str">
        <f>INDEX(Rankings!C$2:'Rankings'!C$1149,MATCH(SMALL(Rankings!H$2:'Rankings'!H$1000,ROW()),Rankings!H$2:'Rankings'!H$1000,0))</f>
        <v>Dan Schmitt</v>
      </c>
      <c r="C177" t="str">
        <f>INDEX(Rankings!C$2:'Rankings'!C$1149,MATCH(SMALL(Rankings!H$2:'Rankings'!H$1000,ROW()),Rankings!H$2:'Rankings'!H$1000,0))</f>
        <v>Dan Schmitt</v>
      </c>
      <c r="D177" t="str">
        <f>INDEX(Rankings!C$2:'Rankings'!C$1149,MATCH(SMALL(Rankings!H$2:'Rankings'!H$1000,ROW()),Rankings!H$2:'Rankings'!H$1000,0))</f>
        <v>Dan Schmitt</v>
      </c>
      <c r="G177" t="str">
        <f>INDEX(Rankings!C$2:'Rankings'!C$1149,MATCH(SMALL(Rankings!H$2:'Rankings'!H$1000,ROW()),Rankings!H$2:'Rankings'!H$1000,0))</f>
        <v>Dan Schmitt</v>
      </c>
    </row>
    <row r="178" spans="2:7" hidden="1" outlineLevel="1" x14ac:dyDescent="0.25">
      <c r="B178" t="str">
        <f>INDEX(Rankings!C$2:'Rankings'!C$1149,MATCH(SMALL(Rankings!H$2:'Rankings'!H$1000,ROW()),Rankings!H$2:'Rankings'!H$1000,0))</f>
        <v>Dan Yarnell</v>
      </c>
      <c r="C178" t="str">
        <f>INDEX(Rankings!C$2:'Rankings'!C$1149,MATCH(SMALL(Rankings!H$2:'Rankings'!H$1000,ROW()),Rankings!H$2:'Rankings'!H$1000,0))</f>
        <v>Dan Yarnell</v>
      </c>
      <c r="D178" t="str">
        <f>INDEX(Rankings!C$2:'Rankings'!C$1149,MATCH(SMALL(Rankings!H$2:'Rankings'!H$1000,ROW()),Rankings!H$2:'Rankings'!H$1000,0))</f>
        <v>Dan Yarnell</v>
      </c>
      <c r="G178" t="str">
        <f>INDEX(Rankings!C$2:'Rankings'!C$1149,MATCH(SMALL(Rankings!H$2:'Rankings'!H$1000,ROW()),Rankings!H$2:'Rankings'!H$1000,0))</f>
        <v>Dan Yarnell</v>
      </c>
    </row>
    <row r="179" spans="2:7" hidden="1" outlineLevel="1" x14ac:dyDescent="0.25">
      <c r="B179" t="str">
        <f>INDEX(Rankings!C$2:'Rankings'!C$1149,MATCH(SMALL(Rankings!H$2:'Rankings'!H$1000,ROW()),Rankings!H$2:'Rankings'!H$1000,0))</f>
        <v>Daniel Hernandez</v>
      </c>
      <c r="C179" t="str">
        <f>INDEX(Rankings!C$2:'Rankings'!C$1149,MATCH(SMALL(Rankings!H$2:'Rankings'!H$1000,ROW()),Rankings!H$2:'Rankings'!H$1000,0))</f>
        <v>Daniel Hernandez</v>
      </c>
      <c r="D179" t="str">
        <f>INDEX(Rankings!C$2:'Rankings'!C$1149,MATCH(SMALL(Rankings!H$2:'Rankings'!H$1000,ROW()),Rankings!H$2:'Rankings'!H$1000,0))</f>
        <v>Daniel Hernandez</v>
      </c>
      <c r="G179" t="str">
        <f>INDEX(Rankings!C$2:'Rankings'!C$1149,MATCH(SMALL(Rankings!H$2:'Rankings'!H$1000,ROW()),Rankings!H$2:'Rankings'!H$1000,0))</f>
        <v>Daniel Hernandez</v>
      </c>
    </row>
    <row r="180" spans="2:7" hidden="1" outlineLevel="1" x14ac:dyDescent="0.25">
      <c r="B180" t="str">
        <f>INDEX(Rankings!C$2:'Rankings'!C$1149,MATCH(SMALL(Rankings!H$2:'Rankings'!H$1000,ROW()),Rankings!H$2:'Rankings'!H$1000,0))</f>
        <v>Daniel Nothaas</v>
      </c>
      <c r="C180" t="str">
        <f>INDEX(Rankings!C$2:'Rankings'!C$1149,MATCH(SMALL(Rankings!H$2:'Rankings'!H$1000,ROW()),Rankings!H$2:'Rankings'!H$1000,0))</f>
        <v>Daniel Nothaas</v>
      </c>
      <c r="D180" t="str">
        <f>INDEX(Rankings!C$2:'Rankings'!C$1149,MATCH(SMALL(Rankings!H$2:'Rankings'!H$1000,ROW()),Rankings!H$2:'Rankings'!H$1000,0))</f>
        <v>Daniel Nothaas</v>
      </c>
      <c r="G180" t="str">
        <f>INDEX(Rankings!C$2:'Rankings'!C$1149,MATCH(SMALL(Rankings!H$2:'Rankings'!H$1000,ROW()),Rankings!H$2:'Rankings'!H$1000,0))</f>
        <v>Daniel Nothaas</v>
      </c>
    </row>
    <row r="181" spans="2:7" hidden="1" outlineLevel="1" x14ac:dyDescent="0.25">
      <c r="B181" t="str">
        <f>INDEX(Rankings!C$2:'Rankings'!C$1149,MATCH(SMALL(Rankings!H$2:'Rankings'!H$1000,ROW()),Rankings!H$2:'Rankings'!H$1000,0))</f>
        <v>Daniel O'Neill</v>
      </c>
      <c r="C181" t="str">
        <f>INDEX(Rankings!C$2:'Rankings'!C$1149,MATCH(SMALL(Rankings!H$2:'Rankings'!H$1000,ROW()),Rankings!H$2:'Rankings'!H$1000,0))</f>
        <v>Daniel O'Neill</v>
      </c>
      <c r="D181" t="str">
        <f>INDEX(Rankings!C$2:'Rankings'!C$1149,MATCH(SMALL(Rankings!H$2:'Rankings'!H$1000,ROW()),Rankings!H$2:'Rankings'!H$1000,0))</f>
        <v>Daniel O'Neill</v>
      </c>
      <c r="G181" t="str">
        <f>INDEX(Rankings!C$2:'Rankings'!C$1149,MATCH(SMALL(Rankings!H$2:'Rankings'!H$1000,ROW()),Rankings!H$2:'Rankings'!H$1000,0))</f>
        <v>Daniel O'Neill</v>
      </c>
    </row>
    <row r="182" spans="2:7" hidden="1" outlineLevel="1" x14ac:dyDescent="0.25">
      <c r="B182" t="str">
        <f>INDEX(Rankings!C$2:'Rankings'!C$1149,MATCH(SMALL(Rankings!H$2:'Rankings'!H$1000,ROW()),Rankings!H$2:'Rankings'!H$1000,0))</f>
        <v>Daniel Reichert</v>
      </c>
      <c r="C182" t="str">
        <f>INDEX(Rankings!C$2:'Rankings'!C$1149,MATCH(SMALL(Rankings!H$2:'Rankings'!H$1000,ROW()),Rankings!H$2:'Rankings'!H$1000,0))</f>
        <v>Daniel Reichert</v>
      </c>
      <c r="D182" t="str">
        <f>INDEX(Rankings!C$2:'Rankings'!C$1149,MATCH(SMALL(Rankings!H$2:'Rankings'!H$1000,ROW()),Rankings!H$2:'Rankings'!H$1000,0))</f>
        <v>Daniel Reichert</v>
      </c>
      <c r="G182" t="str">
        <f>INDEX(Rankings!C$2:'Rankings'!C$1149,MATCH(SMALL(Rankings!H$2:'Rankings'!H$1000,ROW()),Rankings!H$2:'Rankings'!H$1000,0))</f>
        <v>Daniel Reichert</v>
      </c>
    </row>
    <row r="183" spans="2:7" hidden="1" outlineLevel="1" x14ac:dyDescent="0.25">
      <c r="B183" t="str">
        <f>INDEX(Rankings!C$2:'Rankings'!C$1149,MATCH(SMALL(Rankings!H$2:'Rankings'!H$1000,ROW()),Rankings!H$2:'Rankings'!H$1000,0))</f>
        <v>Daniel Sorgatz</v>
      </c>
      <c r="C183" t="str">
        <f>INDEX(Rankings!C$2:'Rankings'!C$1149,MATCH(SMALL(Rankings!H$2:'Rankings'!H$1000,ROW()),Rankings!H$2:'Rankings'!H$1000,0))</f>
        <v>Daniel Sorgatz</v>
      </c>
      <c r="D183" t="str">
        <f>INDEX(Rankings!C$2:'Rankings'!C$1149,MATCH(SMALL(Rankings!H$2:'Rankings'!H$1000,ROW()),Rankings!H$2:'Rankings'!H$1000,0))</f>
        <v>Daniel Sorgatz</v>
      </c>
      <c r="G183" t="str">
        <f>INDEX(Rankings!C$2:'Rankings'!C$1149,MATCH(SMALL(Rankings!H$2:'Rankings'!H$1000,ROW()),Rankings!H$2:'Rankings'!H$1000,0))</f>
        <v>Daniel Sorgatz</v>
      </c>
    </row>
    <row r="184" spans="2:7" hidden="1" outlineLevel="1" x14ac:dyDescent="0.25">
      <c r="B184" t="str">
        <f>INDEX(Rankings!C$2:'Rankings'!C$1149,MATCH(SMALL(Rankings!H$2:'Rankings'!H$1000,ROW()),Rankings!H$2:'Rankings'!H$1000,0))</f>
        <v>Daniel Weinbruch</v>
      </c>
      <c r="C184" t="str">
        <f>INDEX(Rankings!C$2:'Rankings'!C$1149,MATCH(SMALL(Rankings!H$2:'Rankings'!H$1000,ROW()),Rankings!H$2:'Rankings'!H$1000,0))</f>
        <v>Daniel Weinbruch</v>
      </c>
      <c r="D184" t="str">
        <f>INDEX(Rankings!C$2:'Rankings'!C$1149,MATCH(SMALL(Rankings!H$2:'Rankings'!H$1000,ROW()),Rankings!H$2:'Rankings'!H$1000,0))</f>
        <v>Daniel Weinbruch</v>
      </c>
      <c r="G184" t="str">
        <f>INDEX(Rankings!C$2:'Rankings'!C$1149,MATCH(SMALL(Rankings!H$2:'Rankings'!H$1000,ROW()),Rankings!H$2:'Rankings'!H$1000,0))</f>
        <v>Daniel Weinbruch</v>
      </c>
    </row>
    <row r="185" spans="2:7" hidden="1" outlineLevel="1" x14ac:dyDescent="0.25">
      <c r="B185" t="str">
        <f>INDEX(Rankings!C$2:'Rankings'!C$1149,MATCH(SMALL(Rankings!H$2:'Rankings'!H$1000,ROW()),Rankings!H$2:'Rankings'!H$1000,0))</f>
        <v>Daniele Circensi</v>
      </c>
      <c r="C185" t="str">
        <f>INDEX(Rankings!C$2:'Rankings'!C$1149,MATCH(SMALL(Rankings!H$2:'Rankings'!H$1000,ROW()),Rankings!H$2:'Rankings'!H$1000,0))</f>
        <v>Daniele Circensi</v>
      </c>
      <c r="D185" t="str">
        <f>INDEX(Rankings!C$2:'Rankings'!C$1149,MATCH(SMALL(Rankings!H$2:'Rankings'!H$1000,ROW()),Rankings!H$2:'Rankings'!H$1000,0))</f>
        <v>Daniele Circensi</v>
      </c>
      <c r="G185" t="str">
        <f>INDEX(Rankings!C$2:'Rankings'!C$1149,MATCH(SMALL(Rankings!H$2:'Rankings'!H$1000,ROW()),Rankings!H$2:'Rankings'!H$1000,0))</f>
        <v>Daniele Circensi</v>
      </c>
    </row>
    <row r="186" spans="2:7" hidden="1" outlineLevel="1" x14ac:dyDescent="0.25">
      <c r="B186" t="str">
        <f>INDEX(Rankings!C$2:'Rankings'!C$1149,MATCH(SMALL(Rankings!H$2:'Rankings'!H$1000,ROW()),Rankings!H$2:'Rankings'!H$1000,0))</f>
        <v>Daniele Malaguzzi</v>
      </c>
      <c r="C186" t="str">
        <f>INDEX(Rankings!C$2:'Rankings'!C$1149,MATCH(SMALL(Rankings!H$2:'Rankings'!H$1000,ROW()),Rankings!H$2:'Rankings'!H$1000,0))</f>
        <v>Daniele Malaguzzi</v>
      </c>
      <c r="D186" t="str">
        <f>INDEX(Rankings!C$2:'Rankings'!C$1149,MATCH(SMALL(Rankings!H$2:'Rankings'!H$1000,ROW()),Rankings!H$2:'Rankings'!H$1000,0))</f>
        <v>Daniele Malaguzzi</v>
      </c>
      <c r="G186" t="str">
        <f>INDEX(Rankings!C$2:'Rankings'!C$1149,MATCH(SMALL(Rankings!H$2:'Rankings'!H$1000,ROW()),Rankings!H$2:'Rankings'!H$1000,0))</f>
        <v>Daniele Malaguzzi</v>
      </c>
    </row>
    <row r="187" spans="2:7" hidden="1" outlineLevel="1" x14ac:dyDescent="0.25">
      <c r="B187" t="str">
        <f>INDEX(Rankings!C$2:'Rankings'!C$1149,MATCH(SMALL(Rankings!H$2:'Rankings'!H$1000,ROW()),Rankings!H$2:'Rankings'!H$1000,0))</f>
        <v>Daniele Sancini</v>
      </c>
      <c r="C187" t="str">
        <f>INDEX(Rankings!C$2:'Rankings'!C$1149,MATCH(SMALL(Rankings!H$2:'Rankings'!H$1000,ROW()),Rankings!H$2:'Rankings'!H$1000,0))</f>
        <v>Daniele Sancini</v>
      </c>
      <c r="D187" t="str">
        <f>INDEX(Rankings!C$2:'Rankings'!C$1149,MATCH(SMALL(Rankings!H$2:'Rankings'!H$1000,ROW()),Rankings!H$2:'Rankings'!H$1000,0))</f>
        <v>Daniele Sancini</v>
      </c>
      <c r="G187" t="str">
        <f>INDEX(Rankings!C$2:'Rankings'!C$1149,MATCH(SMALL(Rankings!H$2:'Rankings'!H$1000,ROW()),Rankings!H$2:'Rankings'!H$1000,0))</f>
        <v>Daniele Sancini</v>
      </c>
    </row>
    <row r="188" spans="2:7" hidden="1" outlineLevel="1" x14ac:dyDescent="0.25">
      <c r="B188" t="str">
        <f>INDEX(Rankings!C$2:'Rankings'!C$1149,MATCH(SMALL(Rankings!H$2:'Rankings'!H$1000,ROW()),Rankings!H$2:'Rankings'!H$1000,0))</f>
        <v>Danilo Torzolini</v>
      </c>
      <c r="C188" t="str">
        <f>INDEX(Rankings!C$2:'Rankings'!C$1149,MATCH(SMALL(Rankings!H$2:'Rankings'!H$1000,ROW()),Rankings!H$2:'Rankings'!H$1000,0))</f>
        <v>Danilo Torzolini</v>
      </c>
      <c r="D188" t="str">
        <f>INDEX(Rankings!C$2:'Rankings'!C$1149,MATCH(SMALL(Rankings!H$2:'Rankings'!H$1000,ROW()),Rankings!H$2:'Rankings'!H$1000,0))</f>
        <v>Danilo Torzolini</v>
      </c>
      <c r="G188" t="str">
        <f>INDEX(Rankings!C$2:'Rankings'!C$1149,MATCH(SMALL(Rankings!H$2:'Rankings'!H$1000,ROW()),Rankings!H$2:'Rankings'!H$1000,0))</f>
        <v>Danilo Torzolini</v>
      </c>
    </row>
    <row r="189" spans="2:7" hidden="1" outlineLevel="1" x14ac:dyDescent="0.25">
      <c r="B189" t="str">
        <f>INDEX(Rankings!C$2:'Rankings'!C$1149,MATCH(SMALL(Rankings!H$2:'Rankings'!H$1000,ROW()),Rankings!H$2:'Rankings'!H$1000,0))</f>
        <v>Danny Cameranesi</v>
      </c>
      <c r="C189" t="str">
        <f>INDEX(Rankings!C$2:'Rankings'!C$1149,MATCH(SMALL(Rankings!H$2:'Rankings'!H$1000,ROW()),Rankings!H$2:'Rankings'!H$1000,0))</f>
        <v>Danny Cameranesi</v>
      </c>
      <c r="D189" t="str">
        <f>INDEX(Rankings!C$2:'Rankings'!C$1149,MATCH(SMALL(Rankings!H$2:'Rankings'!H$1000,ROW()),Rankings!H$2:'Rankings'!H$1000,0))</f>
        <v>Danny Cameranesi</v>
      </c>
      <c r="G189" t="str">
        <f>INDEX(Rankings!C$2:'Rankings'!C$1149,MATCH(SMALL(Rankings!H$2:'Rankings'!H$1000,ROW()),Rankings!H$2:'Rankings'!H$1000,0))</f>
        <v>Danny Cameranesi</v>
      </c>
    </row>
    <row r="190" spans="2:7" hidden="1" outlineLevel="1" x14ac:dyDescent="0.25">
      <c r="B190" t="str">
        <f>INDEX(Rankings!C$2:'Rankings'!C$1149,MATCH(SMALL(Rankings!H$2:'Rankings'!H$1000,ROW()),Rankings!H$2:'Rankings'!H$1000,0))</f>
        <v>Danny Miles</v>
      </c>
      <c r="C190" t="str">
        <f>INDEX(Rankings!C$2:'Rankings'!C$1149,MATCH(SMALL(Rankings!H$2:'Rankings'!H$1000,ROW()),Rankings!H$2:'Rankings'!H$1000,0))</f>
        <v>Danny Miles</v>
      </c>
      <c r="D190" t="str">
        <f>INDEX(Rankings!C$2:'Rankings'!C$1149,MATCH(SMALL(Rankings!H$2:'Rankings'!H$1000,ROW()),Rankings!H$2:'Rankings'!H$1000,0))</f>
        <v>Danny Miles</v>
      </c>
      <c r="G190" t="str">
        <f>INDEX(Rankings!C$2:'Rankings'!C$1149,MATCH(SMALL(Rankings!H$2:'Rankings'!H$1000,ROW()),Rankings!H$2:'Rankings'!H$1000,0))</f>
        <v>Danny Miles</v>
      </c>
    </row>
    <row r="191" spans="2:7" hidden="1" outlineLevel="1" x14ac:dyDescent="0.25">
      <c r="B191" t="str">
        <f>INDEX(Rankings!C$2:'Rankings'!C$1149,MATCH(SMALL(Rankings!H$2:'Rankings'!H$1000,ROW()),Rankings!H$2:'Rankings'!H$1000,0))</f>
        <v>Dario Giusti</v>
      </c>
      <c r="C191" t="str">
        <f>INDEX(Rankings!C$2:'Rankings'!C$1149,MATCH(SMALL(Rankings!H$2:'Rankings'!H$1000,ROW()),Rankings!H$2:'Rankings'!H$1000,0))</f>
        <v>Dario Giusti</v>
      </c>
      <c r="D191" t="str">
        <f>INDEX(Rankings!C$2:'Rankings'!C$1149,MATCH(SMALL(Rankings!H$2:'Rankings'!H$1000,ROW()),Rankings!H$2:'Rankings'!H$1000,0))</f>
        <v>Dario Giusti</v>
      </c>
      <c r="G191" t="str">
        <f>INDEX(Rankings!C$2:'Rankings'!C$1149,MATCH(SMALL(Rankings!H$2:'Rankings'!H$1000,ROW()),Rankings!H$2:'Rankings'!H$1000,0))</f>
        <v>Dario Giusti</v>
      </c>
    </row>
    <row r="192" spans="2:7" hidden="1" outlineLevel="1" x14ac:dyDescent="0.25">
      <c r="B192" t="str">
        <f>INDEX(Rankings!C$2:'Rankings'!C$1149,MATCH(SMALL(Rankings!H$2:'Rankings'!H$1000,ROW()),Rankings!H$2:'Rankings'!H$1000,0))</f>
        <v>Dario Marioni</v>
      </c>
      <c r="C192" t="str">
        <f>INDEX(Rankings!C$2:'Rankings'!C$1149,MATCH(SMALL(Rankings!H$2:'Rankings'!H$1000,ROW()),Rankings!H$2:'Rankings'!H$1000,0))</f>
        <v>Dario Marioni</v>
      </c>
      <c r="D192" t="str">
        <f>INDEX(Rankings!C$2:'Rankings'!C$1149,MATCH(SMALL(Rankings!H$2:'Rankings'!H$1000,ROW()),Rankings!H$2:'Rankings'!H$1000,0))</f>
        <v>Dario Marioni</v>
      </c>
      <c r="G192" t="str">
        <f>INDEX(Rankings!C$2:'Rankings'!C$1149,MATCH(SMALL(Rankings!H$2:'Rankings'!H$1000,ROW()),Rankings!H$2:'Rankings'!H$1000,0))</f>
        <v>Dario Marioni</v>
      </c>
    </row>
    <row r="193" spans="2:7" hidden="1" outlineLevel="1" x14ac:dyDescent="0.25">
      <c r="B193" t="str">
        <f>INDEX(Rankings!C$2:'Rankings'!C$1149,MATCH(SMALL(Rankings!H$2:'Rankings'!H$1000,ROW()),Rankings!H$2:'Rankings'!H$1000,0))</f>
        <v>Dario Scaramucci</v>
      </c>
      <c r="C193" t="str">
        <f>INDEX(Rankings!C$2:'Rankings'!C$1149,MATCH(SMALL(Rankings!H$2:'Rankings'!H$1000,ROW()),Rankings!H$2:'Rankings'!H$1000,0))</f>
        <v>Dario Scaramucci</v>
      </c>
      <c r="D193" t="str">
        <f>INDEX(Rankings!C$2:'Rankings'!C$1149,MATCH(SMALL(Rankings!H$2:'Rankings'!H$1000,ROW()),Rankings!H$2:'Rankings'!H$1000,0))</f>
        <v>Dario Scaramucci</v>
      </c>
      <c r="G193" t="str">
        <f>INDEX(Rankings!C$2:'Rankings'!C$1149,MATCH(SMALL(Rankings!H$2:'Rankings'!H$1000,ROW()),Rankings!H$2:'Rankings'!H$1000,0))</f>
        <v>Dario Scaramucci</v>
      </c>
    </row>
    <row r="194" spans="2:7" hidden="1" outlineLevel="1" x14ac:dyDescent="0.25">
      <c r="B194" t="str">
        <f>INDEX(Rankings!C$2:'Rankings'!C$1149,MATCH(SMALL(Rankings!H$2:'Rankings'!H$1000,ROW()),Rankings!H$2:'Rankings'!H$1000,0))</f>
        <v>Darryl Allen</v>
      </c>
      <c r="C194" t="str">
        <f>INDEX(Rankings!C$2:'Rankings'!C$1149,MATCH(SMALL(Rankings!H$2:'Rankings'!H$1000,ROW()),Rankings!H$2:'Rankings'!H$1000,0))</f>
        <v>Darryl Allen</v>
      </c>
      <c r="D194" t="str">
        <f>INDEX(Rankings!C$2:'Rankings'!C$1149,MATCH(SMALL(Rankings!H$2:'Rankings'!H$1000,ROW()),Rankings!H$2:'Rankings'!H$1000,0))</f>
        <v>Darryl Allen</v>
      </c>
      <c r="G194" t="str">
        <f>INDEX(Rankings!C$2:'Rankings'!C$1149,MATCH(SMALL(Rankings!H$2:'Rankings'!H$1000,ROW()),Rankings!H$2:'Rankings'!H$1000,0))</f>
        <v>Darryl Allen</v>
      </c>
    </row>
    <row r="195" spans="2:7" hidden="1" outlineLevel="1" x14ac:dyDescent="0.25">
      <c r="B195" t="str">
        <f>INDEX(Rankings!C$2:'Rankings'!C$1149,MATCH(SMALL(Rankings!H$2:'Rankings'!H$1000,ROW()),Rankings!H$2:'Rankings'!H$1000,0))</f>
        <v>Dave Bailey</v>
      </c>
      <c r="C195" t="str">
        <f>INDEX(Rankings!C$2:'Rankings'!C$1149,MATCH(SMALL(Rankings!H$2:'Rankings'!H$1000,ROW()),Rankings!H$2:'Rankings'!H$1000,0))</f>
        <v>Dave Bailey</v>
      </c>
      <c r="D195" t="str">
        <f>INDEX(Rankings!C$2:'Rankings'!C$1149,MATCH(SMALL(Rankings!H$2:'Rankings'!H$1000,ROW()),Rankings!H$2:'Rankings'!H$1000,0))</f>
        <v>Dave Bailey</v>
      </c>
      <c r="G195" t="str">
        <f>INDEX(Rankings!C$2:'Rankings'!C$1149,MATCH(SMALL(Rankings!H$2:'Rankings'!H$1000,ROW()),Rankings!H$2:'Rankings'!H$1000,0))</f>
        <v>Dave Bailey</v>
      </c>
    </row>
    <row r="196" spans="2:7" hidden="1" outlineLevel="1" x14ac:dyDescent="0.25">
      <c r="B196" t="str">
        <f>INDEX(Rankings!C$2:'Rankings'!C$1149,MATCH(SMALL(Rankings!H$2:'Rankings'!H$1000,ROW()),Rankings!H$2:'Rankings'!H$1000,0))</f>
        <v>Dave Bogenhagen</v>
      </c>
      <c r="C196" t="str">
        <f>INDEX(Rankings!C$2:'Rankings'!C$1149,MATCH(SMALL(Rankings!H$2:'Rankings'!H$1000,ROW()),Rankings!H$2:'Rankings'!H$1000,0))</f>
        <v>Dave Bogenhagen</v>
      </c>
      <c r="D196" t="str">
        <f>INDEX(Rankings!C$2:'Rankings'!C$1149,MATCH(SMALL(Rankings!H$2:'Rankings'!H$1000,ROW()),Rankings!H$2:'Rankings'!H$1000,0))</f>
        <v>Dave Bogenhagen</v>
      </c>
      <c r="G196" t="str">
        <f>INDEX(Rankings!C$2:'Rankings'!C$1149,MATCH(SMALL(Rankings!H$2:'Rankings'!H$1000,ROW()),Rankings!H$2:'Rankings'!H$1000,0))</f>
        <v>Dave Bogenhagen</v>
      </c>
    </row>
    <row r="197" spans="2:7" hidden="1" outlineLevel="1" x14ac:dyDescent="0.25">
      <c r="B197" t="str">
        <f>INDEX(Rankings!C$2:'Rankings'!C$1149,MATCH(SMALL(Rankings!H$2:'Rankings'!H$1000,ROW()),Rankings!H$2:'Rankings'!H$1000,0))</f>
        <v>Dave Bolyard</v>
      </c>
      <c r="C197" t="str">
        <f>INDEX(Rankings!C$2:'Rankings'!C$1149,MATCH(SMALL(Rankings!H$2:'Rankings'!H$1000,ROW()),Rankings!H$2:'Rankings'!H$1000,0))</f>
        <v>Dave Bolyard</v>
      </c>
      <c r="D197" t="str">
        <f>INDEX(Rankings!C$2:'Rankings'!C$1149,MATCH(SMALL(Rankings!H$2:'Rankings'!H$1000,ROW()),Rankings!H$2:'Rankings'!H$1000,0))</f>
        <v>Dave Bolyard</v>
      </c>
      <c r="G197" t="str">
        <f>INDEX(Rankings!C$2:'Rankings'!C$1149,MATCH(SMALL(Rankings!H$2:'Rankings'!H$1000,ROW()),Rankings!H$2:'Rankings'!H$1000,0))</f>
        <v>Dave Bolyard</v>
      </c>
    </row>
    <row r="198" spans="2:7" hidden="1" outlineLevel="1" x14ac:dyDescent="0.25">
      <c r="B198" t="str">
        <f>INDEX(Rankings!C$2:'Rankings'!C$1149,MATCH(SMALL(Rankings!H$2:'Rankings'!H$1000,ROW()),Rankings!H$2:'Rankings'!H$1000,0))</f>
        <v>Dave Griffin</v>
      </c>
      <c r="C198" t="str">
        <f>INDEX(Rankings!C$2:'Rankings'!C$1149,MATCH(SMALL(Rankings!H$2:'Rankings'!H$1000,ROW()),Rankings!H$2:'Rankings'!H$1000,0))</f>
        <v>Dave Griffin</v>
      </c>
      <c r="D198" t="str">
        <f>INDEX(Rankings!C$2:'Rankings'!C$1149,MATCH(SMALL(Rankings!H$2:'Rankings'!H$1000,ROW()),Rankings!H$2:'Rankings'!H$1000,0))</f>
        <v>Dave Griffin</v>
      </c>
      <c r="G198" t="str">
        <f>INDEX(Rankings!C$2:'Rankings'!C$1149,MATCH(SMALL(Rankings!H$2:'Rankings'!H$1000,ROW()),Rankings!H$2:'Rankings'!H$1000,0))</f>
        <v>Dave Griffin</v>
      </c>
    </row>
    <row r="199" spans="2:7" hidden="1" outlineLevel="1" x14ac:dyDescent="0.25">
      <c r="B199" t="str">
        <f>INDEX(Rankings!C$2:'Rankings'!C$1149,MATCH(SMALL(Rankings!H$2:'Rankings'!H$1000,ROW()),Rankings!H$2:'Rankings'!H$1000,0))</f>
        <v>Dave Hesselberth</v>
      </c>
      <c r="C199" t="str">
        <f>INDEX(Rankings!C$2:'Rankings'!C$1149,MATCH(SMALL(Rankings!H$2:'Rankings'!H$1000,ROW()),Rankings!H$2:'Rankings'!H$1000,0))</f>
        <v>Dave Hesselberth</v>
      </c>
      <c r="D199" t="str">
        <f>INDEX(Rankings!C$2:'Rankings'!C$1149,MATCH(SMALL(Rankings!H$2:'Rankings'!H$1000,ROW()),Rankings!H$2:'Rankings'!H$1000,0))</f>
        <v>Dave Hesselberth</v>
      </c>
      <c r="G199" t="str">
        <f>INDEX(Rankings!C$2:'Rankings'!C$1149,MATCH(SMALL(Rankings!H$2:'Rankings'!H$1000,ROW()),Rankings!H$2:'Rankings'!H$1000,0))</f>
        <v>Dave Hesselberth</v>
      </c>
    </row>
    <row r="200" spans="2:7" hidden="1" outlineLevel="1" x14ac:dyDescent="0.25">
      <c r="B200" t="str">
        <f>INDEX(Rankings!C$2:'Rankings'!C$1149,MATCH(SMALL(Rankings!H$2:'Rankings'!H$1000,ROW()),Rankings!H$2:'Rankings'!H$1000,0))</f>
        <v>Dave Kessler</v>
      </c>
      <c r="C200" t="str">
        <f>INDEX(Rankings!C$2:'Rankings'!C$1149,MATCH(SMALL(Rankings!H$2:'Rankings'!H$1000,ROW()),Rankings!H$2:'Rankings'!H$1000,0))</f>
        <v>Dave Kessler</v>
      </c>
      <c r="D200" t="str">
        <f>INDEX(Rankings!C$2:'Rankings'!C$1149,MATCH(SMALL(Rankings!H$2:'Rankings'!H$1000,ROW()),Rankings!H$2:'Rankings'!H$1000,0))</f>
        <v>Dave Kessler</v>
      </c>
      <c r="G200" t="str">
        <f>INDEX(Rankings!C$2:'Rankings'!C$1149,MATCH(SMALL(Rankings!H$2:'Rankings'!H$1000,ROW()),Rankings!H$2:'Rankings'!H$1000,0))</f>
        <v>Dave Kessler</v>
      </c>
    </row>
    <row r="201" spans="2:7" hidden="1" outlineLevel="1" x14ac:dyDescent="0.25">
      <c r="B201" t="str">
        <f>INDEX(Rankings!C$2:'Rankings'!C$1149,MATCH(SMALL(Rankings!H$2:'Rankings'!H$1000,ROW()),Rankings!H$2:'Rankings'!H$1000,0))</f>
        <v>Dave Kuettner</v>
      </c>
      <c r="C201" t="str">
        <f>INDEX(Rankings!C$2:'Rankings'!C$1149,MATCH(SMALL(Rankings!H$2:'Rankings'!H$1000,ROW()),Rankings!H$2:'Rankings'!H$1000,0))</f>
        <v>Dave Kuettner</v>
      </c>
      <c r="D201" t="str">
        <f>INDEX(Rankings!C$2:'Rankings'!C$1149,MATCH(SMALL(Rankings!H$2:'Rankings'!H$1000,ROW()),Rankings!H$2:'Rankings'!H$1000,0))</f>
        <v>Dave Kuettner</v>
      </c>
      <c r="G201" t="str">
        <f>INDEX(Rankings!C$2:'Rankings'!C$1149,MATCH(SMALL(Rankings!H$2:'Rankings'!H$1000,ROW()),Rankings!H$2:'Rankings'!H$1000,0))</f>
        <v>Dave Kuettner</v>
      </c>
    </row>
    <row r="202" spans="2:7" hidden="1" outlineLevel="1" x14ac:dyDescent="0.25">
      <c r="B202" t="str">
        <f>INDEX(Rankings!C$2:'Rankings'!C$1149,MATCH(SMALL(Rankings!H$2:'Rankings'!H$1000,ROW()),Rankings!H$2:'Rankings'!H$1000,0))</f>
        <v>Dave Lewis</v>
      </c>
      <c r="C202" t="str">
        <f>INDEX(Rankings!C$2:'Rankings'!C$1149,MATCH(SMALL(Rankings!H$2:'Rankings'!H$1000,ROW()),Rankings!H$2:'Rankings'!H$1000,0))</f>
        <v>Dave Lewis</v>
      </c>
      <c r="D202" t="str">
        <f>INDEX(Rankings!C$2:'Rankings'!C$1149,MATCH(SMALL(Rankings!H$2:'Rankings'!H$1000,ROW()),Rankings!H$2:'Rankings'!H$1000,0))</f>
        <v>Dave Lewis</v>
      </c>
      <c r="G202" t="str">
        <f>INDEX(Rankings!C$2:'Rankings'!C$1149,MATCH(SMALL(Rankings!H$2:'Rankings'!H$1000,ROW()),Rankings!H$2:'Rankings'!H$1000,0))</f>
        <v>Dave Lewis</v>
      </c>
    </row>
    <row r="203" spans="2:7" hidden="1" outlineLevel="1" x14ac:dyDescent="0.25">
      <c r="B203" t="str">
        <f>INDEX(Rankings!C$2:'Rankings'!C$1149,MATCH(SMALL(Rankings!H$2:'Rankings'!H$1000,ROW()),Rankings!H$2:'Rankings'!H$1000,0))</f>
        <v>Dave Murphy</v>
      </c>
      <c r="C203" t="str">
        <f>INDEX(Rankings!C$2:'Rankings'!C$1149,MATCH(SMALL(Rankings!H$2:'Rankings'!H$1000,ROW()),Rankings!H$2:'Rankings'!H$1000,0))</f>
        <v>Dave Murphy</v>
      </c>
      <c r="D203" t="str">
        <f>INDEX(Rankings!C$2:'Rankings'!C$1149,MATCH(SMALL(Rankings!H$2:'Rankings'!H$1000,ROW()),Rankings!H$2:'Rankings'!H$1000,0))</f>
        <v>Dave Murphy</v>
      </c>
      <c r="G203" t="str">
        <f>INDEX(Rankings!C$2:'Rankings'!C$1149,MATCH(SMALL(Rankings!H$2:'Rankings'!H$1000,ROW()),Rankings!H$2:'Rankings'!H$1000,0))</f>
        <v>Dave Murphy</v>
      </c>
    </row>
    <row r="204" spans="2:7" hidden="1" outlineLevel="1" x14ac:dyDescent="0.25">
      <c r="B204" t="str">
        <f>INDEX(Rankings!C$2:'Rankings'!C$1149,MATCH(SMALL(Rankings!H$2:'Rankings'!H$1000,ROW()),Rankings!H$2:'Rankings'!H$1000,0))</f>
        <v>Dave Schiller</v>
      </c>
      <c r="C204" t="str">
        <f>INDEX(Rankings!C$2:'Rankings'!C$1149,MATCH(SMALL(Rankings!H$2:'Rankings'!H$1000,ROW()),Rankings!H$2:'Rankings'!H$1000,0))</f>
        <v>Dave Schiller</v>
      </c>
      <c r="D204" t="str">
        <f>INDEX(Rankings!C$2:'Rankings'!C$1149,MATCH(SMALL(Rankings!H$2:'Rankings'!H$1000,ROW()),Rankings!H$2:'Rankings'!H$1000,0))</f>
        <v>Dave Schiller</v>
      </c>
      <c r="G204" t="str">
        <f>INDEX(Rankings!C$2:'Rankings'!C$1149,MATCH(SMALL(Rankings!H$2:'Rankings'!H$1000,ROW()),Rankings!H$2:'Rankings'!H$1000,0))</f>
        <v>Dave Schiller</v>
      </c>
    </row>
    <row r="205" spans="2:7" hidden="1" outlineLevel="1" x14ac:dyDescent="0.25">
      <c r="B205" t="str">
        <f>INDEX(Rankings!C$2:'Rankings'!C$1149,MATCH(SMALL(Rankings!H$2:'Rankings'!H$1000,ROW()),Rankings!H$2:'Rankings'!H$1000,0))</f>
        <v>Dave Steger</v>
      </c>
      <c r="C205" t="str">
        <f>INDEX(Rankings!C$2:'Rankings'!C$1149,MATCH(SMALL(Rankings!H$2:'Rankings'!H$1000,ROW()),Rankings!H$2:'Rankings'!H$1000,0))</f>
        <v>Dave Steger</v>
      </c>
      <c r="D205" t="str">
        <f>INDEX(Rankings!C$2:'Rankings'!C$1149,MATCH(SMALL(Rankings!H$2:'Rankings'!H$1000,ROW()),Rankings!H$2:'Rankings'!H$1000,0))</f>
        <v>Dave Steger</v>
      </c>
      <c r="G205" t="str">
        <f>INDEX(Rankings!C$2:'Rankings'!C$1149,MATCH(SMALL(Rankings!H$2:'Rankings'!H$1000,ROW()),Rankings!H$2:'Rankings'!H$1000,0))</f>
        <v>Dave Steger</v>
      </c>
    </row>
    <row r="206" spans="2:7" hidden="1" outlineLevel="1" x14ac:dyDescent="0.25">
      <c r="B206" t="str">
        <f>INDEX(Rankings!C$2:'Rankings'!C$1149,MATCH(SMALL(Rankings!H$2:'Rankings'!H$1000,ROW()),Rankings!H$2:'Rankings'!H$1000,0))</f>
        <v>Dave Zeff</v>
      </c>
      <c r="C206" t="str">
        <f>INDEX(Rankings!C$2:'Rankings'!C$1149,MATCH(SMALL(Rankings!H$2:'Rankings'!H$1000,ROW()),Rankings!H$2:'Rankings'!H$1000,0))</f>
        <v>Dave Zeff</v>
      </c>
      <c r="D206" t="str">
        <f>INDEX(Rankings!C$2:'Rankings'!C$1149,MATCH(SMALL(Rankings!H$2:'Rankings'!H$1000,ROW()),Rankings!H$2:'Rankings'!H$1000,0))</f>
        <v>Dave Zeff</v>
      </c>
      <c r="G206" t="str">
        <f>INDEX(Rankings!C$2:'Rankings'!C$1149,MATCH(SMALL(Rankings!H$2:'Rankings'!H$1000,ROW()),Rankings!H$2:'Rankings'!H$1000,0))</f>
        <v>Dave Zeff</v>
      </c>
    </row>
    <row r="207" spans="2:7" hidden="1" outlineLevel="1" x14ac:dyDescent="0.25">
      <c r="B207" t="str">
        <f>INDEX(Rankings!C$2:'Rankings'!C$1149,MATCH(SMALL(Rankings!H$2:'Rankings'!H$1000,ROW()),Rankings!H$2:'Rankings'!H$1000,0))</f>
        <v>David Taylor</v>
      </c>
      <c r="C207" t="str">
        <f>INDEX(Rankings!C$2:'Rankings'!C$1149,MATCH(SMALL(Rankings!H$2:'Rankings'!H$1000,ROW()),Rankings!H$2:'Rankings'!H$1000,0))</f>
        <v>David Taylor</v>
      </c>
      <c r="D207" t="str">
        <f>INDEX(Rankings!C$2:'Rankings'!C$1149,MATCH(SMALL(Rankings!H$2:'Rankings'!H$1000,ROW()),Rankings!H$2:'Rankings'!H$1000,0))</f>
        <v>David Taylor</v>
      </c>
      <c r="G207" t="str">
        <f>INDEX(Rankings!C$2:'Rankings'!C$1149,MATCH(SMALL(Rankings!H$2:'Rankings'!H$1000,ROW()),Rankings!H$2:'Rankings'!H$1000,0))</f>
        <v>David Taylor</v>
      </c>
    </row>
    <row r="208" spans="2:7" hidden="1" outlineLevel="1" x14ac:dyDescent="0.25">
      <c r="B208" t="str">
        <f>INDEX(Rankings!C$2:'Rankings'!C$1149,MATCH(SMALL(Rankings!H$2:'Rankings'!H$1000,ROW()),Rankings!H$2:'Rankings'!H$1000,0))</f>
        <v>David Tomiak</v>
      </c>
      <c r="C208" t="str">
        <f>INDEX(Rankings!C$2:'Rankings'!C$1149,MATCH(SMALL(Rankings!H$2:'Rankings'!H$1000,ROW()),Rankings!H$2:'Rankings'!H$1000,0))</f>
        <v>David Tomiak</v>
      </c>
      <c r="D208" t="str">
        <f>INDEX(Rankings!C$2:'Rankings'!C$1149,MATCH(SMALL(Rankings!H$2:'Rankings'!H$1000,ROW()),Rankings!H$2:'Rankings'!H$1000,0))</f>
        <v>David Tomiak</v>
      </c>
      <c r="G208" t="str">
        <f>INDEX(Rankings!C$2:'Rankings'!C$1149,MATCH(SMALL(Rankings!H$2:'Rankings'!H$1000,ROW()),Rankings!H$2:'Rankings'!H$1000,0))</f>
        <v>David Tomiak</v>
      </c>
    </row>
    <row r="209" spans="2:7" hidden="1" outlineLevel="1" x14ac:dyDescent="0.25">
      <c r="B209" t="str">
        <f>INDEX(Rankings!C$2:'Rankings'!C$1149,MATCH(SMALL(Rankings!H$2:'Rankings'!H$1000,ROW()),Rankings!H$2:'Rankings'!H$1000,0))</f>
        <v>Davide Bacco</v>
      </c>
      <c r="C209" t="str">
        <f>INDEX(Rankings!C$2:'Rankings'!C$1149,MATCH(SMALL(Rankings!H$2:'Rankings'!H$1000,ROW()),Rankings!H$2:'Rankings'!H$1000,0))</f>
        <v>Davide Bacco</v>
      </c>
      <c r="D209" t="str">
        <f>INDEX(Rankings!C$2:'Rankings'!C$1149,MATCH(SMALL(Rankings!H$2:'Rankings'!H$1000,ROW()),Rankings!H$2:'Rankings'!H$1000,0))</f>
        <v>Davide Bacco</v>
      </c>
      <c r="G209" t="str">
        <f>INDEX(Rankings!C$2:'Rankings'!C$1149,MATCH(SMALL(Rankings!H$2:'Rankings'!H$1000,ROW()),Rankings!H$2:'Rankings'!H$1000,0))</f>
        <v>Davide Bacco</v>
      </c>
    </row>
    <row r="210" spans="2:7" hidden="1" outlineLevel="1" x14ac:dyDescent="0.25">
      <c r="B210" t="str">
        <f>INDEX(Rankings!C$2:'Rankings'!C$1149,MATCH(SMALL(Rankings!H$2:'Rankings'!H$1000,ROW()),Rankings!H$2:'Rankings'!H$1000,0))</f>
        <v>Davide Bianchi</v>
      </c>
      <c r="C210" t="str">
        <f>INDEX(Rankings!C$2:'Rankings'!C$1149,MATCH(SMALL(Rankings!H$2:'Rankings'!H$1000,ROW()),Rankings!H$2:'Rankings'!H$1000,0))</f>
        <v>Davide Bianchi</v>
      </c>
      <c r="D210" t="str">
        <f>INDEX(Rankings!C$2:'Rankings'!C$1149,MATCH(SMALL(Rankings!H$2:'Rankings'!H$1000,ROW()),Rankings!H$2:'Rankings'!H$1000,0))</f>
        <v>Davide Bianchi</v>
      </c>
      <c r="G210" t="str">
        <f>INDEX(Rankings!C$2:'Rankings'!C$1149,MATCH(SMALL(Rankings!H$2:'Rankings'!H$1000,ROW()),Rankings!H$2:'Rankings'!H$1000,0))</f>
        <v>Davide Bianchi</v>
      </c>
    </row>
    <row r="211" spans="2:7" hidden="1" outlineLevel="1" x14ac:dyDescent="0.25">
      <c r="B211" t="str">
        <f>INDEX(Rankings!C$2:'Rankings'!C$1149,MATCH(SMALL(Rankings!H$2:'Rankings'!H$1000,ROW()),Rankings!H$2:'Rankings'!H$1000,0))</f>
        <v>Davide Fortunati</v>
      </c>
      <c r="C211" t="str">
        <f>INDEX(Rankings!C$2:'Rankings'!C$1149,MATCH(SMALL(Rankings!H$2:'Rankings'!H$1000,ROW()),Rankings!H$2:'Rankings'!H$1000,0))</f>
        <v>Davide Fortunati</v>
      </c>
      <c r="D211" t="str">
        <f>INDEX(Rankings!C$2:'Rankings'!C$1149,MATCH(SMALL(Rankings!H$2:'Rankings'!H$1000,ROW()),Rankings!H$2:'Rankings'!H$1000,0))</f>
        <v>Davide Fortunati</v>
      </c>
      <c r="G211" t="str">
        <f>INDEX(Rankings!C$2:'Rankings'!C$1149,MATCH(SMALL(Rankings!H$2:'Rankings'!H$1000,ROW()),Rankings!H$2:'Rankings'!H$1000,0))</f>
        <v>Davide Fortunati</v>
      </c>
    </row>
    <row r="212" spans="2:7" hidden="1" outlineLevel="1" x14ac:dyDescent="0.25">
      <c r="B212" t="str">
        <f>INDEX(Rankings!C$2:'Rankings'!C$1149,MATCH(SMALL(Rankings!H$2:'Rankings'!H$1000,ROW()),Rankings!H$2:'Rankings'!H$1000,0))</f>
        <v>Davide Livi</v>
      </c>
      <c r="C212" t="str">
        <f>INDEX(Rankings!C$2:'Rankings'!C$1149,MATCH(SMALL(Rankings!H$2:'Rankings'!H$1000,ROW()),Rankings!H$2:'Rankings'!H$1000,0))</f>
        <v>Davide Livi</v>
      </c>
      <c r="D212" t="str">
        <f>INDEX(Rankings!C$2:'Rankings'!C$1149,MATCH(SMALL(Rankings!H$2:'Rankings'!H$1000,ROW()),Rankings!H$2:'Rankings'!H$1000,0))</f>
        <v>Davide Livi</v>
      </c>
      <c r="G212" t="str">
        <f>INDEX(Rankings!C$2:'Rankings'!C$1149,MATCH(SMALL(Rankings!H$2:'Rankings'!H$1000,ROW()),Rankings!H$2:'Rankings'!H$1000,0))</f>
        <v>Davide Livi</v>
      </c>
    </row>
    <row r="213" spans="2:7" hidden="1" outlineLevel="1" x14ac:dyDescent="0.25">
      <c r="B213" t="str">
        <f>INDEX(Rankings!C$2:'Rankings'!C$1149,MATCH(SMALL(Rankings!H$2:'Rankings'!H$1000,ROW()),Rankings!H$2:'Rankings'!H$1000,0))</f>
        <v>Davide Sanna</v>
      </c>
      <c r="C213" t="str">
        <f>INDEX(Rankings!C$2:'Rankings'!C$1149,MATCH(SMALL(Rankings!H$2:'Rankings'!H$1000,ROW()),Rankings!H$2:'Rankings'!H$1000,0))</f>
        <v>Davide Sanna</v>
      </c>
      <c r="D213" t="str">
        <f>INDEX(Rankings!C$2:'Rankings'!C$1149,MATCH(SMALL(Rankings!H$2:'Rankings'!H$1000,ROW()),Rankings!H$2:'Rankings'!H$1000,0))</f>
        <v>Davide Sanna</v>
      </c>
      <c r="G213" t="str">
        <f>INDEX(Rankings!C$2:'Rankings'!C$1149,MATCH(SMALL(Rankings!H$2:'Rankings'!H$1000,ROW()),Rankings!H$2:'Rankings'!H$1000,0))</f>
        <v>Davide Sanna</v>
      </c>
    </row>
    <row r="214" spans="2:7" hidden="1" outlineLevel="1" x14ac:dyDescent="0.25">
      <c r="B214" t="str">
        <f>INDEX(Rankings!C$2:'Rankings'!C$1149,MATCH(SMALL(Rankings!H$2:'Rankings'!H$1000,ROW()),Rankings!H$2:'Rankings'!H$1000,0))</f>
        <v>Davide Serlenga</v>
      </c>
      <c r="C214" t="str">
        <f>INDEX(Rankings!C$2:'Rankings'!C$1149,MATCH(SMALL(Rankings!H$2:'Rankings'!H$1000,ROW()),Rankings!H$2:'Rankings'!H$1000,0))</f>
        <v>Davide Serlenga</v>
      </c>
      <c r="D214" t="str">
        <f>INDEX(Rankings!C$2:'Rankings'!C$1149,MATCH(SMALL(Rankings!H$2:'Rankings'!H$1000,ROW()),Rankings!H$2:'Rankings'!H$1000,0))</f>
        <v>Davide Serlenga</v>
      </c>
      <c r="G214" t="str">
        <f>INDEX(Rankings!C$2:'Rankings'!C$1149,MATCH(SMALL(Rankings!H$2:'Rankings'!H$1000,ROW()),Rankings!H$2:'Rankings'!H$1000,0))</f>
        <v>Davide Serlenga</v>
      </c>
    </row>
    <row r="215" spans="2:7" hidden="1" outlineLevel="1" x14ac:dyDescent="0.25">
      <c r="B215" t="str">
        <f>INDEX(Rankings!C$2:'Rankings'!C$1149,MATCH(SMALL(Rankings!H$2:'Rankings'!H$1000,ROW()),Rankings!H$2:'Rankings'!H$1000,0))</f>
        <v>Davis Johnson</v>
      </c>
      <c r="C215" t="str">
        <f>INDEX(Rankings!C$2:'Rankings'!C$1149,MATCH(SMALL(Rankings!H$2:'Rankings'!H$1000,ROW()),Rankings!H$2:'Rankings'!H$1000,0))</f>
        <v>Davis Johnson</v>
      </c>
      <c r="D215" t="str">
        <f>INDEX(Rankings!C$2:'Rankings'!C$1149,MATCH(SMALL(Rankings!H$2:'Rankings'!H$1000,ROW()),Rankings!H$2:'Rankings'!H$1000,0))</f>
        <v>Davis Johnson</v>
      </c>
      <c r="G215" t="str">
        <f>INDEX(Rankings!C$2:'Rankings'!C$1149,MATCH(SMALL(Rankings!H$2:'Rankings'!H$1000,ROW()),Rankings!H$2:'Rankings'!H$1000,0))</f>
        <v>Davis Johnson</v>
      </c>
    </row>
    <row r="216" spans="2:7" hidden="1" outlineLevel="1" x14ac:dyDescent="0.25">
      <c r="B216" t="str">
        <f>INDEX(Rankings!C$2:'Rankings'!C$1149,MATCH(SMALL(Rankings!H$2:'Rankings'!H$1000,ROW()),Rankings!H$2:'Rankings'!H$1000,0))</f>
        <v>Dean Porter</v>
      </c>
      <c r="C216" t="str">
        <f>INDEX(Rankings!C$2:'Rankings'!C$1149,MATCH(SMALL(Rankings!H$2:'Rankings'!H$1000,ROW()),Rankings!H$2:'Rankings'!H$1000,0))</f>
        <v>Dean Porter</v>
      </c>
      <c r="D216" t="str">
        <f>INDEX(Rankings!C$2:'Rankings'!C$1149,MATCH(SMALL(Rankings!H$2:'Rankings'!H$1000,ROW()),Rankings!H$2:'Rankings'!H$1000,0))</f>
        <v>Dean Porter</v>
      </c>
      <c r="G216" t="str">
        <f>INDEX(Rankings!C$2:'Rankings'!C$1149,MATCH(SMALL(Rankings!H$2:'Rankings'!H$1000,ROW()),Rankings!H$2:'Rankings'!H$1000,0))</f>
        <v>Dean Porter</v>
      </c>
    </row>
    <row r="217" spans="2:7" hidden="1" outlineLevel="1" x14ac:dyDescent="0.25">
      <c r="B217" t="str">
        <f>INDEX(Rankings!C$2:'Rankings'!C$1149,MATCH(SMALL(Rankings!H$2:'Rankings'!H$1000,ROW()),Rankings!H$2:'Rankings'!H$1000,0))</f>
        <v>Delia Centonze</v>
      </c>
      <c r="C217" t="str">
        <f>INDEX(Rankings!C$2:'Rankings'!C$1149,MATCH(SMALL(Rankings!H$2:'Rankings'!H$1000,ROW()),Rankings!H$2:'Rankings'!H$1000,0))</f>
        <v>Delia Centonze</v>
      </c>
      <c r="D217" t="str">
        <f>INDEX(Rankings!C$2:'Rankings'!C$1149,MATCH(SMALL(Rankings!H$2:'Rankings'!H$1000,ROW()),Rankings!H$2:'Rankings'!H$1000,0))</f>
        <v>Delia Centonze</v>
      </c>
      <c r="G217" t="str">
        <f>INDEX(Rankings!C$2:'Rankings'!C$1149,MATCH(SMALL(Rankings!H$2:'Rankings'!H$1000,ROW()),Rankings!H$2:'Rankings'!H$1000,0))</f>
        <v>Delia Centonze</v>
      </c>
    </row>
    <row r="218" spans="2:7" hidden="1" outlineLevel="1" x14ac:dyDescent="0.25">
      <c r="B218" t="str">
        <f>INDEX(Rankings!C$2:'Rankings'!C$1149,MATCH(SMALL(Rankings!H$2:'Rankings'!H$1000,ROW()),Rankings!H$2:'Rankings'!H$1000,0))</f>
        <v>Dennis Black</v>
      </c>
      <c r="C218" t="str">
        <f>INDEX(Rankings!C$2:'Rankings'!C$1149,MATCH(SMALL(Rankings!H$2:'Rankings'!H$1000,ROW()),Rankings!H$2:'Rankings'!H$1000,0))</f>
        <v>Dennis Black</v>
      </c>
      <c r="D218" t="str">
        <f>INDEX(Rankings!C$2:'Rankings'!C$1149,MATCH(SMALL(Rankings!H$2:'Rankings'!H$1000,ROW()),Rankings!H$2:'Rankings'!H$1000,0))</f>
        <v>Dennis Black</v>
      </c>
      <c r="G218" t="str">
        <f>INDEX(Rankings!C$2:'Rankings'!C$1149,MATCH(SMALL(Rankings!H$2:'Rankings'!H$1000,ROW()),Rankings!H$2:'Rankings'!H$1000,0))</f>
        <v>Dennis Black</v>
      </c>
    </row>
    <row r="219" spans="2:7" hidden="1" outlineLevel="1" x14ac:dyDescent="0.25">
      <c r="B219" t="str">
        <f>INDEX(Rankings!C$2:'Rankings'!C$1149,MATCH(SMALL(Rankings!H$2:'Rankings'!H$1000,ROW()),Rankings!H$2:'Rankings'!H$1000,0))</f>
        <v>Dennis Kretschmer</v>
      </c>
      <c r="C219" t="str">
        <f>INDEX(Rankings!C$2:'Rankings'!C$1149,MATCH(SMALL(Rankings!H$2:'Rankings'!H$1000,ROW()),Rankings!H$2:'Rankings'!H$1000,0))</f>
        <v>Dennis Kretschmer</v>
      </c>
      <c r="D219" t="str">
        <f>INDEX(Rankings!C$2:'Rankings'!C$1149,MATCH(SMALL(Rankings!H$2:'Rankings'!H$1000,ROW()),Rankings!H$2:'Rankings'!H$1000,0))</f>
        <v>Dennis Kretschmer</v>
      </c>
      <c r="G219" t="str">
        <f>INDEX(Rankings!C$2:'Rankings'!C$1149,MATCH(SMALL(Rankings!H$2:'Rankings'!H$1000,ROW()),Rankings!H$2:'Rankings'!H$1000,0))</f>
        <v>Dennis Kretschmer</v>
      </c>
    </row>
    <row r="220" spans="2:7" hidden="1" outlineLevel="1" x14ac:dyDescent="0.25">
      <c r="B220" t="str">
        <f>INDEX(Rankings!C$2:'Rankings'!C$1149,MATCH(SMALL(Rankings!H$2:'Rankings'!H$1000,ROW()),Rankings!H$2:'Rankings'!H$1000,0))</f>
        <v>Dennis Vollmer</v>
      </c>
      <c r="C220" t="str">
        <f>INDEX(Rankings!C$2:'Rankings'!C$1149,MATCH(SMALL(Rankings!H$2:'Rankings'!H$1000,ROW()),Rankings!H$2:'Rankings'!H$1000,0))</f>
        <v>Dennis Vollmer</v>
      </c>
      <c r="D220" t="str">
        <f>INDEX(Rankings!C$2:'Rankings'!C$1149,MATCH(SMALL(Rankings!H$2:'Rankings'!H$1000,ROW()),Rankings!H$2:'Rankings'!H$1000,0))</f>
        <v>Dennis Vollmer</v>
      </c>
      <c r="G220" t="str">
        <f>INDEX(Rankings!C$2:'Rankings'!C$1149,MATCH(SMALL(Rankings!H$2:'Rankings'!H$1000,ROW()),Rankings!H$2:'Rankings'!H$1000,0))</f>
        <v>Dennis Vollmer</v>
      </c>
    </row>
    <row r="221" spans="2:7" hidden="1" outlineLevel="1" x14ac:dyDescent="0.25">
      <c r="B221" t="str">
        <f>INDEX(Rankings!C$2:'Rankings'!C$1149,MATCH(SMALL(Rankings!H$2:'Rankings'!H$1000,ROW()),Rankings!H$2:'Rankings'!H$1000,0))</f>
        <v>Tomokazu Yamamoto</v>
      </c>
      <c r="C221" t="str">
        <f>INDEX(Rankings!C$2:'Rankings'!C$1149,MATCH(SMALL(Rankings!H$2:'Rankings'!H$1000,ROW()),Rankings!H$2:'Rankings'!H$1000,0))</f>
        <v>Tomokazu Yamamoto</v>
      </c>
      <c r="D221" t="str">
        <f>INDEX(Rankings!C$2:'Rankings'!C$1149,MATCH(SMALL(Rankings!H$2:'Rankings'!H$1000,ROW()),Rankings!H$2:'Rankings'!H$1000,0))</f>
        <v>Tomokazu Yamamoto</v>
      </c>
      <c r="G221" t="str">
        <f>INDEX(Rankings!C$2:'Rankings'!C$1149,MATCH(SMALL(Rankings!H$2:'Rankings'!H$1000,ROW()),Rankings!H$2:'Rankings'!H$1000,0))</f>
        <v>Tomokazu Yamamoto</v>
      </c>
    </row>
    <row r="222" spans="2:7" hidden="1" outlineLevel="1" x14ac:dyDescent="0.25">
      <c r="B222" t="str">
        <f>INDEX(Rankings!C$2:'Rankings'!C$1149,MATCH(SMALL(Rankings!H$2:'Rankings'!H$1000,ROW()),Rankings!H$2:'Rankings'!H$1000,0))</f>
        <v>Dieter Johansson</v>
      </c>
      <c r="C222" t="str">
        <f>INDEX(Rankings!C$2:'Rankings'!C$1149,MATCH(SMALL(Rankings!H$2:'Rankings'!H$1000,ROW()),Rankings!H$2:'Rankings'!H$1000,0))</f>
        <v>Dieter Johansson</v>
      </c>
      <c r="D222" t="str">
        <f>INDEX(Rankings!C$2:'Rankings'!C$1149,MATCH(SMALL(Rankings!H$2:'Rankings'!H$1000,ROW()),Rankings!H$2:'Rankings'!H$1000,0))</f>
        <v>Dieter Johansson</v>
      </c>
      <c r="G222" t="str">
        <f>INDEX(Rankings!C$2:'Rankings'!C$1149,MATCH(SMALL(Rankings!H$2:'Rankings'!H$1000,ROW()),Rankings!H$2:'Rankings'!H$1000,0))</f>
        <v>Dieter Johansson</v>
      </c>
    </row>
    <row r="223" spans="2:7" hidden="1" outlineLevel="1" x14ac:dyDescent="0.25">
      <c r="B223" t="str">
        <f>INDEX(Rankings!C$2:'Rankings'!C$1149,MATCH(SMALL(Rankings!H$2:'Rankings'!H$1000,ROW()),Rankings!H$2:'Rankings'!H$1000,0))</f>
        <v>Dominik Raclavsky</v>
      </c>
      <c r="C223" t="str">
        <f>INDEX(Rankings!C$2:'Rankings'!C$1149,MATCH(SMALL(Rankings!H$2:'Rankings'!H$1000,ROW()),Rankings!H$2:'Rankings'!H$1000,0))</f>
        <v>Dominik Raclavsky</v>
      </c>
      <c r="D223" t="str">
        <f>INDEX(Rankings!C$2:'Rankings'!C$1149,MATCH(SMALL(Rankings!H$2:'Rankings'!H$1000,ROW()),Rankings!H$2:'Rankings'!H$1000,0))</f>
        <v>Dominik Raclavsky</v>
      </c>
      <c r="G223" t="str">
        <f>INDEX(Rankings!C$2:'Rankings'!C$1149,MATCH(SMALL(Rankings!H$2:'Rankings'!H$1000,ROW()),Rankings!H$2:'Rankings'!H$1000,0))</f>
        <v>Dominik Raclavsky</v>
      </c>
    </row>
    <row r="224" spans="2:7" hidden="1" outlineLevel="1" x14ac:dyDescent="0.25">
      <c r="B224" t="str">
        <f>INDEX(Rankings!C$2:'Rankings'!C$1149,MATCH(SMALL(Rankings!H$2:'Rankings'!H$1000,ROW()),Rankings!H$2:'Rankings'!H$1000,0))</f>
        <v>Dominique Weissenberger</v>
      </c>
      <c r="C224" t="str">
        <f>INDEX(Rankings!C$2:'Rankings'!C$1149,MATCH(SMALL(Rankings!H$2:'Rankings'!H$1000,ROW()),Rankings!H$2:'Rankings'!H$1000,0))</f>
        <v>Dominique Weissenberger</v>
      </c>
      <c r="D224" t="str">
        <f>INDEX(Rankings!C$2:'Rankings'!C$1149,MATCH(SMALL(Rankings!H$2:'Rankings'!H$1000,ROW()),Rankings!H$2:'Rankings'!H$1000,0))</f>
        <v>Dominique Weissenberger</v>
      </c>
      <c r="G224" t="str">
        <f>INDEX(Rankings!C$2:'Rankings'!C$1149,MATCH(SMALL(Rankings!H$2:'Rankings'!H$1000,ROW()),Rankings!H$2:'Rankings'!H$1000,0))</f>
        <v>Dominique Weissenberger</v>
      </c>
    </row>
    <row r="225" spans="2:7" hidden="1" outlineLevel="1" x14ac:dyDescent="0.25">
      <c r="B225" t="str">
        <f>INDEX(Rankings!C$2:'Rankings'!C$1149,MATCH(SMALL(Rankings!H$2:'Rankings'!H$1000,ROW()),Rankings!H$2:'Rankings'!H$1000,0))</f>
        <v>Don Hunkel</v>
      </c>
      <c r="C225" t="str">
        <f>INDEX(Rankings!C$2:'Rankings'!C$1149,MATCH(SMALL(Rankings!H$2:'Rankings'!H$1000,ROW()),Rankings!H$2:'Rankings'!H$1000,0))</f>
        <v>Don Hunkel</v>
      </c>
      <c r="D225" t="str">
        <f>INDEX(Rankings!C$2:'Rankings'!C$1149,MATCH(SMALL(Rankings!H$2:'Rankings'!H$1000,ROW()),Rankings!H$2:'Rankings'!H$1000,0))</f>
        <v>Don Hunkel</v>
      </c>
      <c r="G225" t="str">
        <f>INDEX(Rankings!C$2:'Rankings'!C$1149,MATCH(SMALL(Rankings!H$2:'Rankings'!H$1000,ROW()),Rankings!H$2:'Rankings'!H$1000,0))</f>
        <v>Don Hunkel</v>
      </c>
    </row>
    <row r="226" spans="2:7" hidden="1" outlineLevel="1" x14ac:dyDescent="0.25">
      <c r="B226" t="str">
        <f>INDEX(Rankings!C$2:'Rankings'!C$1149,MATCH(SMALL(Rankings!H$2:'Rankings'!H$1000,ROW()),Rankings!H$2:'Rankings'!H$1000,0))</f>
        <v>Don Wallace</v>
      </c>
      <c r="C226" t="str">
        <f>INDEX(Rankings!C$2:'Rankings'!C$1149,MATCH(SMALL(Rankings!H$2:'Rankings'!H$1000,ROW()),Rankings!H$2:'Rankings'!H$1000,0))</f>
        <v>Don Wallace</v>
      </c>
      <c r="D226" t="str">
        <f>INDEX(Rankings!C$2:'Rankings'!C$1149,MATCH(SMALL(Rankings!H$2:'Rankings'!H$1000,ROW()),Rankings!H$2:'Rankings'!H$1000,0))</f>
        <v>Don Wallace</v>
      </c>
      <c r="G226" t="str">
        <f>INDEX(Rankings!C$2:'Rankings'!C$1149,MATCH(SMALL(Rankings!H$2:'Rankings'!H$1000,ROW()),Rankings!H$2:'Rankings'!H$1000,0))</f>
        <v>Don Wallace</v>
      </c>
    </row>
    <row r="227" spans="2:7" hidden="1" outlineLevel="1" x14ac:dyDescent="0.25">
      <c r="B227" t="str">
        <f>INDEX(Rankings!C$2:'Rankings'!C$1149,MATCH(SMALL(Rankings!H$2:'Rankings'!H$1000,ROW()),Rankings!H$2:'Rankings'!H$1000,0))</f>
        <v>Donny Baker</v>
      </c>
      <c r="C227" t="str">
        <f>INDEX(Rankings!C$2:'Rankings'!C$1149,MATCH(SMALL(Rankings!H$2:'Rankings'!H$1000,ROW()),Rankings!H$2:'Rankings'!H$1000,0))</f>
        <v>Donny Baker</v>
      </c>
      <c r="D227" t="str">
        <f>INDEX(Rankings!C$2:'Rankings'!C$1149,MATCH(SMALL(Rankings!H$2:'Rankings'!H$1000,ROW()),Rankings!H$2:'Rankings'!H$1000,0))</f>
        <v>Donny Baker</v>
      </c>
      <c r="G227" t="str">
        <f>INDEX(Rankings!C$2:'Rankings'!C$1149,MATCH(SMALL(Rankings!H$2:'Rankings'!H$1000,ROW()),Rankings!H$2:'Rankings'!H$1000,0))</f>
        <v>Donny Baker</v>
      </c>
    </row>
    <row r="228" spans="2:7" hidden="1" outlineLevel="1" x14ac:dyDescent="0.25">
      <c r="B228" t="str">
        <f>INDEX(Rankings!C$2:'Rankings'!C$1149,MATCH(SMALL(Rankings!H$2:'Rankings'!H$1000,ROW()),Rankings!H$2:'Rankings'!H$1000,0))</f>
        <v>Hartmut Wahrmann</v>
      </c>
      <c r="C228" t="str">
        <f>INDEX(Rankings!C$2:'Rankings'!C$1149,MATCH(SMALL(Rankings!H$2:'Rankings'!H$1000,ROW()),Rankings!H$2:'Rankings'!H$1000,0))</f>
        <v>Hartmut Wahrmann</v>
      </c>
      <c r="D228" t="str">
        <f>INDEX(Rankings!C$2:'Rankings'!C$1149,MATCH(SMALL(Rankings!H$2:'Rankings'!H$1000,ROW()),Rankings!H$2:'Rankings'!H$1000,0))</f>
        <v>Hartmut Wahrmann</v>
      </c>
      <c r="G228" t="str">
        <f>INDEX(Rankings!C$2:'Rankings'!C$1149,MATCH(SMALL(Rankings!H$2:'Rankings'!H$1000,ROW()),Rankings!H$2:'Rankings'!H$1000,0))</f>
        <v>Hartmut Wahrmann</v>
      </c>
    </row>
    <row r="229" spans="2:7" hidden="1" outlineLevel="1" x14ac:dyDescent="0.25">
      <c r="B229" t="str">
        <f>INDEX(Rankings!C$2:'Rankings'!C$1149,MATCH(SMALL(Rankings!H$2:'Rankings'!H$1000,ROW()),Rankings!H$2:'Rankings'!H$1000,0))</f>
        <v>Doug Korns</v>
      </c>
      <c r="C229" t="str">
        <f>INDEX(Rankings!C$2:'Rankings'!C$1149,MATCH(SMALL(Rankings!H$2:'Rankings'!H$1000,ROW()),Rankings!H$2:'Rankings'!H$1000,0))</f>
        <v>Doug Korns</v>
      </c>
      <c r="D229" t="str">
        <f>INDEX(Rankings!C$2:'Rankings'!C$1149,MATCH(SMALL(Rankings!H$2:'Rankings'!H$1000,ROW()),Rankings!H$2:'Rankings'!H$1000,0))</f>
        <v>Doug Korns</v>
      </c>
      <c r="G229" t="str">
        <f>INDEX(Rankings!C$2:'Rankings'!C$1149,MATCH(SMALL(Rankings!H$2:'Rankings'!H$1000,ROW()),Rankings!H$2:'Rankings'!H$1000,0))</f>
        <v>Doug Korns</v>
      </c>
    </row>
    <row r="230" spans="2:7" hidden="1" outlineLevel="1" x14ac:dyDescent="0.25">
      <c r="B230" t="str">
        <f>INDEX(Rankings!C$2:'Rankings'!C$1149,MATCH(SMALL(Rankings!H$2:'Rankings'!H$1000,ROW()),Rankings!H$2:'Rankings'!H$1000,0))</f>
        <v>Doug Simon</v>
      </c>
      <c r="C230" t="str">
        <f>INDEX(Rankings!C$2:'Rankings'!C$1149,MATCH(SMALL(Rankings!H$2:'Rankings'!H$1000,ROW()),Rankings!H$2:'Rankings'!H$1000,0))</f>
        <v>Doug Simon</v>
      </c>
      <c r="D230" t="str">
        <f>INDEX(Rankings!C$2:'Rankings'!C$1149,MATCH(SMALL(Rankings!H$2:'Rankings'!H$1000,ROW()),Rankings!H$2:'Rankings'!H$1000,0))</f>
        <v>Doug Simon</v>
      </c>
      <c r="G230" t="str">
        <f>INDEX(Rankings!C$2:'Rankings'!C$1149,MATCH(SMALL(Rankings!H$2:'Rankings'!H$1000,ROW()),Rankings!H$2:'Rankings'!H$1000,0))</f>
        <v>Doug Simon</v>
      </c>
    </row>
    <row r="231" spans="2:7" hidden="1" outlineLevel="1" x14ac:dyDescent="0.25">
      <c r="B231" t="str">
        <f>INDEX(Rankings!C$2:'Rankings'!C$1149,MATCH(SMALL(Rankings!H$2:'Rankings'!H$1000,ROW()),Rankings!H$2:'Rankings'!H$1000,0))</f>
        <v>Drew Preiss</v>
      </c>
      <c r="C231" t="str">
        <f>INDEX(Rankings!C$2:'Rankings'!C$1149,MATCH(SMALL(Rankings!H$2:'Rankings'!H$1000,ROW()),Rankings!H$2:'Rankings'!H$1000,0))</f>
        <v>Drew Preiss</v>
      </c>
      <c r="D231" t="str">
        <f>INDEX(Rankings!C$2:'Rankings'!C$1149,MATCH(SMALL(Rankings!H$2:'Rankings'!H$1000,ROW()),Rankings!H$2:'Rankings'!H$1000,0))</f>
        <v>Drew Preiss</v>
      </c>
      <c r="G231" t="str">
        <f>INDEX(Rankings!C$2:'Rankings'!C$1149,MATCH(SMALL(Rankings!H$2:'Rankings'!H$1000,ROW()),Rankings!H$2:'Rankings'!H$1000,0))</f>
        <v>Drew Preiss</v>
      </c>
    </row>
    <row r="232" spans="2:7" hidden="1" outlineLevel="1" x14ac:dyDescent="0.25">
      <c r="B232" t="str">
        <f>INDEX(Rankings!C$2:'Rankings'!C$1149,MATCH(SMALL(Rankings!H$2:'Rankings'!H$1000,ROW()),Rankings!H$2:'Rankings'!H$1000,0))</f>
        <v>Dvir Sanela</v>
      </c>
      <c r="C232" t="str">
        <f>INDEX(Rankings!C$2:'Rankings'!C$1149,MATCH(SMALL(Rankings!H$2:'Rankings'!H$1000,ROW()),Rankings!H$2:'Rankings'!H$1000,0))</f>
        <v>Dvir Sanela</v>
      </c>
      <c r="D232" t="str">
        <f>INDEX(Rankings!C$2:'Rankings'!C$1149,MATCH(SMALL(Rankings!H$2:'Rankings'!H$1000,ROW()),Rankings!H$2:'Rankings'!H$1000,0))</f>
        <v>Dvir Sanela</v>
      </c>
      <c r="G232" t="str">
        <f>INDEX(Rankings!C$2:'Rankings'!C$1149,MATCH(SMALL(Rankings!H$2:'Rankings'!H$1000,ROW()),Rankings!H$2:'Rankings'!H$1000,0))</f>
        <v>Dvir Sanela</v>
      </c>
    </row>
    <row r="233" spans="2:7" hidden="1" outlineLevel="1" x14ac:dyDescent="0.25">
      <c r="B233" t="str">
        <f>INDEX(Rankings!C$2:'Rankings'!C$1149,MATCH(SMALL(Rankings!H$2:'Rankings'!H$1000,ROW()),Rankings!H$2:'Rankings'!H$1000,0))</f>
        <v>Dylan Rocha Pires</v>
      </c>
      <c r="C233" t="str">
        <f>INDEX(Rankings!C$2:'Rankings'!C$1149,MATCH(SMALL(Rankings!H$2:'Rankings'!H$1000,ROW()),Rankings!H$2:'Rankings'!H$1000,0))</f>
        <v>Dylan Rocha Pires</v>
      </c>
      <c r="D233" t="str">
        <f>INDEX(Rankings!C$2:'Rankings'!C$1149,MATCH(SMALL(Rankings!H$2:'Rankings'!H$1000,ROW()),Rankings!H$2:'Rankings'!H$1000,0))</f>
        <v>Dylan Rocha Pires</v>
      </c>
      <c r="G233" t="str">
        <f>INDEX(Rankings!C$2:'Rankings'!C$1149,MATCH(SMALL(Rankings!H$2:'Rankings'!H$1000,ROW()),Rankings!H$2:'Rankings'!H$1000,0))</f>
        <v>Dylan Rocha Pires</v>
      </c>
    </row>
    <row r="234" spans="2:7" hidden="1" outlineLevel="1" x14ac:dyDescent="0.25">
      <c r="B234" t="str">
        <f>INDEX(Rankings!C$2:'Rankings'!C$1149,MATCH(SMALL(Rankings!H$2:'Rankings'!H$1000,ROW()),Rankings!H$2:'Rankings'!H$1000,0))</f>
        <v>Eddie Cohn</v>
      </c>
      <c r="C234" t="str">
        <f>INDEX(Rankings!C$2:'Rankings'!C$1149,MATCH(SMALL(Rankings!H$2:'Rankings'!H$1000,ROW()),Rankings!H$2:'Rankings'!H$1000,0))</f>
        <v>Eddie Cohn</v>
      </c>
      <c r="D234" t="str">
        <f>INDEX(Rankings!C$2:'Rankings'!C$1149,MATCH(SMALL(Rankings!H$2:'Rankings'!H$1000,ROW()),Rankings!H$2:'Rankings'!H$1000,0))</f>
        <v>Eddie Cohn</v>
      </c>
      <c r="G234" t="str">
        <f>INDEX(Rankings!C$2:'Rankings'!C$1149,MATCH(SMALL(Rankings!H$2:'Rankings'!H$1000,ROW()),Rankings!H$2:'Rankings'!H$1000,0))</f>
        <v>Eddie Cohn</v>
      </c>
    </row>
    <row r="235" spans="2:7" hidden="1" outlineLevel="1" x14ac:dyDescent="0.25">
      <c r="B235" t="str">
        <f>INDEX(Rankings!C$2:'Rankings'!C$1149,MATCH(SMALL(Rankings!H$2:'Rankings'!H$1000,ROW()),Rankings!H$2:'Rankings'!H$1000,0))</f>
        <v>Edgardo Balzac</v>
      </c>
      <c r="C235" t="str">
        <f>INDEX(Rankings!C$2:'Rankings'!C$1149,MATCH(SMALL(Rankings!H$2:'Rankings'!H$1000,ROW()),Rankings!H$2:'Rankings'!H$1000,0))</f>
        <v>Edgardo Balzac</v>
      </c>
      <c r="D235" t="str">
        <f>INDEX(Rankings!C$2:'Rankings'!C$1149,MATCH(SMALL(Rankings!H$2:'Rankings'!H$1000,ROW()),Rankings!H$2:'Rankings'!H$1000,0))</f>
        <v>Edgardo Balzac</v>
      </c>
      <c r="G235" t="str">
        <f>INDEX(Rankings!C$2:'Rankings'!C$1149,MATCH(SMALL(Rankings!H$2:'Rankings'!H$1000,ROW()),Rankings!H$2:'Rankings'!H$1000,0))</f>
        <v>Edgardo Balzac</v>
      </c>
    </row>
    <row r="236" spans="2:7" hidden="1" outlineLevel="1" x14ac:dyDescent="0.25">
      <c r="B236" t="str">
        <f>INDEX(Rankings!C$2:'Rankings'!C$1149,MATCH(SMALL(Rankings!H$2:'Rankings'!H$1000,ROW()),Rankings!H$2:'Rankings'!H$1000,0))</f>
        <v>Edoardo Favorini</v>
      </c>
      <c r="C236" t="str">
        <f>INDEX(Rankings!C$2:'Rankings'!C$1149,MATCH(SMALL(Rankings!H$2:'Rankings'!H$1000,ROW()),Rankings!H$2:'Rankings'!H$1000,0))</f>
        <v>Edoardo Favorini</v>
      </c>
      <c r="D236" t="str">
        <f>INDEX(Rankings!C$2:'Rankings'!C$1149,MATCH(SMALL(Rankings!H$2:'Rankings'!H$1000,ROW()),Rankings!H$2:'Rankings'!H$1000,0))</f>
        <v>Edoardo Favorini</v>
      </c>
      <c r="G236" t="str">
        <f>INDEX(Rankings!C$2:'Rankings'!C$1149,MATCH(SMALL(Rankings!H$2:'Rankings'!H$1000,ROW()),Rankings!H$2:'Rankings'!H$1000,0))</f>
        <v>Edoardo Favorini</v>
      </c>
    </row>
    <row r="237" spans="2:7" hidden="1" outlineLevel="1" x14ac:dyDescent="0.25">
      <c r="B237" t="str">
        <f>INDEX(Rankings!C$2:'Rankings'!C$1149,MATCH(SMALL(Rankings!H$2:'Rankings'!H$1000,ROW()),Rankings!H$2:'Rankings'!H$1000,0))</f>
        <v>Edoardo Gargano</v>
      </c>
      <c r="C237" t="str">
        <f>INDEX(Rankings!C$2:'Rankings'!C$1149,MATCH(SMALL(Rankings!H$2:'Rankings'!H$1000,ROW()),Rankings!H$2:'Rankings'!H$1000,0))</f>
        <v>Edoardo Gargano</v>
      </c>
      <c r="D237" t="str">
        <f>INDEX(Rankings!C$2:'Rankings'!C$1149,MATCH(SMALL(Rankings!H$2:'Rankings'!H$1000,ROW()),Rankings!H$2:'Rankings'!H$1000,0))</f>
        <v>Edoardo Gargano</v>
      </c>
      <c r="G237" t="str">
        <f>INDEX(Rankings!C$2:'Rankings'!C$1149,MATCH(SMALL(Rankings!H$2:'Rankings'!H$1000,ROW()),Rankings!H$2:'Rankings'!H$1000,0))</f>
        <v>Edoardo Gargano</v>
      </c>
    </row>
    <row r="238" spans="2:7" hidden="1" outlineLevel="1" x14ac:dyDescent="0.25">
      <c r="B238" t="str">
        <f>INDEX(Rankings!C$2:'Rankings'!C$1149,MATCH(SMALL(Rankings!H$2:'Rankings'!H$1000,ROW()),Rankings!H$2:'Rankings'!H$1000,0))</f>
        <v>Eduardo Suero</v>
      </c>
      <c r="C238" t="str">
        <f>INDEX(Rankings!C$2:'Rankings'!C$1149,MATCH(SMALL(Rankings!H$2:'Rankings'!H$1000,ROW()),Rankings!H$2:'Rankings'!H$1000,0))</f>
        <v>Eduardo Suero</v>
      </c>
      <c r="D238" t="str">
        <f>INDEX(Rankings!C$2:'Rankings'!C$1149,MATCH(SMALL(Rankings!H$2:'Rankings'!H$1000,ROW()),Rankings!H$2:'Rankings'!H$1000,0))</f>
        <v>Eduardo Suero</v>
      </c>
      <c r="G238" t="str">
        <f>INDEX(Rankings!C$2:'Rankings'!C$1149,MATCH(SMALL(Rankings!H$2:'Rankings'!H$1000,ROW()),Rankings!H$2:'Rankings'!H$1000,0))</f>
        <v>Eduardo Suero</v>
      </c>
    </row>
    <row r="239" spans="2:7" hidden="1" outlineLevel="1" x14ac:dyDescent="0.25">
      <c r="B239" t="str">
        <f>INDEX(Rankings!C$2:'Rankings'!C$1149,MATCH(SMALL(Rankings!H$2:'Rankings'!H$1000,ROW()),Rankings!H$2:'Rankings'!H$1000,0))</f>
        <v>Eitan Labinaz</v>
      </c>
      <c r="C239" t="str">
        <f>INDEX(Rankings!C$2:'Rankings'!C$1149,MATCH(SMALL(Rankings!H$2:'Rankings'!H$1000,ROW()),Rankings!H$2:'Rankings'!H$1000,0))</f>
        <v>Eitan Labinaz</v>
      </c>
      <c r="D239" t="str">
        <f>INDEX(Rankings!C$2:'Rankings'!C$1149,MATCH(SMALL(Rankings!H$2:'Rankings'!H$1000,ROW()),Rankings!H$2:'Rankings'!H$1000,0))</f>
        <v>Eitan Labinaz</v>
      </c>
      <c r="G239" t="str">
        <f>INDEX(Rankings!C$2:'Rankings'!C$1149,MATCH(SMALL(Rankings!H$2:'Rankings'!H$1000,ROW()),Rankings!H$2:'Rankings'!H$1000,0))</f>
        <v>Eitan Labinaz</v>
      </c>
    </row>
    <row r="240" spans="2:7" hidden="1" outlineLevel="1" x14ac:dyDescent="0.25">
      <c r="B240" t="str">
        <f>INDEX(Rankings!C$2:'Rankings'!C$1149,MATCH(SMALL(Rankings!H$2:'Rankings'!H$1000,ROW()),Rankings!H$2:'Rankings'!H$1000,0))</f>
        <v>Elena Dal Gesso</v>
      </c>
      <c r="C240" t="str">
        <f>INDEX(Rankings!C$2:'Rankings'!C$1149,MATCH(SMALL(Rankings!H$2:'Rankings'!H$1000,ROW()),Rankings!H$2:'Rankings'!H$1000,0))</f>
        <v>Elena Dal Gesso</v>
      </c>
      <c r="D240" t="str">
        <f>INDEX(Rankings!C$2:'Rankings'!C$1149,MATCH(SMALL(Rankings!H$2:'Rankings'!H$1000,ROW()),Rankings!H$2:'Rankings'!H$1000,0))</f>
        <v>Elena Dal Gesso</v>
      </c>
      <c r="G240" t="str">
        <f>INDEX(Rankings!C$2:'Rankings'!C$1149,MATCH(SMALL(Rankings!H$2:'Rankings'!H$1000,ROW()),Rankings!H$2:'Rankings'!H$1000,0))</f>
        <v>Elena Dal Gesso</v>
      </c>
    </row>
    <row r="241" spans="2:7" hidden="1" outlineLevel="1" x14ac:dyDescent="0.25">
      <c r="B241" t="str">
        <f>INDEX(Rankings!C$2:'Rankings'!C$1149,MATCH(SMALL(Rankings!H$2:'Rankings'!H$1000,ROW()),Rankings!H$2:'Rankings'!H$1000,0))</f>
        <v>Eleonora Imazio</v>
      </c>
      <c r="C241" t="str">
        <f>INDEX(Rankings!C$2:'Rankings'!C$1149,MATCH(SMALL(Rankings!H$2:'Rankings'!H$1000,ROW()),Rankings!H$2:'Rankings'!H$1000,0))</f>
        <v>Eleonora Imazio</v>
      </c>
      <c r="D241" t="str">
        <f>INDEX(Rankings!C$2:'Rankings'!C$1149,MATCH(SMALL(Rankings!H$2:'Rankings'!H$1000,ROW()),Rankings!H$2:'Rankings'!H$1000,0))</f>
        <v>Eleonora Imazio</v>
      </c>
      <c r="G241" t="str">
        <f>INDEX(Rankings!C$2:'Rankings'!C$1149,MATCH(SMALL(Rankings!H$2:'Rankings'!H$1000,ROW()),Rankings!H$2:'Rankings'!H$1000,0))</f>
        <v>Eleonora Imazio</v>
      </c>
    </row>
    <row r="242" spans="2:7" hidden="1" outlineLevel="1" x14ac:dyDescent="0.25">
      <c r="B242" t="str">
        <f>INDEX(Rankings!C$2:'Rankings'!C$1149,MATCH(SMALL(Rankings!H$2:'Rankings'!H$1000,ROW()),Rankings!H$2:'Rankings'!H$1000,0))</f>
        <v>Elke Herwick</v>
      </c>
      <c r="C242" t="str">
        <f>INDEX(Rankings!C$2:'Rankings'!C$1149,MATCH(SMALL(Rankings!H$2:'Rankings'!H$1000,ROW()),Rankings!H$2:'Rankings'!H$1000,0))</f>
        <v>Elke Herwick</v>
      </c>
      <c r="D242" t="str">
        <f>INDEX(Rankings!C$2:'Rankings'!C$1149,MATCH(SMALL(Rankings!H$2:'Rankings'!H$1000,ROW()),Rankings!H$2:'Rankings'!H$1000,0))</f>
        <v>Elke Herwick</v>
      </c>
      <c r="G242" t="str">
        <f>INDEX(Rankings!C$2:'Rankings'!C$1149,MATCH(SMALL(Rankings!H$2:'Rankings'!H$1000,ROW()),Rankings!H$2:'Rankings'!H$1000,0))</f>
        <v>Elke Herwick</v>
      </c>
    </row>
    <row r="243" spans="2:7" hidden="1" outlineLevel="1" x14ac:dyDescent="0.25">
      <c r="B243" t="str">
        <f>INDEX(Rankings!C$2:'Rankings'!C$1149,MATCH(SMALL(Rankings!H$2:'Rankings'!H$1000,ROW()),Rankings!H$2:'Rankings'!H$1000,0))</f>
        <v>Emanuele Faustini</v>
      </c>
      <c r="C243" t="str">
        <f>INDEX(Rankings!C$2:'Rankings'!C$1149,MATCH(SMALL(Rankings!H$2:'Rankings'!H$1000,ROW()),Rankings!H$2:'Rankings'!H$1000,0))</f>
        <v>Emanuele Faustini</v>
      </c>
      <c r="D243" t="str">
        <f>INDEX(Rankings!C$2:'Rankings'!C$1149,MATCH(SMALL(Rankings!H$2:'Rankings'!H$1000,ROW()),Rankings!H$2:'Rankings'!H$1000,0))</f>
        <v>Emanuele Faustini</v>
      </c>
      <c r="G243" t="str">
        <f>INDEX(Rankings!C$2:'Rankings'!C$1149,MATCH(SMALL(Rankings!H$2:'Rankings'!H$1000,ROW()),Rankings!H$2:'Rankings'!H$1000,0))</f>
        <v>Emanuele Faustini</v>
      </c>
    </row>
    <row r="244" spans="2:7" hidden="1" outlineLevel="1" x14ac:dyDescent="0.25">
      <c r="B244" t="str">
        <f>INDEX(Rankings!C$2:'Rankings'!C$1149,MATCH(SMALL(Rankings!H$2:'Rankings'!H$1000,ROW()),Rankings!H$2:'Rankings'!H$1000,0))</f>
        <v>Emidio Prosperi</v>
      </c>
      <c r="C244" t="str">
        <f>INDEX(Rankings!C$2:'Rankings'!C$1149,MATCH(SMALL(Rankings!H$2:'Rankings'!H$1000,ROW()),Rankings!H$2:'Rankings'!H$1000,0))</f>
        <v>Emidio Prosperi</v>
      </c>
      <c r="D244" t="str">
        <f>INDEX(Rankings!C$2:'Rankings'!C$1149,MATCH(SMALL(Rankings!H$2:'Rankings'!H$1000,ROW()),Rankings!H$2:'Rankings'!H$1000,0))</f>
        <v>Emidio Prosperi</v>
      </c>
      <c r="G244" t="str">
        <f>INDEX(Rankings!C$2:'Rankings'!C$1149,MATCH(SMALL(Rankings!H$2:'Rankings'!H$1000,ROW()),Rankings!H$2:'Rankings'!H$1000,0))</f>
        <v>Emidio Prosperi</v>
      </c>
    </row>
    <row r="245" spans="2:7" hidden="1" outlineLevel="1" x14ac:dyDescent="0.25">
      <c r="B245" t="str">
        <f>INDEX(Rankings!C$2:'Rankings'!C$1149,MATCH(SMALL(Rankings!H$2:'Rankings'!H$1000,ROW()),Rankings!H$2:'Rankings'!H$1000,0))</f>
        <v>Merle Witvoet</v>
      </c>
      <c r="C245" t="str">
        <f>INDEX(Rankings!C$2:'Rankings'!C$1149,MATCH(SMALL(Rankings!H$2:'Rankings'!H$1000,ROW()),Rankings!H$2:'Rankings'!H$1000,0))</f>
        <v>Merle Witvoet</v>
      </c>
      <c r="D245" t="str">
        <f>INDEX(Rankings!C$2:'Rankings'!C$1149,MATCH(SMALL(Rankings!H$2:'Rankings'!H$1000,ROW()),Rankings!H$2:'Rankings'!H$1000,0))</f>
        <v>Merle Witvoet</v>
      </c>
      <c r="G245" t="str">
        <f>INDEX(Rankings!C$2:'Rankings'!C$1149,MATCH(SMALL(Rankings!H$2:'Rankings'!H$1000,ROW()),Rankings!H$2:'Rankings'!H$1000,0))</f>
        <v>Merle Witvoet</v>
      </c>
    </row>
    <row r="246" spans="2:7" hidden="1" outlineLevel="1" x14ac:dyDescent="0.25">
      <c r="B246" t="str">
        <f>INDEX(Rankings!C$2:'Rankings'!C$1149,MATCH(SMALL(Rankings!H$2:'Rankings'!H$1000,ROW()),Rankings!H$2:'Rankings'!H$1000,0))</f>
        <v>Emiliano Verrino</v>
      </c>
      <c r="C246" t="str">
        <f>INDEX(Rankings!C$2:'Rankings'!C$1149,MATCH(SMALL(Rankings!H$2:'Rankings'!H$1000,ROW()),Rankings!H$2:'Rankings'!H$1000,0))</f>
        <v>Emiliano Verrino</v>
      </c>
      <c r="D246" t="str">
        <f>INDEX(Rankings!C$2:'Rankings'!C$1149,MATCH(SMALL(Rankings!H$2:'Rankings'!H$1000,ROW()),Rankings!H$2:'Rankings'!H$1000,0))</f>
        <v>Emiliano Verrino</v>
      </c>
      <c r="G246" t="str">
        <f>INDEX(Rankings!C$2:'Rankings'!C$1149,MATCH(SMALL(Rankings!H$2:'Rankings'!H$1000,ROW()),Rankings!H$2:'Rankings'!H$1000,0))</f>
        <v>Emiliano Verrino</v>
      </c>
    </row>
    <row r="247" spans="2:7" hidden="1" outlineLevel="1" x14ac:dyDescent="0.25">
      <c r="B247" t="str">
        <f>INDEX(Rankings!C$2:'Rankings'!C$1149,MATCH(SMALL(Rankings!H$2:'Rankings'!H$1000,ROW()),Rankings!H$2:'Rankings'!H$1000,0))</f>
        <v>Emma Kahle</v>
      </c>
      <c r="C247" t="str">
        <f>INDEX(Rankings!C$2:'Rankings'!C$1149,MATCH(SMALL(Rankings!H$2:'Rankings'!H$1000,ROW()),Rankings!H$2:'Rankings'!H$1000,0))</f>
        <v>Emma Kahle</v>
      </c>
      <c r="D247" t="str">
        <f>INDEX(Rankings!C$2:'Rankings'!C$1149,MATCH(SMALL(Rankings!H$2:'Rankings'!H$1000,ROW()),Rankings!H$2:'Rankings'!H$1000,0))</f>
        <v>Emma Kahle</v>
      </c>
      <c r="G247" t="str">
        <f>INDEX(Rankings!C$2:'Rankings'!C$1149,MATCH(SMALL(Rankings!H$2:'Rankings'!H$1000,ROW()),Rankings!H$2:'Rankings'!H$1000,0))</f>
        <v>Emma Kahle</v>
      </c>
    </row>
    <row r="248" spans="2:7" hidden="1" outlineLevel="1" x14ac:dyDescent="0.25">
      <c r="B248" t="str">
        <f>INDEX(Rankings!C$2:'Rankings'!C$1149,MATCH(SMALL(Rankings!H$2:'Rankings'!H$1000,ROW()),Rankings!H$2:'Rankings'!H$1000,0))</f>
        <v>Ennio Scrimieri</v>
      </c>
      <c r="C248" t="str">
        <f>INDEX(Rankings!C$2:'Rankings'!C$1149,MATCH(SMALL(Rankings!H$2:'Rankings'!H$1000,ROW()),Rankings!H$2:'Rankings'!H$1000,0))</f>
        <v>Ennio Scrimieri</v>
      </c>
      <c r="D248" t="str">
        <f>INDEX(Rankings!C$2:'Rankings'!C$1149,MATCH(SMALL(Rankings!H$2:'Rankings'!H$1000,ROW()),Rankings!H$2:'Rankings'!H$1000,0))</f>
        <v>Ennio Scrimieri</v>
      </c>
      <c r="G248" t="str">
        <f>INDEX(Rankings!C$2:'Rankings'!C$1149,MATCH(SMALL(Rankings!H$2:'Rankings'!H$1000,ROW()),Rankings!H$2:'Rankings'!H$1000,0))</f>
        <v>Ennio Scrimieri</v>
      </c>
    </row>
    <row r="249" spans="2:7" hidden="1" outlineLevel="1" x14ac:dyDescent="0.25">
      <c r="B249" t="str">
        <f>INDEX(Rankings!C$2:'Rankings'!C$1149,MATCH(SMALL(Rankings!H$2:'Rankings'!H$1000,ROW()),Rankings!H$2:'Rankings'!H$1000,0))</f>
        <v>Enrico Barsanti</v>
      </c>
      <c r="C249" t="str">
        <f>INDEX(Rankings!C$2:'Rankings'!C$1149,MATCH(SMALL(Rankings!H$2:'Rankings'!H$1000,ROW()),Rankings!H$2:'Rankings'!H$1000,0))</f>
        <v>Enrico Barsanti</v>
      </c>
      <c r="D249" t="str">
        <f>INDEX(Rankings!C$2:'Rankings'!C$1149,MATCH(SMALL(Rankings!H$2:'Rankings'!H$1000,ROW()),Rankings!H$2:'Rankings'!H$1000,0))</f>
        <v>Enrico Barsanti</v>
      </c>
      <c r="G249" t="str">
        <f>INDEX(Rankings!C$2:'Rankings'!C$1149,MATCH(SMALL(Rankings!H$2:'Rankings'!H$1000,ROW()),Rankings!H$2:'Rankings'!H$1000,0))</f>
        <v>Enrico Barsanti</v>
      </c>
    </row>
    <row r="250" spans="2:7" hidden="1" outlineLevel="1" x14ac:dyDescent="0.25">
      <c r="B250" t="str">
        <f>INDEX(Rankings!C$2:'Rankings'!C$1149,MATCH(SMALL(Rankings!H$2:'Rankings'!H$1000,ROW()),Rankings!H$2:'Rankings'!H$1000,0))</f>
        <v>Enrique Faria</v>
      </c>
      <c r="C250" t="str">
        <f>INDEX(Rankings!C$2:'Rankings'!C$1149,MATCH(SMALL(Rankings!H$2:'Rankings'!H$1000,ROW()),Rankings!H$2:'Rankings'!H$1000,0))</f>
        <v>Enrique Faria</v>
      </c>
      <c r="D250" t="str">
        <f>INDEX(Rankings!C$2:'Rankings'!C$1149,MATCH(SMALL(Rankings!H$2:'Rankings'!H$1000,ROW()),Rankings!H$2:'Rankings'!H$1000,0))</f>
        <v>Enrique Faria</v>
      </c>
      <c r="G250" t="str">
        <f>INDEX(Rankings!C$2:'Rankings'!C$1149,MATCH(SMALL(Rankings!H$2:'Rankings'!H$1000,ROW()),Rankings!H$2:'Rankings'!H$1000,0))</f>
        <v>Enrique Faria</v>
      </c>
    </row>
    <row r="251" spans="2:7" hidden="1" outlineLevel="1" x14ac:dyDescent="0.25">
      <c r="B251" t="str">
        <f>INDEX(Rankings!C$2:'Rankings'!C$1149,MATCH(SMALL(Rankings!H$2:'Rankings'!H$1000,ROW()),Rankings!H$2:'Rankings'!H$1000,0))</f>
        <v>Enrique Ortiz</v>
      </c>
      <c r="C251" t="str">
        <f>INDEX(Rankings!C$2:'Rankings'!C$1149,MATCH(SMALL(Rankings!H$2:'Rankings'!H$1000,ROW()),Rankings!H$2:'Rankings'!H$1000,0))</f>
        <v>Enrique Ortiz</v>
      </c>
      <c r="D251" t="str">
        <f>INDEX(Rankings!C$2:'Rankings'!C$1149,MATCH(SMALL(Rankings!H$2:'Rankings'!H$1000,ROW()),Rankings!H$2:'Rankings'!H$1000,0))</f>
        <v>Enrique Ortiz</v>
      </c>
      <c r="G251" t="str">
        <f>INDEX(Rankings!C$2:'Rankings'!C$1149,MATCH(SMALL(Rankings!H$2:'Rankings'!H$1000,ROW()),Rankings!H$2:'Rankings'!H$1000,0))</f>
        <v>Enrique Ortiz</v>
      </c>
    </row>
    <row r="252" spans="2:7" hidden="1" outlineLevel="1" x14ac:dyDescent="0.25">
      <c r="B252" t="str">
        <f>INDEX(Rankings!C$2:'Rankings'!C$1149,MATCH(SMALL(Rankings!H$2:'Rankings'!H$1000,ROW()),Rankings!H$2:'Rankings'!H$1000,0))</f>
        <v>Eric Gibbons</v>
      </c>
      <c r="C252" t="str">
        <f>INDEX(Rankings!C$2:'Rankings'!C$1149,MATCH(SMALL(Rankings!H$2:'Rankings'!H$1000,ROW()),Rankings!H$2:'Rankings'!H$1000,0))</f>
        <v>Eric Gibbons</v>
      </c>
      <c r="D252" t="str">
        <f>INDEX(Rankings!C$2:'Rankings'!C$1149,MATCH(SMALL(Rankings!H$2:'Rankings'!H$1000,ROW()),Rankings!H$2:'Rankings'!H$1000,0))</f>
        <v>Eric Gibbons</v>
      </c>
      <c r="G252" t="str">
        <f>INDEX(Rankings!C$2:'Rankings'!C$1149,MATCH(SMALL(Rankings!H$2:'Rankings'!H$1000,ROW()),Rankings!H$2:'Rankings'!H$1000,0))</f>
        <v>Eric Gibbons</v>
      </c>
    </row>
    <row r="253" spans="2:7" hidden="1" outlineLevel="1" x14ac:dyDescent="0.25">
      <c r="B253" t="str">
        <f>INDEX(Rankings!C$2:'Rankings'!C$1149,MATCH(SMALL(Rankings!H$2:'Rankings'!H$1000,ROW()),Rankings!H$2:'Rankings'!H$1000,0))</f>
        <v>Alena Vojtekova</v>
      </c>
      <c r="C253" t="str">
        <f>INDEX(Rankings!C$2:'Rankings'!C$1149,MATCH(SMALL(Rankings!H$2:'Rankings'!H$1000,ROW()),Rankings!H$2:'Rankings'!H$1000,0))</f>
        <v>Alena Vojtekova</v>
      </c>
      <c r="D253" t="str">
        <f>INDEX(Rankings!C$2:'Rankings'!C$1149,MATCH(SMALL(Rankings!H$2:'Rankings'!H$1000,ROW()),Rankings!H$2:'Rankings'!H$1000,0))</f>
        <v>Alena Vojtekova</v>
      </c>
      <c r="G253" t="str">
        <f>INDEX(Rankings!C$2:'Rankings'!C$1149,MATCH(SMALL(Rankings!H$2:'Rankings'!H$1000,ROW()),Rankings!H$2:'Rankings'!H$1000,0))</f>
        <v>Alena Vojtekova</v>
      </c>
    </row>
    <row r="254" spans="2:7" hidden="1" outlineLevel="1" x14ac:dyDescent="0.25">
      <c r="B254" t="str">
        <f>INDEX(Rankings!C$2:'Rankings'!C$1149,MATCH(SMALL(Rankings!H$2:'Rankings'!H$1000,ROW()),Rankings!H$2:'Rankings'!H$1000,0))</f>
        <v>Erik Drummond</v>
      </c>
      <c r="C254" t="str">
        <f>INDEX(Rankings!C$2:'Rankings'!C$1149,MATCH(SMALL(Rankings!H$2:'Rankings'!H$1000,ROW()),Rankings!H$2:'Rankings'!H$1000,0))</f>
        <v>Erik Drummond</v>
      </c>
      <c r="D254" t="str">
        <f>INDEX(Rankings!C$2:'Rankings'!C$1149,MATCH(SMALL(Rankings!H$2:'Rankings'!H$1000,ROW()),Rankings!H$2:'Rankings'!H$1000,0))</f>
        <v>Erik Drummond</v>
      </c>
      <c r="G254" t="str">
        <f>INDEX(Rankings!C$2:'Rankings'!C$1149,MATCH(SMALL(Rankings!H$2:'Rankings'!H$1000,ROW()),Rankings!H$2:'Rankings'!H$1000,0))</f>
        <v>Erik Drummond</v>
      </c>
    </row>
    <row r="255" spans="2:7" hidden="1" outlineLevel="1" x14ac:dyDescent="0.25">
      <c r="B255" t="str">
        <f>INDEX(Rankings!C$2:'Rankings'!C$1149,MATCH(SMALL(Rankings!H$2:'Rankings'!H$1000,ROW()),Rankings!H$2:'Rankings'!H$1000,0))</f>
        <v>Ermanno Mantovani</v>
      </c>
      <c r="C255" t="str">
        <f>INDEX(Rankings!C$2:'Rankings'!C$1149,MATCH(SMALL(Rankings!H$2:'Rankings'!H$1000,ROW()),Rankings!H$2:'Rankings'!H$1000,0))</f>
        <v>Ermanno Mantovani</v>
      </c>
      <c r="D255" t="str">
        <f>INDEX(Rankings!C$2:'Rankings'!C$1149,MATCH(SMALL(Rankings!H$2:'Rankings'!H$1000,ROW()),Rankings!H$2:'Rankings'!H$1000,0))</f>
        <v>Ermanno Mantovani</v>
      </c>
      <c r="G255" t="str">
        <f>INDEX(Rankings!C$2:'Rankings'!C$1149,MATCH(SMALL(Rankings!H$2:'Rankings'!H$1000,ROW()),Rankings!H$2:'Rankings'!H$1000,0))</f>
        <v>Ermanno Mantovani</v>
      </c>
    </row>
    <row r="256" spans="2:7" hidden="1" outlineLevel="1" x14ac:dyDescent="0.25">
      <c r="B256" t="str">
        <f>INDEX(Rankings!C$2:'Rankings'!C$1149,MATCH(SMALL(Rankings!H$2:'Rankings'!H$1000,ROW()),Rankings!H$2:'Rankings'!H$1000,0))</f>
        <v>Erwin Velasquez</v>
      </c>
      <c r="C256" t="str">
        <f>INDEX(Rankings!C$2:'Rankings'!C$1149,MATCH(SMALL(Rankings!H$2:'Rankings'!H$1000,ROW()),Rankings!H$2:'Rankings'!H$1000,0))</f>
        <v>Erwin Velasquez</v>
      </c>
      <c r="D256" t="str">
        <f>INDEX(Rankings!C$2:'Rankings'!C$1149,MATCH(SMALL(Rankings!H$2:'Rankings'!H$1000,ROW()),Rankings!H$2:'Rankings'!H$1000,0))</f>
        <v>Erwin Velasquez</v>
      </c>
      <c r="G256" t="str">
        <f>INDEX(Rankings!C$2:'Rankings'!C$1149,MATCH(SMALL(Rankings!H$2:'Rankings'!H$1000,ROW()),Rankings!H$2:'Rankings'!H$1000,0))</f>
        <v>Erwin Velasquez</v>
      </c>
    </row>
    <row r="257" spans="2:7" hidden="1" outlineLevel="1" x14ac:dyDescent="0.25">
      <c r="B257" t="str">
        <f>INDEX(Rankings!C$2:'Rankings'!C$1149,MATCH(SMALL(Rankings!H$2:'Rankings'!H$1000,ROW()),Rankings!H$2:'Rankings'!H$1000,0))</f>
        <v>Ross Weatherbee</v>
      </c>
      <c r="C257" t="str">
        <f>INDEX(Rankings!C$2:'Rankings'!C$1149,MATCH(SMALL(Rankings!H$2:'Rankings'!H$1000,ROW()),Rankings!H$2:'Rankings'!H$1000,0))</f>
        <v>Ross Weatherbee</v>
      </c>
      <c r="D257" t="str">
        <f>INDEX(Rankings!C$2:'Rankings'!C$1149,MATCH(SMALL(Rankings!H$2:'Rankings'!H$1000,ROW()),Rankings!H$2:'Rankings'!H$1000,0))</f>
        <v>Ross Weatherbee</v>
      </c>
      <c r="G257" t="str">
        <f>INDEX(Rankings!C$2:'Rankings'!C$1149,MATCH(SMALL(Rankings!H$2:'Rankings'!H$1000,ROW()),Rankings!H$2:'Rankings'!H$1000,0))</f>
        <v>Ross Weatherbee</v>
      </c>
    </row>
    <row r="258" spans="2:7" hidden="1" outlineLevel="1" x14ac:dyDescent="0.25">
      <c r="B258" t="str">
        <f>INDEX(Rankings!C$2:'Rankings'!C$1149,MATCH(SMALL(Rankings!H$2:'Rankings'!H$1000,ROW()),Rankings!H$2:'Rankings'!H$1000,0))</f>
        <v>Evan Wallberg</v>
      </c>
      <c r="C258" t="str">
        <f>INDEX(Rankings!C$2:'Rankings'!C$1149,MATCH(SMALL(Rankings!H$2:'Rankings'!H$1000,ROW()),Rankings!H$2:'Rankings'!H$1000,0))</f>
        <v>Evan Wallberg</v>
      </c>
      <c r="D258" t="str">
        <f>INDEX(Rankings!C$2:'Rankings'!C$1149,MATCH(SMALL(Rankings!H$2:'Rankings'!H$1000,ROW()),Rankings!H$2:'Rankings'!H$1000,0))</f>
        <v>Evan Wallberg</v>
      </c>
      <c r="G258" t="str">
        <f>INDEX(Rankings!C$2:'Rankings'!C$1149,MATCH(SMALL(Rankings!H$2:'Rankings'!H$1000,ROW()),Rankings!H$2:'Rankings'!H$1000,0))</f>
        <v>Evan Wallberg</v>
      </c>
    </row>
    <row r="259" spans="2:7" hidden="1" outlineLevel="1" x14ac:dyDescent="0.25">
      <c r="B259" t="str">
        <f>INDEX(Rankings!C$2:'Rankings'!C$1149,MATCH(SMALL(Rankings!H$2:'Rankings'!H$1000,ROW()),Rankings!H$2:'Rankings'!H$1000,0))</f>
        <v>Fabian Dinklage</v>
      </c>
      <c r="C259" t="str">
        <f>INDEX(Rankings!C$2:'Rankings'!C$1149,MATCH(SMALL(Rankings!H$2:'Rankings'!H$1000,ROW()),Rankings!H$2:'Rankings'!H$1000,0))</f>
        <v>Fabian Dinklage</v>
      </c>
      <c r="D259" t="str">
        <f>INDEX(Rankings!C$2:'Rankings'!C$1149,MATCH(SMALL(Rankings!H$2:'Rankings'!H$1000,ROW()),Rankings!H$2:'Rankings'!H$1000,0))</f>
        <v>Fabian Dinklage</v>
      </c>
      <c r="G259" t="str">
        <f>INDEX(Rankings!C$2:'Rankings'!C$1149,MATCH(SMALL(Rankings!H$2:'Rankings'!H$1000,ROW()),Rankings!H$2:'Rankings'!H$1000,0))</f>
        <v>Fabian Dinklage</v>
      </c>
    </row>
    <row r="260" spans="2:7" hidden="1" outlineLevel="1" x14ac:dyDescent="0.25">
      <c r="B260" t="str">
        <f>INDEX(Rankings!C$2:'Rankings'!C$1149,MATCH(SMALL(Rankings!H$2:'Rankings'!H$1000,ROW()),Rankings!H$2:'Rankings'!H$1000,0))</f>
        <v>Fabian Lindblad</v>
      </c>
      <c r="C260" t="str">
        <f>INDEX(Rankings!C$2:'Rankings'!C$1149,MATCH(SMALL(Rankings!H$2:'Rankings'!H$1000,ROW()),Rankings!H$2:'Rankings'!H$1000,0))</f>
        <v>Fabian Lindblad</v>
      </c>
      <c r="D260" t="str">
        <f>INDEX(Rankings!C$2:'Rankings'!C$1149,MATCH(SMALL(Rankings!H$2:'Rankings'!H$1000,ROW()),Rankings!H$2:'Rankings'!H$1000,0))</f>
        <v>Fabian Lindblad</v>
      </c>
      <c r="G260" t="str">
        <f>INDEX(Rankings!C$2:'Rankings'!C$1149,MATCH(SMALL(Rankings!H$2:'Rankings'!H$1000,ROW()),Rankings!H$2:'Rankings'!H$1000,0))</f>
        <v>Fabian Lindblad</v>
      </c>
    </row>
    <row r="261" spans="2:7" hidden="1" outlineLevel="1" x14ac:dyDescent="0.25">
      <c r="B261" t="str">
        <f>INDEX(Rankings!C$2:'Rankings'!C$1149,MATCH(SMALL(Rankings!H$2:'Rankings'!H$1000,ROW()),Rankings!H$2:'Rankings'!H$1000,0))</f>
        <v>Fabiana Ciciriello</v>
      </c>
      <c r="C261" t="str">
        <f>INDEX(Rankings!C$2:'Rankings'!C$1149,MATCH(SMALL(Rankings!H$2:'Rankings'!H$1000,ROW()),Rankings!H$2:'Rankings'!H$1000,0))</f>
        <v>Fabiana Ciciriello</v>
      </c>
      <c r="D261" t="str">
        <f>INDEX(Rankings!C$2:'Rankings'!C$1149,MATCH(SMALL(Rankings!H$2:'Rankings'!H$1000,ROW()),Rankings!H$2:'Rankings'!H$1000,0))</f>
        <v>Fabiana Ciciriello</v>
      </c>
      <c r="G261" t="str">
        <f>INDEX(Rankings!C$2:'Rankings'!C$1149,MATCH(SMALL(Rankings!H$2:'Rankings'!H$1000,ROW()),Rankings!H$2:'Rankings'!H$1000,0))</f>
        <v>Fabiana Ciciriello</v>
      </c>
    </row>
    <row r="262" spans="2:7" hidden="1" outlineLevel="1" x14ac:dyDescent="0.25">
      <c r="B262" t="str">
        <f>INDEX(Rankings!C$2:'Rankings'!C$1149,MATCH(SMALL(Rankings!H$2:'Rankings'!H$1000,ROW()),Rankings!H$2:'Rankings'!H$1000,0))</f>
        <v>Fabio Caruso</v>
      </c>
      <c r="C262" t="str">
        <f>INDEX(Rankings!C$2:'Rankings'!C$1149,MATCH(SMALL(Rankings!H$2:'Rankings'!H$1000,ROW()),Rankings!H$2:'Rankings'!H$1000,0))</f>
        <v>Fabio Caruso</v>
      </c>
      <c r="D262" t="str">
        <f>INDEX(Rankings!C$2:'Rankings'!C$1149,MATCH(SMALL(Rankings!H$2:'Rankings'!H$1000,ROW()),Rankings!H$2:'Rankings'!H$1000,0))</f>
        <v>Fabio Caruso</v>
      </c>
      <c r="G262" t="str">
        <f>INDEX(Rankings!C$2:'Rankings'!C$1149,MATCH(SMALL(Rankings!H$2:'Rankings'!H$1000,ROW()),Rankings!H$2:'Rankings'!H$1000,0))</f>
        <v>Fabio Caruso</v>
      </c>
    </row>
    <row r="263" spans="2:7" hidden="1" outlineLevel="1" x14ac:dyDescent="0.25">
      <c r="B263" t="str">
        <f>INDEX(Rankings!C$2:'Rankings'!C$1149,MATCH(SMALL(Rankings!H$2:'Rankings'!H$1000,ROW()),Rankings!H$2:'Rankings'!H$1000,0))</f>
        <v>Fabio Nizzo</v>
      </c>
      <c r="C263" t="str">
        <f>INDEX(Rankings!C$2:'Rankings'!C$1149,MATCH(SMALL(Rankings!H$2:'Rankings'!H$1000,ROW()),Rankings!H$2:'Rankings'!H$1000,0))</f>
        <v>Fabio Nizzo</v>
      </c>
      <c r="D263" t="str">
        <f>INDEX(Rankings!C$2:'Rankings'!C$1149,MATCH(SMALL(Rankings!H$2:'Rankings'!H$1000,ROW()),Rankings!H$2:'Rankings'!H$1000,0))</f>
        <v>Fabio Nizzo</v>
      </c>
      <c r="G263" t="str">
        <f>INDEX(Rankings!C$2:'Rankings'!C$1149,MATCH(SMALL(Rankings!H$2:'Rankings'!H$1000,ROW()),Rankings!H$2:'Rankings'!H$1000,0))</f>
        <v>Fabio Nizzo</v>
      </c>
    </row>
    <row r="264" spans="2:7" hidden="1" outlineLevel="1" x14ac:dyDescent="0.25">
      <c r="B264" t="str">
        <f>INDEX(Rankings!C$2:'Rankings'!C$1149,MATCH(SMALL(Rankings!H$2:'Rankings'!H$1000,ROW()),Rankings!H$2:'Rankings'!H$1000,0))</f>
        <v>Fabio Percario</v>
      </c>
      <c r="C264" t="str">
        <f>INDEX(Rankings!C$2:'Rankings'!C$1149,MATCH(SMALL(Rankings!H$2:'Rankings'!H$1000,ROW()),Rankings!H$2:'Rankings'!H$1000,0))</f>
        <v>Fabio Percario</v>
      </c>
      <c r="D264" t="str">
        <f>INDEX(Rankings!C$2:'Rankings'!C$1149,MATCH(SMALL(Rankings!H$2:'Rankings'!H$1000,ROW()),Rankings!H$2:'Rankings'!H$1000,0))</f>
        <v>Fabio Percario</v>
      </c>
      <c r="G264" t="str">
        <f>INDEX(Rankings!C$2:'Rankings'!C$1149,MATCH(SMALL(Rankings!H$2:'Rankings'!H$1000,ROW()),Rankings!H$2:'Rankings'!H$1000,0))</f>
        <v>Fabio Percario</v>
      </c>
    </row>
    <row r="265" spans="2:7" hidden="1" outlineLevel="1" x14ac:dyDescent="0.25">
      <c r="B265" t="str">
        <f>INDEX(Rankings!C$2:'Rankings'!C$1149,MATCH(SMALL(Rankings!H$2:'Rankings'!H$1000,ROW()),Rankings!H$2:'Rankings'!H$1000,0))</f>
        <v>Fabio Sanna</v>
      </c>
      <c r="C265" t="str">
        <f>INDEX(Rankings!C$2:'Rankings'!C$1149,MATCH(SMALL(Rankings!H$2:'Rankings'!H$1000,ROW()),Rankings!H$2:'Rankings'!H$1000,0))</f>
        <v>Fabio Sanna</v>
      </c>
      <c r="D265" t="str">
        <f>INDEX(Rankings!C$2:'Rankings'!C$1149,MATCH(SMALL(Rankings!H$2:'Rankings'!H$1000,ROW()),Rankings!H$2:'Rankings'!H$1000,0))</f>
        <v>Fabio Sanna</v>
      </c>
      <c r="G265" t="str">
        <f>INDEX(Rankings!C$2:'Rankings'!C$1149,MATCH(SMALL(Rankings!H$2:'Rankings'!H$1000,ROW()),Rankings!H$2:'Rankings'!H$1000,0))</f>
        <v>Fabio Sanna</v>
      </c>
    </row>
    <row r="266" spans="2:7" hidden="1" outlineLevel="1" x14ac:dyDescent="0.25">
      <c r="B266" t="str">
        <f>INDEX(Rankings!C$2:'Rankings'!C$1149,MATCH(SMALL(Rankings!H$2:'Rankings'!H$1000,ROW()),Rankings!H$2:'Rankings'!H$1000,0))</f>
        <v>Fabio Vinciguerra</v>
      </c>
      <c r="C266" t="str">
        <f>INDEX(Rankings!C$2:'Rankings'!C$1149,MATCH(SMALL(Rankings!H$2:'Rankings'!H$1000,ROW()),Rankings!H$2:'Rankings'!H$1000,0))</f>
        <v>Fabio Vinciguerra</v>
      </c>
      <c r="D266" t="str">
        <f>INDEX(Rankings!C$2:'Rankings'!C$1149,MATCH(SMALL(Rankings!H$2:'Rankings'!H$1000,ROW()),Rankings!H$2:'Rankings'!H$1000,0))</f>
        <v>Fabio Vinciguerra</v>
      </c>
      <c r="G266" t="str">
        <f>INDEX(Rankings!C$2:'Rankings'!C$1149,MATCH(SMALL(Rankings!H$2:'Rankings'!H$1000,ROW()),Rankings!H$2:'Rankings'!H$1000,0))</f>
        <v>Fabio Vinciguerra</v>
      </c>
    </row>
    <row r="267" spans="2:7" hidden="1" outlineLevel="1" x14ac:dyDescent="0.25">
      <c r="B267" t="str">
        <f>INDEX(Rankings!C$2:'Rankings'!C$1149,MATCH(SMALL(Rankings!H$2:'Rankings'!H$1000,ROW()),Rankings!H$2:'Rankings'!H$1000,0))</f>
        <v>Fabrizio De Rossi</v>
      </c>
      <c r="C267" t="str">
        <f>INDEX(Rankings!C$2:'Rankings'!C$1149,MATCH(SMALL(Rankings!H$2:'Rankings'!H$1000,ROW()),Rankings!H$2:'Rankings'!H$1000,0))</f>
        <v>Fabrizio De Rossi</v>
      </c>
      <c r="D267" t="str">
        <f>INDEX(Rankings!C$2:'Rankings'!C$1149,MATCH(SMALL(Rankings!H$2:'Rankings'!H$1000,ROW()),Rankings!H$2:'Rankings'!H$1000,0))</f>
        <v>Fabrizio De Rossi</v>
      </c>
      <c r="G267" t="str">
        <f>INDEX(Rankings!C$2:'Rankings'!C$1149,MATCH(SMALL(Rankings!H$2:'Rankings'!H$1000,ROW()),Rankings!H$2:'Rankings'!H$1000,0))</f>
        <v>Fabrizio De Rossi</v>
      </c>
    </row>
    <row r="268" spans="2:7" hidden="1" outlineLevel="1" x14ac:dyDescent="0.25">
      <c r="B268" t="str">
        <f>INDEX(Rankings!C$2:'Rankings'!C$1149,MATCH(SMALL(Rankings!H$2:'Rankings'!H$1000,ROW()),Rankings!H$2:'Rankings'!H$1000,0))</f>
        <v>Fabrizio Gori</v>
      </c>
      <c r="C268" t="str">
        <f>INDEX(Rankings!C$2:'Rankings'!C$1149,MATCH(SMALL(Rankings!H$2:'Rankings'!H$1000,ROW()),Rankings!H$2:'Rankings'!H$1000,0))</f>
        <v>Fabrizio Gori</v>
      </c>
      <c r="D268" t="str">
        <f>INDEX(Rankings!C$2:'Rankings'!C$1149,MATCH(SMALL(Rankings!H$2:'Rankings'!H$1000,ROW()),Rankings!H$2:'Rankings'!H$1000,0))</f>
        <v>Fabrizio Gori</v>
      </c>
      <c r="G268" t="str">
        <f>INDEX(Rankings!C$2:'Rankings'!C$1149,MATCH(SMALL(Rankings!H$2:'Rankings'!H$1000,ROW()),Rankings!H$2:'Rankings'!H$1000,0))</f>
        <v>Fabrizio Gori</v>
      </c>
    </row>
    <row r="269" spans="2:7" hidden="1" outlineLevel="1" x14ac:dyDescent="0.25">
      <c r="B269" t="str">
        <f>INDEX(Rankings!C$2:'Rankings'!C$1149,MATCH(SMALL(Rankings!H$2:'Rankings'!H$1000,ROW()),Rankings!H$2:'Rankings'!H$1000,0))</f>
        <v>Fabrizio La Mura</v>
      </c>
      <c r="C269" t="str">
        <f>INDEX(Rankings!C$2:'Rankings'!C$1149,MATCH(SMALL(Rankings!H$2:'Rankings'!H$1000,ROW()),Rankings!H$2:'Rankings'!H$1000,0))</f>
        <v>Fabrizio La Mura</v>
      </c>
      <c r="D269" t="str">
        <f>INDEX(Rankings!C$2:'Rankings'!C$1149,MATCH(SMALL(Rankings!H$2:'Rankings'!H$1000,ROW()),Rankings!H$2:'Rankings'!H$1000,0))</f>
        <v>Fabrizio La Mura</v>
      </c>
      <c r="G269" t="str">
        <f>INDEX(Rankings!C$2:'Rankings'!C$1149,MATCH(SMALL(Rankings!H$2:'Rankings'!H$1000,ROW()),Rankings!H$2:'Rankings'!H$1000,0))</f>
        <v>Fabrizio La Mura</v>
      </c>
    </row>
    <row r="270" spans="2:7" hidden="1" outlineLevel="1" x14ac:dyDescent="0.25">
      <c r="B270" t="str">
        <f>INDEX(Rankings!C$2:'Rankings'!C$1149,MATCH(SMALL(Rankings!H$2:'Rankings'!H$1000,ROW()),Rankings!H$2:'Rankings'!H$1000,0))</f>
        <v>Fabrizio Nicco</v>
      </c>
      <c r="C270" t="str">
        <f>INDEX(Rankings!C$2:'Rankings'!C$1149,MATCH(SMALL(Rankings!H$2:'Rankings'!H$1000,ROW()),Rankings!H$2:'Rankings'!H$1000,0))</f>
        <v>Fabrizio Nicco</v>
      </c>
      <c r="D270" t="str">
        <f>INDEX(Rankings!C$2:'Rankings'!C$1149,MATCH(SMALL(Rankings!H$2:'Rankings'!H$1000,ROW()),Rankings!H$2:'Rankings'!H$1000,0))</f>
        <v>Fabrizio Nicco</v>
      </c>
      <c r="G270" t="str">
        <f>INDEX(Rankings!C$2:'Rankings'!C$1149,MATCH(SMALL(Rankings!H$2:'Rankings'!H$1000,ROW()),Rankings!H$2:'Rankings'!H$1000,0))</f>
        <v>Fabrizio Nicco</v>
      </c>
    </row>
    <row r="271" spans="2:7" hidden="1" outlineLevel="1" x14ac:dyDescent="0.25">
      <c r="B271" t="str">
        <f>INDEX(Rankings!C$2:'Rankings'!C$1149,MATCH(SMALL(Rankings!H$2:'Rankings'!H$1000,ROW()),Rankings!H$2:'Rankings'!H$1000,0))</f>
        <v>Fabrizio Stefano</v>
      </c>
      <c r="C271" t="str">
        <f>INDEX(Rankings!C$2:'Rankings'!C$1149,MATCH(SMALL(Rankings!H$2:'Rankings'!H$1000,ROW()),Rankings!H$2:'Rankings'!H$1000,0))</f>
        <v>Fabrizio Stefano</v>
      </c>
      <c r="D271" t="str">
        <f>INDEX(Rankings!C$2:'Rankings'!C$1149,MATCH(SMALL(Rankings!H$2:'Rankings'!H$1000,ROW()),Rankings!H$2:'Rankings'!H$1000,0))</f>
        <v>Fabrizio Stefano</v>
      </c>
      <c r="G271" t="str">
        <f>INDEX(Rankings!C$2:'Rankings'!C$1149,MATCH(SMALL(Rankings!H$2:'Rankings'!H$1000,ROW()),Rankings!H$2:'Rankings'!H$1000,0))</f>
        <v>Fabrizio Stefano</v>
      </c>
    </row>
    <row r="272" spans="2:7" hidden="1" outlineLevel="1" x14ac:dyDescent="0.25">
      <c r="B272" t="str">
        <f>INDEX(Rankings!C$2:'Rankings'!C$1149,MATCH(SMALL(Rankings!H$2:'Rankings'!H$1000,ROW()),Rankings!H$2:'Rankings'!H$1000,0))</f>
        <v>Fabrizio Valenti</v>
      </c>
      <c r="C272" t="str">
        <f>INDEX(Rankings!C$2:'Rankings'!C$1149,MATCH(SMALL(Rankings!H$2:'Rankings'!H$1000,ROW()),Rankings!H$2:'Rankings'!H$1000,0))</f>
        <v>Fabrizio Valenti</v>
      </c>
      <c r="D272" t="str">
        <f>INDEX(Rankings!C$2:'Rankings'!C$1149,MATCH(SMALL(Rankings!H$2:'Rankings'!H$1000,ROW()),Rankings!H$2:'Rankings'!H$1000,0))</f>
        <v>Fabrizio Valenti</v>
      </c>
      <c r="G272" t="str">
        <f>INDEX(Rankings!C$2:'Rankings'!C$1149,MATCH(SMALL(Rankings!H$2:'Rankings'!H$1000,ROW()),Rankings!H$2:'Rankings'!H$1000,0))</f>
        <v>Fabrizio Valenti</v>
      </c>
    </row>
    <row r="273" spans="2:7" hidden="1" outlineLevel="1" x14ac:dyDescent="0.25">
      <c r="B273" t="str">
        <f>INDEX(Rankings!C$2:'Rankings'!C$1149,MATCH(SMALL(Rankings!H$2:'Rankings'!H$1000,ROW()),Rankings!H$2:'Rankings'!H$1000,0))</f>
        <v>Fady Kalo</v>
      </c>
      <c r="C273" t="str">
        <f>INDEX(Rankings!C$2:'Rankings'!C$1149,MATCH(SMALL(Rankings!H$2:'Rankings'!H$1000,ROW()),Rankings!H$2:'Rankings'!H$1000,0))</f>
        <v>Fady Kalo</v>
      </c>
      <c r="D273" t="str">
        <f>INDEX(Rankings!C$2:'Rankings'!C$1149,MATCH(SMALL(Rankings!H$2:'Rankings'!H$1000,ROW()),Rankings!H$2:'Rankings'!H$1000,0))</f>
        <v>Fady Kalo</v>
      </c>
      <c r="G273" t="str">
        <f>INDEX(Rankings!C$2:'Rankings'!C$1149,MATCH(SMALL(Rankings!H$2:'Rankings'!H$1000,ROW()),Rankings!H$2:'Rankings'!H$1000,0))</f>
        <v>Fady Kalo</v>
      </c>
    </row>
    <row r="274" spans="2:7" hidden="1" outlineLevel="1" x14ac:dyDescent="0.25">
      <c r="B274" t="str">
        <f>INDEX(Rankings!C$2:'Rankings'!C$1149,MATCH(SMALL(Rankings!H$2:'Rankings'!H$1000,ROW()),Rankings!H$2:'Rankings'!H$1000,0))</f>
        <v>Fathi Abdelli</v>
      </c>
      <c r="C274" t="str">
        <f>INDEX(Rankings!C$2:'Rankings'!C$1149,MATCH(SMALL(Rankings!H$2:'Rankings'!H$1000,ROW()),Rankings!H$2:'Rankings'!H$1000,0))</f>
        <v>Fathi Abdelli</v>
      </c>
      <c r="D274" t="str">
        <f>INDEX(Rankings!C$2:'Rankings'!C$1149,MATCH(SMALL(Rankings!H$2:'Rankings'!H$1000,ROW()),Rankings!H$2:'Rankings'!H$1000,0))</f>
        <v>Fathi Abdelli</v>
      </c>
      <c r="G274" t="str">
        <f>INDEX(Rankings!C$2:'Rankings'!C$1149,MATCH(SMALL(Rankings!H$2:'Rankings'!H$1000,ROW()),Rankings!H$2:'Rankings'!H$1000,0))</f>
        <v>Fathi Abdelli</v>
      </c>
    </row>
    <row r="275" spans="2:7" hidden="1" outlineLevel="1" x14ac:dyDescent="0.25">
      <c r="B275" t="str">
        <f>INDEX(Rankings!C$2:'Rankings'!C$1149,MATCH(SMALL(Rankings!H$2:'Rankings'!H$1000,ROW()),Rankings!H$2:'Rankings'!H$1000,0))</f>
        <v>Federico Bianchini</v>
      </c>
      <c r="C275" t="str">
        <f>INDEX(Rankings!C$2:'Rankings'!C$1149,MATCH(SMALL(Rankings!H$2:'Rankings'!H$1000,ROW()),Rankings!H$2:'Rankings'!H$1000,0))</f>
        <v>Federico Bianchini</v>
      </c>
      <c r="D275" t="str">
        <f>INDEX(Rankings!C$2:'Rankings'!C$1149,MATCH(SMALL(Rankings!H$2:'Rankings'!H$1000,ROW()),Rankings!H$2:'Rankings'!H$1000,0))</f>
        <v>Federico Bianchini</v>
      </c>
      <c r="G275" t="str">
        <f>INDEX(Rankings!C$2:'Rankings'!C$1149,MATCH(SMALL(Rankings!H$2:'Rankings'!H$1000,ROW()),Rankings!H$2:'Rankings'!H$1000,0))</f>
        <v>Federico Bianchini</v>
      </c>
    </row>
    <row r="276" spans="2:7" hidden="1" outlineLevel="1" x14ac:dyDescent="0.25">
      <c r="B276" t="str">
        <f>INDEX(Rankings!C$2:'Rankings'!C$1149,MATCH(SMALL(Rankings!H$2:'Rankings'!H$1000,ROW()),Rankings!H$2:'Rankings'!H$1000,0))</f>
        <v>Federico Bon</v>
      </c>
      <c r="C276" t="str">
        <f>INDEX(Rankings!C$2:'Rankings'!C$1149,MATCH(SMALL(Rankings!H$2:'Rankings'!H$1000,ROW()),Rankings!H$2:'Rankings'!H$1000,0))</f>
        <v>Federico Bon</v>
      </c>
      <c r="D276" t="str">
        <f>INDEX(Rankings!C$2:'Rankings'!C$1149,MATCH(SMALL(Rankings!H$2:'Rankings'!H$1000,ROW()),Rankings!H$2:'Rankings'!H$1000,0))</f>
        <v>Federico Bon</v>
      </c>
      <c r="G276" t="str">
        <f>INDEX(Rankings!C$2:'Rankings'!C$1149,MATCH(SMALL(Rankings!H$2:'Rankings'!H$1000,ROW()),Rankings!H$2:'Rankings'!H$1000,0))</f>
        <v>Federico Bon</v>
      </c>
    </row>
    <row r="277" spans="2:7" hidden="1" outlineLevel="1" x14ac:dyDescent="0.25">
      <c r="B277" t="str">
        <f>INDEX(Rankings!C$2:'Rankings'!C$1149,MATCH(SMALL(Rankings!H$2:'Rankings'!H$1000,ROW()),Rankings!H$2:'Rankings'!H$1000,0))</f>
        <v>Federico Iommi</v>
      </c>
      <c r="C277" t="str">
        <f>INDEX(Rankings!C$2:'Rankings'!C$1149,MATCH(SMALL(Rankings!H$2:'Rankings'!H$1000,ROW()),Rankings!H$2:'Rankings'!H$1000,0))</f>
        <v>Federico Iommi</v>
      </c>
      <c r="D277" t="str">
        <f>INDEX(Rankings!C$2:'Rankings'!C$1149,MATCH(SMALL(Rankings!H$2:'Rankings'!H$1000,ROW()),Rankings!H$2:'Rankings'!H$1000,0))</f>
        <v>Federico Iommi</v>
      </c>
      <c r="G277" t="str">
        <f>INDEX(Rankings!C$2:'Rankings'!C$1149,MATCH(SMALL(Rankings!H$2:'Rankings'!H$1000,ROW()),Rankings!H$2:'Rankings'!H$1000,0))</f>
        <v>Federico Iommi</v>
      </c>
    </row>
    <row r="278" spans="2:7" hidden="1" outlineLevel="1" x14ac:dyDescent="0.25">
      <c r="B278" t="str">
        <f>INDEX(Rankings!C$2:'Rankings'!C$1149,MATCH(SMALL(Rankings!H$2:'Rankings'!H$1000,ROW()),Rankings!H$2:'Rankings'!H$1000,0))</f>
        <v>Felipe Torres</v>
      </c>
      <c r="C278" t="str">
        <f>INDEX(Rankings!C$2:'Rankings'!C$1149,MATCH(SMALL(Rankings!H$2:'Rankings'!H$1000,ROW()),Rankings!H$2:'Rankings'!H$1000,0))</f>
        <v>Felipe Torres</v>
      </c>
      <c r="D278" t="str">
        <f>INDEX(Rankings!C$2:'Rankings'!C$1149,MATCH(SMALL(Rankings!H$2:'Rankings'!H$1000,ROW()),Rankings!H$2:'Rankings'!H$1000,0))</f>
        <v>Felipe Torres</v>
      </c>
      <c r="G278" t="str">
        <f>INDEX(Rankings!C$2:'Rankings'!C$1149,MATCH(SMALL(Rankings!H$2:'Rankings'!H$1000,ROW()),Rankings!H$2:'Rankings'!H$1000,0))</f>
        <v>Felipe Torres</v>
      </c>
    </row>
    <row r="279" spans="2:7" hidden="1" outlineLevel="1" x14ac:dyDescent="0.25">
      <c r="B279" t="str">
        <f>INDEX(Rankings!C$2:'Rankings'!C$1149,MATCH(SMALL(Rankings!H$2:'Rankings'!H$1000,ROW()),Rankings!H$2:'Rankings'!H$1000,0))</f>
        <v>Felix Geipel</v>
      </c>
      <c r="C279" t="str">
        <f>INDEX(Rankings!C$2:'Rankings'!C$1149,MATCH(SMALL(Rankings!H$2:'Rankings'!H$1000,ROW()),Rankings!H$2:'Rankings'!H$1000,0))</f>
        <v>Felix Geipel</v>
      </c>
      <c r="D279" t="str">
        <f>INDEX(Rankings!C$2:'Rankings'!C$1149,MATCH(SMALL(Rankings!H$2:'Rankings'!H$1000,ROW()),Rankings!H$2:'Rankings'!H$1000,0))</f>
        <v>Felix Geipel</v>
      </c>
      <c r="G279" t="str">
        <f>INDEX(Rankings!C$2:'Rankings'!C$1149,MATCH(SMALL(Rankings!H$2:'Rankings'!H$1000,ROW()),Rankings!H$2:'Rankings'!H$1000,0))</f>
        <v>Felix Geipel</v>
      </c>
    </row>
    <row r="280" spans="2:7" hidden="1" outlineLevel="1" x14ac:dyDescent="0.25">
      <c r="B280" t="str">
        <f>INDEX(Rankings!C$2:'Rankings'!C$1149,MATCH(SMALL(Rankings!H$2:'Rankings'!H$1000,ROW()),Rankings!H$2:'Rankings'!H$1000,0))</f>
        <v>Felix Schwarzbach</v>
      </c>
      <c r="C280" t="str">
        <f>INDEX(Rankings!C$2:'Rankings'!C$1149,MATCH(SMALL(Rankings!H$2:'Rankings'!H$1000,ROW()),Rankings!H$2:'Rankings'!H$1000,0))</f>
        <v>Felix Schwarzbach</v>
      </c>
      <c r="D280" t="str">
        <f>INDEX(Rankings!C$2:'Rankings'!C$1149,MATCH(SMALL(Rankings!H$2:'Rankings'!H$1000,ROW()),Rankings!H$2:'Rankings'!H$1000,0))</f>
        <v>Felix Schwarzbach</v>
      </c>
      <c r="G280" t="str">
        <f>INDEX(Rankings!C$2:'Rankings'!C$1149,MATCH(SMALL(Rankings!H$2:'Rankings'!H$1000,ROW()),Rankings!H$2:'Rankings'!H$1000,0))</f>
        <v>Felix Schwarzbach</v>
      </c>
    </row>
    <row r="281" spans="2:7" hidden="1" outlineLevel="1" x14ac:dyDescent="0.25">
      <c r="B281" t="str">
        <f>INDEX(Rankings!C$2:'Rankings'!C$1149,MATCH(SMALL(Rankings!H$2:'Rankings'!H$1000,ROW()),Rankings!H$2:'Rankings'!H$1000,0))</f>
        <v>Ferenc Orosz</v>
      </c>
      <c r="C281" t="str">
        <f>INDEX(Rankings!C$2:'Rankings'!C$1149,MATCH(SMALL(Rankings!H$2:'Rankings'!H$1000,ROW()),Rankings!H$2:'Rankings'!H$1000,0))</f>
        <v>Ferenc Orosz</v>
      </c>
      <c r="D281" t="str">
        <f>INDEX(Rankings!C$2:'Rankings'!C$1149,MATCH(SMALL(Rankings!H$2:'Rankings'!H$1000,ROW()),Rankings!H$2:'Rankings'!H$1000,0))</f>
        <v>Ferenc Orosz</v>
      </c>
      <c r="G281" t="str">
        <f>INDEX(Rankings!C$2:'Rankings'!C$1149,MATCH(SMALL(Rankings!H$2:'Rankings'!H$1000,ROW()),Rankings!H$2:'Rankings'!H$1000,0))</f>
        <v>Ferenc Orosz</v>
      </c>
    </row>
    <row r="282" spans="2:7" hidden="1" outlineLevel="1" x14ac:dyDescent="0.25">
      <c r="B282" t="str">
        <f>INDEX(Rankings!C$2:'Rankings'!C$1149,MATCH(SMALL(Rankings!H$2:'Rankings'!H$1000,ROW()),Rankings!H$2:'Rankings'!H$1000,0))</f>
        <v>Fernando Botrugno</v>
      </c>
      <c r="C282" t="str">
        <f>INDEX(Rankings!C$2:'Rankings'!C$1149,MATCH(SMALL(Rankings!H$2:'Rankings'!H$1000,ROW()),Rankings!H$2:'Rankings'!H$1000,0))</f>
        <v>Fernando Botrugno</v>
      </c>
      <c r="D282" t="str">
        <f>INDEX(Rankings!C$2:'Rankings'!C$1149,MATCH(SMALL(Rankings!H$2:'Rankings'!H$1000,ROW()),Rankings!H$2:'Rankings'!H$1000,0))</f>
        <v>Fernando Botrugno</v>
      </c>
      <c r="G282" t="str">
        <f>INDEX(Rankings!C$2:'Rankings'!C$1149,MATCH(SMALL(Rankings!H$2:'Rankings'!H$1000,ROW()),Rankings!H$2:'Rankings'!H$1000,0))</f>
        <v>Fernando Botrugno</v>
      </c>
    </row>
    <row r="283" spans="2:7" hidden="1" outlineLevel="1" x14ac:dyDescent="0.25">
      <c r="B283" t="str">
        <f>INDEX(Rankings!C$2:'Rankings'!C$1149,MATCH(SMALL(Rankings!H$2:'Rankings'!H$1000,ROW()),Rankings!H$2:'Rankings'!H$1000,0))</f>
        <v>Filippo Cavalca</v>
      </c>
      <c r="C283" t="str">
        <f>INDEX(Rankings!C$2:'Rankings'!C$1149,MATCH(SMALL(Rankings!H$2:'Rankings'!H$1000,ROW()),Rankings!H$2:'Rankings'!H$1000,0))</f>
        <v>Filippo Cavalca</v>
      </c>
      <c r="D283" t="str">
        <f>INDEX(Rankings!C$2:'Rankings'!C$1149,MATCH(SMALL(Rankings!H$2:'Rankings'!H$1000,ROW()),Rankings!H$2:'Rankings'!H$1000,0))</f>
        <v>Filippo Cavalca</v>
      </c>
      <c r="G283" t="str">
        <f>INDEX(Rankings!C$2:'Rankings'!C$1149,MATCH(SMALL(Rankings!H$2:'Rankings'!H$1000,ROW()),Rankings!H$2:'Rankings'!H$1000,0))</f>
        <v>Filippo Cavalca</v>
      </c>
    </row>
    <row r="284" spans="2:7" hidden="1" outlineLevel="1" x14ac:dyDescent="0.25">
      <c r="B284" t="str">
        <f>INDEX(Rankings!C$2:'Rankings'!C$1149,MATCH(SMALL(Rankings!H$2:'Rankings'!H$1000,ROW()),Rankings!H$2:'Rankings'!H$1000,0))</f>
        <v>Filippo Del Trappeto</v>
      </c>
      <c r="C284" t="str">
        <f>INDEX(Rankings!C$2:'Rankings'!C$1149,MATCH(SMALL(Rankings!H$2:'Rankings'!H$1000,ROW()),Rankings!H$2:'Rankings'!H$1000,0))</f>
        <v>Filippo Del Trappeto</v>
      </c>
      <c r="D284" t="str">
        <f>INDEX(Rankings!C$2:'Rankings'!C$1149,MATCH(SMALL(Rankings!H$2:'Rankings'!H$1000,ROW()),Rankings!H$2:'Rankings'!H$1000,0))</f>
        <v>Filippo Del Trappeto</v>
      </c>
      <c r="G284" t="str">
        <f>INDEX(Rankings!C$2:'Rankings'!C$1149,MATCH(SMALL(Rankings!H$2:'Rankings'!H$1000,ROW()),Rankings!H$2:'Rankings'!H$1000,0))</f>
        <v>Filippo Del Trappeto</v>
      </c>
    </row>
    <row r="285" spans="2:7" hidden="1" outlineLevel="1" x14ac:dyDescent="0.25">
      <c r="B285" t="str">
        <f>INDEX(Rankings!C$2:'Rankings'!C$1149,MATCH(SMALL(Rankings!H$2:'Rankings'!H$1000,ROW()),Rankings!H$2:'Rankings'!H$1000,0))</f>
        <v>Florian Fessler</v>
      </c>
      <c r="C285" t="str">
        <f>INDEX(Rankings!C$2:'Rankings'!C$1149,MATCH(SMALL(Rankings!H$2:'Rankings'!H$1000,ROW()),Rankings!H$2:'Rankings'!H$1000,0))</f>
        <v>Florian Fessler</v>
      </c>
      <c r="D285" t="str">
        <f>INDEX(Rankings!C$2:'Rankings'!C$1149,MATCH(SMALL(Rankings!H$2:'Rankings'!H$1000,ROW()),Rankings!H$2:'Rankings'!H$1000,0))</f>
        <v>Florian Fessler</v>
      </c>
      <c r="G285" t="str">
        <f>INDEX(Rankings!C$2:'Rankings'!C$1149,MATCH(SMALL(Rankings!H$2:'Rankings'!H$1000,ROW()),Rankings!H$2:'Rankings'!H$1000,0))</f>
        <v>Florian Fessler</v>
      </c>
    </row>
    <row r="286" spans="2:7" hidden="1" outlineLevel="1" x14ac:dyDescent="0.25">
      <c r="B286" t="str">
        <f>INDEX(Rankings!C$2:'Rankings'!C$1149,MATCH(SMALL(Rankings!H$2:'Rankings'!H$1000,ROW()),Rankings!H$2:'Rankings'!H$1000,0))</f>
        <v>Florian Hess</v>
      </c>
      <c r="C286" t="str">
        <f>INDEX(Rankings!C$2:'Rankings'!C$1149,MATCH(SMALL(Rankings!H$2:'Rankings'!H$1000,ROW()),Rankings!H$2:'Rankings'!H$1000,0))</f>
        <v>Florian Hess</v>
      </c>
      <c r="D286" t="str">
        <f>INDEX(Rankings!C$2:'Rankings'!C$1149,MATCH(SMALL(Rankings!H$2:'Rankings'!H$1000,ROW()),Rankings!H$2:'Rankings'!H$1000,0))</f>
        <v>Florian Hess</v>
      </c>
      <c r="G286" t="str">
        <f>INDEX(Rankings!C$2:'Rankings'!C$1149,MATCH(SMALL(Rankings!H$2:'Rankings'!H$1000,ROW()),Rankings!H$2:'Rankings'!H$1000,0))</f>
        <v>Florian Hess</v>
      </c>
    </row>
    <row r="287" spans="2:7" hidden="1" outlineLevel="1" x14ac:dyDescent="0.25">
      <c r="B287" t="str">
        <f>INDEX(Rankings!C$2:'Rankings'!C$1149,MATCH(SMALL(Rankings!H$2:'Rankings'!H$1000,ROW()),Rankings!H$2:'Rankings'!H$1000,0))</f>
        <v>Florian Leist</v>
      </c>
      <c r="C287" t="str">
        <f>INDEX(Rankings!C$2:'Rankings'!C$1149,MATCH(SMALL(Rankings!H$2:'Rankings'!H$1000,ROW()),Rankings!H$2:'Rankings'!H$1000,0))</f>
        <v>Florian Leist</v>
      </c>
      <c r="D287" t="str">
        <f>INDEX(Rankings!C$2:'Rankings'!C$1149,MATCH(SMALL(Rankings!H$2:'Rankings'!H$1000,ROW()),Rankings!H$2:'Rankings'!H$1000,0))</f>
        <v>Florian Leist</v>
      </c>
      <c r="G287" t="str">
        <f>INDEX(Rankings!C$2:'Rankings'!C$1149,MATCH(SMALL(Rankings!H$2:'Rankings'!H$1000,ROW()),Rankings!H$2:'Rankings'!H$1000,0))</f>
        <v>Florian Leist</v>
      </c>
    </row>
    <row r="288" spans="2:7" hidden="1" outlineLevel="1" x14ac:dyDescent="0.25">
      <c r="B288" t="str">
        <f>INDEX(Rankings!C$2:'Rankings'!C$1149,MATCH(SMALL(Rankings!H$2:'Rankings'!H$1000,ROW()),Rankings!H$2:'Rankings'!H$1000,0))</f>
        <v>Francesca Chierici</v>
      </c>
      <c r="C288" t="str">
        <f>INDEX(Rankings!C$2:'Rankings'!C$1149,MATCH(SMALL(Rankings!H$2:'Rankings'!H$1000,ROW()),Rankings!H$2:'Rankings'!H$1000,0))</f>
        <v>Francesca Chierici</v>
      </c>
      <c r="D288" t="str">
        <f>INDEX(Rankings!C$2:'Rankings'!C$1149,MATCH(SMALL(Rankings!H$2:'Rankings'!H$1000,ROW()),Rankings!H$2:'Rankings'!H$1000,0))</f>
        <v>Francesca Chierici</v>
      </c>
      <c r="G288" t="str">
        <f>INDEX(Rankings!C$2:'Rankings'!C$1149,MATCH(SMALL(Rankings!H$2:'Rankings'!H$1000,ROW()),Rankings!H$2:'Rankings'!H$1000,0))</f>
        <v>Francesca Chierici</v>
      </c>
    </row>
    <row r="289" spans="2:7" hidden="1" outlineLevel="1" x14ac:dyDescent="0.25">
      <c r="B289" t="str">
        <f>INDEX(Rankings!C$2:'Rankings'!C$1149,MATCH(SMALL(Rankings!H$2:'Rankings'!H$1000,ROW()),Rankings!H$2:'Rankings'!H$1000,0))</f>
        <v>Francesca Iasenzio</v>
      </c>
      <c r="C289" t="str">
        <f>INDEX(Rankings!C$2:'Rankings'!C$1149,MATCH(SMALL(Rankings!H$2:'Rankings'!H$1000,ROW()),Rankings!H$2:'Rankings'!H$1000,0))</f>
        <v>Francesca Iasenzio</v>
      </c>
      <c r="D289" t="str">
        <f>INDEX(Rankings!C$2:'Rankings'!C$1149,MATCH(SMALL(Rankings!H$2:'Rankings'!H$1000,ROW()),Rankings!H$2:'Rankings'!H$1000,0))</f>
        <v>Francesca Iasenzio</v>
      </c>
      <c r="G289" t="str">
        <f>INDEX(Rankings!C$2:'Rankings'!C$1149,MATCH(SMALL(Rankings!H$2:'Rankings'!H$1000,ROW()),Rankings!H$2:'Rankings'!H$1000,0))</f>
        <v>Francesca Iasenzio</v>
      </c>
    </row>
    <row r="290" spans="2:7" hidden="1" outlineLevel="1" x14ac:dyDescent="0.25">
      <c r="B290" t="str">
        <f>INDEX(Rankings!C$2:'Rankings'!C$1149,MATCH(SMALL(Rankings!H$2:'Rankings'!H$1000,ROW()),Rankings!H$2:'Rankings'!H$1000,0))</f>
        <v>Francesco Lucci</v>
      </c>
      <c r="C290" t="str">
        <f>INDEX(Rankings!C$2:'Rankings'!C$1149,MATCH(SMALL(Rankings!H$2:'Rankings'!H$1000,ROW()),Rankings!H$2:'Rankings'!H$1000,0))</f>
        <v>Francesco Lucci</v>
      </c>
      <c r="D290" t="str">
        <f>INDEX(Rankings!C$2:'Rankings'!C$1149,MATCH(SMALL(Rankings!H$2:'Rankings'!H$1000,ROW()),Rankings!H$2:'Rankings'!H$1000,0))</f>
        <v>Francesco Lucci</v>
      </c>
      <c r="G290" t="str">
        <f>INDEX(Rankings!C$2:'Rankings'!C$1149,MATCH(SMALL(Rankings!H$2:'Rankings'!H$1000,ROW()),Rankings!H$2:'Rankings'!H$1000,0))</f>
        <v>Francesco Lucci</v>
      </c>
    </row>
    <row r="291" spans="2:7" hidden="1" outlineLevel="1" x14ac:dyDescent="0.25">
      <c r="B291" t="str">
        <f>INDEX(Rankings!C$2:'Rankings'!C$1149,MATCH(SMALL(Rankings!H$2:'Rankings'!H$1000,ROW()),Rankings!H$2:'Rankings'!H$1000,0))</f>
        <v>Francesco Paolacci</v>
      </c>
      <c r="C291" t="str">
        <f>INDEX(Rankings!C$2:'Rankings'!C$1149,MATCH(SMALL(Rankings!H$2:'Rankings'!H$1000,ROW()),Rankings!H$2:'Rankings'!H$1000,0))</f>
        <v>Francesco Paolacci</v>
      </c>
      <c r="D291" t="str">
        <f>INDEX(Rankings!C$2:'Rankings'!C$1149,MATCH(SMALL(Rankings!H$2:'Rankings'!H$1000,ROW()),Rankings!H$2:'Rankings'!H$1000,0))</f>
        <v>Francesco Paolacci</v>
      </c>
      <c r="G291" t="str">
        <f>INDEX(Rankings!C$2:'Rankings'!C$1149,MATCH(SMALL(Rankings!H$2:'Rankings'!H$1000,ROW()),Rankings!H$2:'Rankings'!H$1000,0))</f>
        <v>Francesco Paolacci</v>
      </c>
    </row>
    <row r="292" spans="2:7" hidden="1" outlineLevel="1" x14ac:dyDescent="0.25">
      <c r="B292" t="str">
        <f>INDEX(Rankings!C$2:'Rankings'!C$1149,MATCH(SMALL(Rankings!H$2:'Rankings'!H$1000,ROW()),Rankings!H$2:'Rankings'!H$1000,0))</f>
        <v>Francesco Romeo</v>
      </c>
      <c r="C292" t="str">
        <f>INDEX(Rankings!C$2:'Rankings'!C$1149,MATCH(SMALL(Rankings!H$2:'Rankings'!H$1000,ROW()),Rankings!H$2:'Rankings'!H$1000,0))</f>
        <v>Francesco Romeo</v>
      </c>
      <c r="D292" t="str">
        <f>INDEX(Rankings!C$2:'Rankings'!C$1149,MATCH(SMALL(Rankings!H$2:'Rankings'!H$1000,ROW()),Rankings!H$2:'Rankings'!H$1000,0))</f>
        <v>Francesco Romeo</v>
      </c>
      <c r="G292" t="str">
        <f>INDEX(Rankings!C$2:'Rankings'!C$1149,MATCH(SMALL(Rankings!H$2:'Rankings'!H$1000,ROW()),Rankings!H$2:'Rankings'!H$1000,0))</f>
        <v>Francesco Romeo</v>
      </c>
    </row>
    <row r="293" spans="2:7" hidden="1" outlineLevel="1" x14ac:dyDescent="0.25">
      <c r="B293" t="str">
        <f>INDEX(Rankings!C$2:'Rankings'!C$1149,MATCH(SMALL(Rankings!H$2:'Rankings'!H$1000,ROW()),Rankings!H$2:'Rankings'!H$1000,0))</f>
        <v>Frank Lejeune</v>
      </c>
      <c r="C293" t="str">
        <f>INDEX(Rankings!C$2:'Rankings'!C$1149,MATCH(SMALL(Rankings!H$2:'Rankings'!H$1000,ROW()),Rankings!H$2:'Rankings'!H$1000,0))</f>
        <v>Frank Lejeune</v>
      </c>
      <c r="D293" t="str">
        <f>INDEX(Rankings!C$2:'Rankings'!C$1149,MATCH(SMALL(Rankings!H$2:'Rankings'!H$1000,ROW()),Rankings!H$2:'Rankings'!H$1000,0))</f>
        <v>Frank Lejeune</v>
      </c>
      <c r="G293" t="str">
        <f>INDEX(Rankings!C$2:'Rankings'!C$1149,MATCH(SMALL(Rankings!H$2:'Rankings'!H$1000,ROW()),Rankings!H$2:'Rankings'!H$1000,0))</f>
        <v>Frank Lejeune</v>
      </c>
    </row>
    <row r="294" spans="2:7" hidden="1" outlineLevel="1" x14ac:dyDescent="0.25">
      <c r="B294" t="str">
        <f>INDEX(Rankings!C$2:'Rankings'!C$1149,MATCH(SMALL(Rankings!H$2:'Rankings'!H$1000,ROW()),Rankings!H$2:'Rankings'!H$1000,0))</f>
        <v>Fred Salaz</v>
      </c>
      <c r="C294" t="str">
        <f>INDEX(Rankings!C$2:'Rankings'!C$1149,MATCH(SMALL(Rankings!H$2:'Rankings'!H$1000,ROW()),Rankings!H$2:'Rankings'!H$1000,0))</f>
        <v>Fred Salaz</v>
      </c>
      <c r="D294" t="str">
        <f>INDEX(Rankings!C$2:'Rankings'!C$1149,MATCH(SMALL(Rankings!H$2:'Rankings'!H$1000,ROW()),Rankings!H$2:'Rankings'!H$1000,0))</f>
        <v>Fred Salaz</v>
      </c>
      <c r="G294" t="str">
        <f>INDEX(Rankings!C$2:'Rankings'!C$1149,MATCH(SMALL(Rankings!H$2:'Rankings'!H$1000,ROW()),Rankings!H$2:'Rankings'!H$1000,0))</f>
        <v>Fred Salaz</v>
      </c>
    </row>
    <row r="295" spans="2:7" hidden="1" outlineLevel="1" x14ac:dyDescent="0.25">
      <c r="B295" t="str">
        <f>INDEX(Rankings!C$2:'Rankings'!C$1149,MATCH(SMALL(Rankings!H$2:'Rankings'!H$1000,ROW()),Rankings!H$2:'Rankings'!H$1000,0))</f>
        <v>Freddy Finner</v>
      </c>
      <c r="C295" t="str">
        <f>INDEX(Rankings!C$2:'Rankings'!C$1149,MATCH(SMALL(Rankings!H$2:'Rankings'!H$1000,ROW()),Rankings!H$2:'Rankings'!H$1000,0))</f>
        <v>Freddy Finner</v>
      </c>
      <c r="D295" t="str">
        <f>INDEX(Rankings!C$2:'Rankings'!C$1149,MATCH(SMALL(Rankings!H$2:'Rankings'!H$1000,ROW()),Rankings!H$2:'Rankings'!H$1000,0))</f>
        <v>Freddy Finner</v>
      </c>
      <c r="G295" t="str">
        <f>INDEX(Rankings!C$2:'Rankings'!C$1149,MATCH(SMALL(Rankings!H$2:'Rankings'!H$1000,ROW()),Rankings!H$2:'Rankings'!H$1000,0))</f>
        <v>Freddy Finner</v>
      </c>
    </row>
    <row r="296" spans="2:7" hidden="1" outlineLevel="1" x14ac:dyDescent="0.25">
      <c r="B296" t="str">
        <f>INDEX(Rankings!C$2:'Rankings'!C$1149,MATCH(SMALL(Rankings!H$2:'Rankings'!H$1000,ROW()),Rankings!H$2:'Rankings'!H$1000,0))</f>
        <v>Fredrik Bodell</v>
      </c>
      <c r="C296" t="str">
        <f>INDEX(Rankings!C$2:'Rankings'!C$1149,MATCH(SMALL(Rankings!H$2:'Rankings'!H$1000,ROW()),Rankings!H$2:'Rankings'!H$1000,0))</f>
        <v>Fredrik Bodell</v>
      </c>
      <c r="D296" t="str">
        <f>INDEX(Rankings!C$2:'Rankings'!C$1149,MATCH(SMALL(Rankings!H$2:'Rankings'!H$1000,ROW()),Rankings!H$2:'Rankings'!H$1000,0))</f>
        <v>Fredrik Bodell</v>
      </c>
      <c r="G296" t="str">
        <f>INDEX(Rankings!C$2:'Rankings'!C$1149,MATCH(SMALL(Rankings!H$2:'Rankings'!H$1000,ROW()),Rankings!H$2:'Rankings'!H$1000,0))</f>
        <v>Fredrik Bodell</v>
      </c>
    </row>
    <row r="297" spans="2:7" hidden="1" outlineLevel="1" x14ac:dyDescent="0.25">
      <c r="B297" t="str">
        <f>INDEX(Rankings!C$2:'Rankings'!C$1149,MATCH(SMALL(Rankings!H$2:'Rankings'!H$1000,ROW()),Rankings!H$2:'Rankings'!H$1000,0))</f>
        <v>Kijo Yamashiro</v>
      </c>
      <c r="C297" t="str">
        <f>INDEX(Rankings!C$2:'Rankings'!C$1149,MATCH(SMALL(Rankings!H$2:'Rankings'!H$1000,ROW()),Rankings!H$2:'Rankings'!H$1000,0))</f>
        <v>Kijo Yamashiro</v>
      </c>
      <c r="D297" t="str">
        <f>INDEX(Rankings!C$2:'Rankings'!C$1149,MATCH(SMALL(Rankings!H$2:'Rankings'!H$1000,ROW()),Rankings!H$2:'Rankings'!H$1000,0))</f>
        <v>Kijo Yamashiro</v>
      </c>
      <c r="G297" t="str">
        <f>INDEX(Rankings!C$2:'Rankings'!C$1149,MATCH(SMALL(Rankings!H$2:'Rankings'!H$1000,ROW()),Rankings!H$2:'Rankings'!H$1000,0))</f>
        <v>Kijo Yamashiro</v>
      </c>
    </row>
    <row r="298" spans="2:7" hidden="1" outlineLevel="1" x14ac:dyDescent="0.25">
      <c r="B298" t="str">
        <f>INDEX(Rankings!C$2:'Rankings'!C$1149,MATCH(SMALL(Rankings!H$2:'Rankings'!H$1000,ROW()),Rankings!H$2:'Rankings'!H$1000,0))</f>
        <v>Gabriele Micciola</v>
      </c>
      <c r="C298" t="str">
        <f>INDEX(Rankings!C$2:'Rankings'!C$1149,MATCH(SMALL(Rankings!H$2:'Rankings'!H$1000,ROW()),Rankings!H$2:'Rankings'!H$1000,0))</f>
        <v>Gabriele Micciola</v>
      </c>
      <c r="D298" t="str">
        <f>INDEX(Rankings!C$2:'Rankings'!C$1149,MATCH(SMALL(Rankings!H$2:'Rankings'!H$1000,ROW()),Rankings!H$2:'Rankings'!H$1000,0))</f>
        <v>Gabriele Micciola</v>
      </c>
      <c r="G298" t="str">
        <f>INDEX(Rankings!C$2:'Rankings'!C$1149,MATCH(SMALL(Rankings!H$2:'Rankings'!H$1000,ROW()),Rankings!H$2:'Rankings'!H$1000,0))</f>
        <v>Gabriele Micciola</v>
      </c>
    </row>
    <row r="299" spans="2:7" hidden="1" outlineLevel="1" x14ac:dyDescent="0.25">
      <c r="B299" t="str">
        <f>INDEX(Rankings!C$2:'Rankings'!C$1149,MATCH(SMALL(Rankings!H$2:'Rankings'!H$1000,ROW()),Rankings!H$2:'Rankings'!H$1000,0))</f>
        <v>Gary Auerbach</v>
      </c>
      <c r="C299" t="str">
        <f>INDEX(Rankings!C$2:'Rankings'!C$1149,MATCH(SMALL(Rankings!H$2:'Rankings'!H$1000,ROW()),Rankings!H$2:'Rankings'!H$1000,0))</f>
        <v>Gary Auerbach</v>
      </c>
      <c r="D299" t="str">
        <f>INDEX(Rankings!C$2:'Rankings'!C$1149,MATCH(SMALL(Rankings!H$2:'Rankings'!H$1000,ROW()),Rankings!H$2:'Rankings'!H$1000,0))</f>
        <v>Gary Auerbach</v>
      </c>
      <c r="G299" t="str">
        <f>INDEX(Rankings!C$2:'Rankings'!C$1149,MATCH(SMALL(Rankings!H$2:'Rankings'!H$1000,ROW()),Rankings!H$2:'Rankings'!H$1000,0))</f>
        <v>Gary Auerbach</v>
      </c>
    </row>
    <row r="300" spans="2:7" hidden="1" outlineLevel="1" x14ac:dyDescent="0.25">
      <c r="B300" t="str">
        <f>INDEX(Rankings!C$2:'Rankings'!C$1149,MATCH(SMALL(Rankings!H$2:'Rankings'!H$1000,ROW()),Rankings!H$2:'Rankings'!H$1000,0))</f>
        <v>Gary Edge</v>
      </c>
      <c r="C300" t="str">
        <f>INDEX(Rankings!C$2:'Rankings'!C$1149,MATCH(SMALL(Rankings!H$2:'Rankings'!H$1000,ROW()),Rankings!H$2:'Rankings'!H$1000,0))</f>
        <v>Gary Edge</v>
      </c>
      <c r="D300" t="str">
        <f>INDEX(Rankings!C$2:'Rankings'!C$1149,MATCH(SMALL(Rankings!H$2:'Rankings'!H$1000,ROW()),Rankings!H$2:'Rankings'!H$1000,0))</f>
        <v>Gary Edge</v>
      </c>
      <c r="G300" t="str">
        <f>INDEX(Rankings!C$2:'Rankings'!C$1149,MATCH(SMALL(Rankings!H$2:'Rankings'!H$1000,ROW()),Rankings!H$2:'Rankings'!H$1000,0))</f>
        <v>Gary Edge</v>
      </c>
    </row>
    <row r="301" spans="2:7" hidden="1" outlineLevel="1" x14ac:dyDescent="0.25">
      <c r="B301" t="str">
        <f>INDEX(Rankings!C$2:'Rankings'!C$1149,MATCH(SMALL(Rankings!H$2:'Rankings'!H$1000,ROW()),Rankings!H$2:'Rankings'!H$1000,0))</f>
        <v>Geoff Gregory</v>
      </c>
      <c r="C301" t="str">
        <f>INDEX(Rankings!C$2:'Rankings'!C$1149,MATCH(SMALL(Rankings!H$2:'Rankings'!H$1000,ROW()),Rankings!H$2:'Rankings'!H$1000,0))</f>
        <v>Geoff Gregory</v>
      </c>
      <c r="D301" t="str">
        <f>INDEX(Rankings!C$2:'Rankings'!C$1149,MATCH(SMALL(Rankings!H$2:'Rankings'!H$1000,ROW()),Rankings!H$2:'Rankings'!H$1000,0))</f>
        <v>Geoff Gregory</v>
      </c>
      <c r="G301" t="str">
        <f>INDEX(Rankings!C$2:'Rankings'!C$1149,MATCH(SMALL(Rankings!H$2:'Rankings'!H$1000,ROW()),Rankings!H$2:'Rankings'!H$1000,0))</f>
        <v>Geoff Gregory</v>
      </c>
    </row>
    <row r="302" spans="2:7" hidden="1" outlineLevel="1" x14ac:dyDescent="0.25">
      <c r="B302" t="str">
        <f>INDEX(Rankings!C$2:'Rankings'!C$1149,MATCH(SMALL(Rankings!H$2:'Rankings'!H$1000,ROW()),Rankings!H$2:'Rankings'!H$1000,0))</f>
        <v>Gerry Geare</v>
      </c>
      <c r="C302" t="str">
        <f>INDEX(Rankings!C$2:'Rankings'!C$1149,MATCH(SMALL(Rankings!H$2:'Rankings'!H$1000,ROW()),Rankings!H$2:'Rankings'!H$1000,0))</f>
        <v>Gerry Geare</v>
      </c>
      <c r="D302" t="str">
        <f>INDEX(Rankings!C$2:'Rankings'!C$1149,MATCH(SMALL(Rankings!H$2:'Rankings'!H$1000,ROW()),Rankings!H$2:'Rankings'!H$1000,0))</f>
        <v>Gerry Geare</v>
      </c>
      <c r="G302" t="str">
        <f>INDEX(Rankings!C$2:'Rankings'!C$1149,MATCH(SMALL(Rankings!H$2:'Rankings'!H$1000,ROW()),Rankings!H$2:'Rankings'!H$1000,0))</f>
        <v>Gerry Geare</v>
      </c>
    </row>
    <row r="303" spans="2:7" hidden="1" outlineLevel="1" x14ac:dyDescent="0.25">
      <c r="B303" t="str">
        <f>INDEX(Rankings!C$2:'Rankings'!C$1149,MATCH(SMALL(Rankings!H$2:'Rankings'!H$1000,ROW()),Rankings!H$2:'Rankings'!H$1000,0))</f>
        <v>Gery Németh</v>
      </c>
      <c r="C303" t="str">
        <f>INDEX(Rankings!C$2:'Rankings'!C$1149,MATCH(SMALL(Rankings!H$2:'Rankings'!H$1000,ROW()),Rankings!H$2:'Rankings'!H$1000,0))</f>
        <v>Gery Németh</v>
      </c>
      <c r="D303" t="str">
        <f>INDEX(Rankings!C$2:'Rankings'!C$1149,MATCH(SMALL(Rankings!H$2:'Rankings'!H$1000,ROW()),Rankings!H$2:'Rankings'!H$1000,0))</f>
        <v>Gery Németh</v>
      </c>
      <c r="G303" t="str">
        <f>INDEX(Rankings!C$2:'Rankings'!C$1149,MATCH(SMALL(Rankings!H$2:'Rankings'!H$1000,ROW()),Rankings!H$2:'Rankings'!H$1000,0))</f>
        <v>Gery Németh</v>
      </c>
    </row>
    <row r="304" spans="2:7" hidden="1" outlineLevel="1" x14ac:dyDescent="0.25">
      <c r="B304" t="str">
        <f>INDEX(Rankings!C$2:'Rankings'!C$1149,MATCH(SMALL(Rankings!H$2:'Rankings'!H$1000,ROW()),Rankings!H$2:'Rankings'!H$1000,0))</f>
        <v>Gianluca Bertoncelli</v>
      </c>
      <c r="C304" t="str">
        <f>INDEX(Rankings!C$2:'Rankings'!C$1149,MATCH(SMALL(Rankings!H$2:'Rankings'!H$1000,ROW()),Rankings!H$2:'Rankings'!H$1000,0))</f>
        <v>Gianluca Bertoncelli</v>
      </c>
      <c r="D304" t="str">
        <f>INDEX(Rankings!C$2:'Rankings'!C$1149,MATCH(SMALL(Rankings!H$2:'Rankings'!H$1000,ROW()),Rankings!H$2:'Rankings'!H$1000,0))</f>
        <v>Gianluca Bertoncelli</v>
      </c>
      <c r="G304" t="str">
        <f>INDEX(Rankings!C$2:'Rankings'!C$1149,MATCH(SMALL(Rankings!H$2:'Rankings'!H$1000,ROW()),Rankings!H$2:'Rankings'!H$1000,0))</f>
        <v>Gianluca Bertoncelli</v>
      </c>
    </row>
    <row r="305" spans="2:7" hidden="1" outlineLevel="1" x14ac:dyDescent="0.25">
      <c r="B305" t="str">
        <f>INDEX(Rankings!C$2:'Rankings'!C$1149,MATCH(SMALL(Rankings!H$2:'Rankings'!H$1000,ROW()),Rankings!H$2:'Rankings'!H$1000,0))</f>
        <v>Gianluca Giglio</v>
      </c>
      <c r="C305" t="str">
        <f>INDEX(Rankings!C$2:'Rankings'!C$1149,MATCH(SMALL(Rankings!H$2:'Rankings'!H$1000,ROW()),Rankings!H$2:'Rankings'!H$1000,0))</f>
        <v>Gianluca Giglio</v>
      </c>
      <c r="D305" t="str">
        <f>INDEX(Rankings!C$2:'Rankings'!C$1149,MATCH(SMALL(Rankings!H$2:'Rankings'!H$1000,ROW()),Rankings!H$2:'Rankings'!H$1000,0))</f>
        <v>Gianluca Giglio</v>
      </c>
      <c r="G305" t="str">
        <f>INDEX(Rankings!C$2:'Rankings'!C$1149,MATCH(SMALL(Rankings!H$2:'Rankings'!H$1000,ROW()),Rankings!H$2:'Rankings'!H$1000,0))</f>
        <v>Gianluca Giglio</v>
      </c>
    </row>
    <row r="306" spans="2:7" hidden="1" outlineLevel="1" x14ac:dyDescent="0.25">
      <c r="B306" t="str">
        <f>INDEX(Rankings!C$2:'Rankings'!C$1149,MATCH(SMALL(Rankings!H$2:'Rankings'!H$1000,ROW()),Rankings!H$2:'Rankings'!H$1000,0))</f>
        <v>Gino Lucia</v>
      </c>
      <c r="C306" t="str">
        <f>INDEX(Rankings!C$2:'Rankings'!C$1149,MATCH(SMALL(Rankings!H$2:'Rankings'!H$1000,ROW()),Rankings!H$2:'Rankings'!H$1000,0))</f>
        <v>Gino Lucia</v>
      </c>
      <c r="D306" t="str">
        <f>INDEX(Rankings!C$2:'Rankings'!C$1149,MATCH(SMALL(Rankings!H$2:'Rankings'!H$1000,ROW()),Rankings!H$2:'Rankings'!H$1000,0))</f>
        <v>Gino Lucia</v>
      </c>
      <c r="G306" t="str">
        <f>INDEX(Rankings!C$2:'Rankings'!C$1149,MATCH(SMALL(Rankings!H$2:'Rankings'!H$1000,ROW()),Rankings!H$2:'Rankings'!H$1000,0))</f>
        <v>Gino Lucia</v>
      </c>
    </row>
    <row r="307" spans="2:7" hidden="1" outlineLevel="1" x14ac:dyDescent="0.25">
      <c r="B307" t="str">
        <f>INDEX(Rankings!C$2:'Rankings'!C$1149,MATCH(SMALL(Rankings!H$2:'Rankings'!H$1000,ROW()),Rankings!H$2:'Rankings'!H$1000,0))</f>
        <v>Giovanni Coppo</v>
      </c>
      <c r="C307" t="str">
        <f>INDEX(Rankings!C$2:'Rankings'!C$1149,MATCH(SMALL(Rankings!H$2:'Rankings'!H$1000,ROW()),Rankings!H$2:'Rankings'!H$1000,0))</f>
        <v>Giovanni Coppo</v>
      </c>
      <c r="D307" t="str">
        <f>INDEX(Rankings!C$2:'Rankings'!C$1149,MATCH(SMALL(Rankings!H$2:'Rankings'!H$1000,ROW()),Rankings!H$2:'Rankings'!H$1000,0))</f>
        <v>Giovanni Coppo</v>
      </c>
      <c r="G307" t="str">
        <f>INDEX(Rankings!C$2:'Rankings'!C$1149,MATCH(SMALL(Rankings!H$2:'Rankings'!H$1000,ROW()),Rankings!H$2:'Rankings'!H$1000,0))</f>
        <v>Giovanni Coppo</v>
      </c>
    </row>
    <row r="308" spans="2:7" hidden="1" outlineLevel="1" x14ac:dyDescent="0.25">
      <c r="B308" t="str">
        <f>INDEX(Rankings!C$2:'Rankings'!C$1149,MATCH(SMALL(Rankings!H$2:'Rankings'!H$1000,ROW()),Rankings!H$2:'Rankings'!H$1000,0))</f>
        <v>Giuseppe Rizzo</v>
      </c>
      <c r="C308" t="str">
        <f>INDEX(Rankings!C$2:'Rankings'!C$1149,MATCH(SMALL(Rankings!H$2:'Rankings'!H$1000,ROW()),Rankings!H$2:'Rankings'!H$1000,0))</f>
        <v>Giuseppe Rizzo</v>
      </c>
      <c r="D308" t="str">
        <f>INDEX(Rankings!C$2:'Rankings'!C$1149,MATCH(SMALL(Rankings!H$2:'Rankings'!H$1000,ROW()),Rankings!H$2:'Rankings'!H$1000,0))</f>
        <v>Giuseppe Rizzo</v>
      </c>
      <c r="G308" t="str">
        <f>INDEX(Rankings!C$2:'Rankings'!C$1149,MATCH(SMALL(Rankings!H$2:'Rankings'!H$1000,ROW()),Rankings!H$2:'Rankings'!H$1000,0))</f>
        <v>Giuseppe Rizzo</v>
      </c>
    </row>
    <row r="309" spans="2:7" hidden="1" outlineLevel="1" x14ac:dyDescent="0.25">
      <c r="B309" t="str">
        <f>INDEX(Rankings!C$2:'Rankings'!C$1149,MATCH(SMALL(Rankings!H$2:'Rankings'!H$1000,ROW()),Rankings!H$2:'Rankings'!H$1000,0))</f>
        <v>Glen Whitlock</v>
      </c>
      <c r="C309" t="str">
        <f>INDEX(Rankings!C$2:'Rankings'!C$1149,MATCH(SMALL(Rankings!H$2:'Rankings'!H$1000,ROW()),Rankings!H$2:'Rankings'!H$1000,0))</f>
        <v>Glen Whitlock</v>
      </c>
      <c r="D309" t="str">
        <f>INDEX(Rankings!C$2:'Rankings'!C$1149,MATCH(SMALL(Rankings!H$2:'Rankings'!H$1000,ROW()),Rankings!H$2:'Rankings'!H$1000,0))</f>
        <v>Glen Whitlock</v>
      </c>
      <c r="G309" t="str">
        <f>INDEX(Rankings!C$2:'Rankings'!C$1149,MATCH(SMALL(Rankings!H$2:'Rankings'!H$1000,ROW()),Rankings!H$2:'Rankings'!H$1000,0))</f>
        <v>Glen Whitlock</v>
      </c>
    </row>
    <row r="310" spans="2:7" hidden="1" outlineLevel="1" x14ac:dyDescent="0.25">
      <c r="B310" t="str">
        <f>INDEX(Rankings!C$2:'Rankings'!C$1149,MATCH(SMALL(Rankings!H$2:'Rankings'!H$1000,ROW()),Rankings!H$2:'Rankings'!H$1000,0))</f>
        <v>Gloria Alessandrini</v>
      </c>
      <c r="C310" t="str">
        <f>INDEX(Rankings!C$2:'Rankings'!C$1149,MATCH(SMALL(Rankings!H$2:'Rankings'!H$1000,ROW()),Rankings!H$2:'Rankings'!H$1000,0))</f>
        <v>Gloria Alessandrini</v>
      </c>
      <c r="D310" t="str">
        <f>INDEX(Rankings!C$2:'Rankings'!C$1149,MATCH(SMALL(Rankings!H$2:'Rankings'!H$1000,ROW()),Rankings!H$2:'Rankings'!H$1000,0))</f>
        <v>Gloria Alessandrini</v>
      </c>
      <c r="G310" t="str">
        <f>INDEX(Rankings!C$2:'Rankings'!C$1149,MATCH(SMALL(Rankings!H$2:'Rankings'!H$1000,ROW()),Rankings!H$2:'Rankings'!H$1000,0))</f>
        <v>Gloria Alessandrini</v>
      </c>
    </row>
    <row r="311" spans="2:7" hidden="1" outlineLevel="1" x14ac:dyDescent="0.25">
      <c r="B311" t="str">
        <f>INDEX(Rankings!C$2:'Rankings'!C$1149,MATCH(SMALL(Rankings!H$2:'Rankings'!H$1000,ROW()),Rankings!H$2:'Rankings'!H$1000,0))</f>
        <v>Kaili Young</v>
      </c>
      <c r="C311" t="str">
        <f>INDEX(Rankings!C$2:'Rankings'!C$1149,MATCH(SMALL(Rankings!H$2:'Rankings'!H$1000,ROW()),Rankings!H$2:'Rankings'!H$1000,0))</f>
        <v>Kaili Young</v>
      </c>
      <c r="D311" t="str">
        <f>INDEX(Rankings!C$2:'Rankings'!C$1149,MATCH(SMALL(Rankings!H$2:'Rankings'!H$1000,ROW()),Rankings!H$2:'Rankings'!H$1000,0))</f>
        <v>Kaili Young</v>
      </c>
      <c r="G311" t="str">
        <f>INDEX(Rankings!C$2:'Rankings'!C$1149,MATCH(SMALL(Rankings!H$2:'Rankings'!H$1000,ROW()),Rankings!H$2:'Rankings'!H$1000,0))</f>
        <v>Kaili Young</v>
      </c>
    </row>
    <row r="312" spans="2:7" hidden="1" outlineLevel="1" x14ac:dyDescent="0.25">
      <c r="B312" t="str">
        <f>INDEX(Rankings!C$2:'Rankings'!C$1149,MATCH(SMALL(Rankings!H$2:'Rankings'!H$1000,ROW()),Rankings!H$2:'Rankings'!H$1000,0))</f>
        <v>Gordy Brown</v>
      </c>
      <c r="C312" t="str">
        <f>INDEX(Rankings!C$2:'Rankings'!C$1149,MATCH(SMALL(Rankings!H$2:'Rankings'!H$1000,ROW()),Rankings!H$2:'Rankings'!H$1000,0))</f>
        <v>Gordy Brown</v>
      </c>
      <c r="D312" t="str">
        <f>INDEX(Rankings!C$2:'Rankings'!C$1149,MATCH(SMALL(Rankings!H$2:'Rankings'!H$1000,ROW()),Rankings!H$2:'Rankings'!H$1000,0))</f>
        <v>Gordy Brown</v>
      </c>
      <c r="G312" t="str">
        <f>INDEX(Rankings!C$2:'Rankings'!C$1149,MATCH(SMALL(Rankings!H$2:'Rankings'!H$1000,ROW()),Rankings!H$2:'Rankings'!H$1000,0))</f>
        <v>Gordy Brown</v>
      </c>
    </row>
    <row r="313" spans="2:7" hidden="1" outlineLevel="1" x14ac:dyDescent="0.25">
      <c r="B313" t="str">
        <f>INDEX(Rankings!C$2:'Rankings'!C$1149,MATCH(SMALL(Rankings!H$2:'Rankings'!H$1000,ROW()),Rankings!H$2:'Rankings'!H$1000,0))</f>
        <v>Greg Marter</v>
      </c>
      <c r="C313" t="str">
        <f>INDEX(Rankings!C$2:'Rankings'!C$1149,MATCH(SMALL(Rankings!H$2:'Rankings'!H$1000,ROW()),Rankings!H$2:'Rankings'!H$1000,0))</f>
        <v>Greg Marter</v>
      </c>
      <c r="D313" t="str">
        <f>INDEX(Rankings!C$2:'Rankings'!C$1149,MATCH(SMALL(Rankings!H$2:'Rankings'!H$1000,ROW()),Rankings!H$2:'Rankings'!H$1000,0))</f>
        <v>Greg Marter</v>
      </c>
      <c r="G313" t="str">
        <f>INDEX(Rankings!C$2:'Rankings'!C$1149,MATCH(SMALL(Rankings!H$2:'Rankings'!H$1000,ROW()),Rankings!H$2:'Rankings'!H$1000,0))</f>
        <v>Greg Marter</v>
      </c>
    </row>
    <row r="314" spans="2:7" hidden="1" outlineLevel="1" x14ac:dyDescent="0.25">
      <c r="B314" t="str">
        <f>INDEX(Rankings!C$2:'Rankings'!C$1149,MATCH(SMALL(Rankings!H$2:'Rankings'!H$1000,ROW()),Rankings!H$2:'Rankings'!H$1000,0))</f>
        <v>Greg Riley</v>
      </c>
      <c r="C314" t="str">
        <f>INDEX(Rankings!C$2:'Rankings'!C$1149,MATCH(SMALL(Rankings!H$2:'Rankings'!H$1000,ROW()),Rankings!H$2:'Rankings'!H$1000,0))</f>
        <v>Greg Riley</v>
      </c>
      <c r="D314" t="str">
        <f>INDEX(Rankings!C$2:'Rankings'!C$1149,MATCH(SMALL(Rankings!H$2:'Rankings'!H$1000,ROW()),Rankings!H$2:'Rankings'!H$1000,0))</f>
        <v>Greg Riley</v>
      </c>
      <c r="G314" t="str">
        <f>INDEX(Rankings!C$2:'Rankings'!C$1149,MATCH(SMALL(Rankings!H$2:'Rankings'!H$1000,ROW()),Rankings!H$2:'Rankings'!H$1000,0))</f>
        <v>Greg Riley</v>
      </c>
    </row>
    <row r="315" spans="2:7" hidden="1" outlineLevel="1" x14ac:dyDescent="0.25">
      <c r="B315" t="str">
        <f>INDEX(Rankings!C$2:'Rankings'!C$1149,MATCH(SMALL(Rankings!H$2:'Rankings'!H$1000,ROW()),Rankings!H$2:'Rankings'!H$1000,0))</f>
        <v>Gregg Hosfeld</v>
      </c>
      <c r="C315" t="str">
        <f>INDEX(Rankings!C$2:'Rankings'!C$1149,MATCH(SMALL(Rankings!H$2:'Rankings'!H$1000,ROW()),Rankings!H$2:'Rankings'!H$1000,0))</f>
        <v>Gregg Hosfeld</v>
      </c>
      <c r="D315" t="str">
        <f>INDEX(Rankings!C$2:'Rankings'!C$1149,MATCH(SMALL(Rankings!H$2:'Rankings'!H$1000,ROW()),Rankings!H$2:'Rankings'!H$1000,0))</f>
        <v>Gregg Hosfeld</v>
      </c>
      <c r="G315" t="str">
        <f>INDEX(Rankings!C$2:'Rankings'!C$1149,MATCH(SMALL(Rankings!H$2:'Rankings'!H$1000,ROW()),Rankings!H$2:'Rankings'!H$1000,0))</f>
        <v>Gregg Hosfeld</v>
      </c>
    </row>
    <row r="316" spans="2:7" hidden="1" outlineLevel="1" x14ac:dyDescent="0.25">
      <c r="B316" t="str">
        <f>INDEX(Rankings!C$2:'Rankings'!C$1149,MATCH(SMALL(Rankings!H$2:'Rankings'!H$1000,ROW()),Rankings!H$2:'Rankings'!H$1000,0))</f>
        <v>Gregory Lo-a-sjoe</v>
      </c>
      <c r="C316" t="str">
        <f>INDEX(Rankings!C$2:'Rankings'!C$1149,MATCH(SMALL(Rankings!H$2:'Rankings'!H$1000,ROW()),Rankings!H$2:'Rankings'!H$1000,0))</f>
        <v>Gregory Lo-a-sjoe</v>
      </c>
      <c r="D316" t="str">
        <f>INDEX(Rankings!C$2:'Rankings'!C$1149,MATCH(SMALL(Rankings!H$2:'Rankings'!H$1000,ROW()),Rankings!H$2:'Rankings'!H$1000,0))</f>
        <v>Gregory Lo-a-sjoe</v>
      </c>
      <c r="G316" t="str">
        <f>INDEX(Rankings!C$2:'Rankings'!C$1149,MATCH(SMALL(Rankings!H$2:'Rankings'!H$1000,ROW()),Rankings!H$2:'Rankings'!H$1000,0))</f>
        <v>Gregory Lo-a-sjoe</v>
      </c>
    </row>
    <row r="317" spans="2:7" hidden="1" outlineLevel="1" x14ac:dyDescent="0.25">
      <c r="B317" t="str">
        <f>INDEX(Rankings!C$2:'Rankings'!C$1149,MATCH(SMALL(Rankings!H$2:'Rankings'!H$1000,ROW()),Rankings!H$2:'Rankings'!H$1000,0))</f>
        <v>Greyce Ayla D'avila Rosa</v>
      </c>
      <c r="C317" t="str">
        <f>INDEX(Rankings!C$2:'Rankings'!C$1149,MATCH(SMALL(Rankings!H$2:'Rankings'!H$1000,ROW()),Rankings!H$2:'Rankings'!H$1000,0))</f>
        <v>Greyce Ayla D'avila Rosa</v>
      </c>
      <c r="D317" t="str">
        <f>INDEX(Rankings!C$2:'Rankings'!C$1149,MATCH(SMALL(Rankings!H$2:'Rankings'!H$1000,ROW()),Rankings!H$2:'Rankings'!H$1000,0))</f>
        <v>Greyce Ayla D'avila Rosa</v>
      </c>
      <c r="G317" t="str">
        <f>INDEX(Rankings!C$2:'Rankings'!C$1149,MATCH(SMALL(Rankings!H$2:'Rankings'!H$1000,ROW()),Rankings!H$2:'Rankings'!H$1000,0))</f>
        <v>Greyce Ayla D'avila Rosa</v>
      </c>
    </row>
    <row r="318" spans="2:7" hidden="1" outlineLevel="1" x14ac:dyDescent="0.25">
      <c r="B318" t="str">
        <f>INDEX(Rankings!C$2:'Rankings'!C$1149,MATCH(SMALL(Rankings!H$2:'Rankings'!H$1000,ROW()),Rankings!H$2:'Rankings'!H$1000,0))</f>
        <v>Guglielmo Feis</v>
      </c>
      <c r="C318" t="str">
        <f>INDEX(Rankings!C$2:'Rankings'!C$1149,MATCH(SMALL(Rankings!H$2:'Rankings'!H$1000,ROW()),Rankings!H$2:'Rankings'!H$1000,0))</f>
        <v>Guglielmo Feis</v>
      </c>
      <c r="D318" t="str">
        <f>INDEX(Rankings!C$2:'Rankings'!C$1149,MATCH(SMALL(Rankings!H$2:'Rankings'!H$1000,ROW()),Rankings!H$2:'Rankings'!H$1000,0))</f>
        <v>Guglielmo Feis</v>
      </c>
      <c r="G318" t="str">
        <f>INDEX(Rankings!C$2:'Rankings'!C$1149,MATCH(SMALL(Rankings!H$2:'Rankings'!H$1000,ROW()),Rankings!H$2:'Rankings'!H$1000,0))</f>
        <v>Guglielmo Feis</v>
      </c>
    </row>
    <row r="319" spans="2:7" hidden="1" outlineLevel="1" x14ac:dyDescent="0.25">
      <c r="B319" t="str">
        <f>INDEX(Rankings!C$2:'Rankings'!C$1149,MATCH(SMALL(Rankings!H$2:'Rankings'!H$1000,ROW()),Rankings!H$2:'Rankings'!H$1000,0))</f>
        <v>Guy Clemente</v>
      </c>
      <c r="C319" t="str">
        <f>INDEX(Rankings!C$2:'Rankings'!C$1149,MATCH(SMALL(Rankings!H$2:'Rankings'!H$1000,ROW()),Rankings!H$2:'Rankings'!H$1000,0))</f>
        <v>Guy Clemente</v>
      </c>
      <c r="D319" t="str">
        <f>INDEX(Rankings!C$2:'Rankings'!C$1149,MATCH(SMALL(Rankings!H$2:'Rankings'!H$1000,ROW()),Rankings!H$2:'Rankings'!H$1000,0))</f>
        <v>Guy Clemente</v>
      </c>
      <c r="G319" t="str">
        <f>INDEX(Rankings!C$2:'Rankings'!C$1149,MATCH(SMALL(Rankings!H$2:'Rankings'!H$1000,ROW()),Rankings!H$2:'Rankings'!H$1000,0))</f>
        <v>Guy Clemente</v>
      </c>
    </row>
    <row r="320" spans="2:7" hidden="1" outlineLevel="1" x14ac:dyDescent="0.25">
      <c r="B320" t="str">
        <f>INDEX(Rankings!C$2:'Rankings'!C$1149,MATCH(SMALL(Rankings!H$2:'Rankings'!H$1000,ROW()),Rankings!H$2:'Rankings'!H$1000,0))</f>
        <v>Hampus Colbrand</v>
      </c>
      <c r="C320" t="str">
        <f>INDEX(Rankings!C$2:'Rankings'!C$1149,MATCH(SMALL(Rankings!H$2:'Rankings'!H$1000,ROW()),Rankings!H$2:'Rankings'!H$1000,0))</f>
        <v>Hampus Colbrand</v>
      </c>
      <c r="D320" t="str">
        <f>INDEX(Rankings!C$2:'Rankings'!C$1149,MATCH(SMALL(Rankings!H$2:'Rankings'!H$1000,ROW()),Rankings!H$2:'Rankings'!H$1000,0))</f>
        <v>Hampus Colbrand</v>
      </c>
      <c r="G320" t="str">
        <f>INDEX(Rankings!C$2:'Rankings'!C$1149,MATCH(SMALL(Rankings!H$2:'Rankings'!H$1000,ROW()),Rankings!H$2:'Rankings'!H$1000,0))</f>
        <v>Hampus Colbrand</v>
      </c>
    </row>
    <row r="321" spans="2:7" hidden="1" outlineLevel="1" x14ac:dyDescent="0.25">
      <c r="B321" t="str">
        <f>INDEX(Rankings!C$2:'Rankings'!C$1149,MATCH(SMALL(Rankings!H$2:'Rankings'!H$1000,ROW()),Rankings!H$2:'Rankings'!H$1000,0))</f>
        <v>Hanna Gustafsson</v>
      </c>
      <c r="C321" t="str">
        <f>INDEX(Rankings!C$2:'Rankings'!C$1149,MATCH(SMALL(Rankings!H$2:'Rankings'!H$1000,ROW()),Rankings!H$2:'Rankings'!H$1000,0))</f>
        <v>Hanna Gustafsson</v>
      </c>
      <c r="D321" t="str">
        <f>INDEX(Rankings!C$2:'Rankings'!C$1149,MATCH(SMALL(Rankings!H$2:'Rankings'!H$1000,ROW()),Rankings!H$2:'Rankings'!H$1000,0))</f>
        <v>Hanna Gustafsson</v>
      </c>
      <c r="G321" t="str">
        <f>INDEX(Rankings!C$2:'Rankings'!C$1149,MATCH(SMALL(Rankings!H$2:'Rankings'!H$1000,ROW()),Rankings!H$2:'Rankings'!H$1000,0))</f>
        <v>Hanna Gustafsson</v>
      </c>
    </row>
    <row r="322" spans="2:7" hidden="1" outlineLevel="1" x14ac:dyDescent="0.25">
      <c r="B322" t="str">
        <f>INDEX(Rankings!C$2:'Rankings'!C$1149,MATCH(SMALL(Rankings!H$2:'Rankings'!H$1000,ROW()),Rankings!H$2:'Rankings'!H$1000,0))</f>
        <v>Hans Peeters</v>
      </c>
      <c r="C322" t="str">
        <f>INDEX(Rankings!C$2:'Rankings'!C$1149,MATCH(SMALL(Rankings!H$2:'Rankings'!H$1000,ROW()),Rankings!H$2:'Rankings'!H$1000,0))</f>
        <v>Hans Peeters</v>
      </c>
      <c r="D322" t="str">
        <f>INDEX(Rankings!C$2:'Rankings'!C$1149,MATCH(SMALL(Rankings!H$2:'Rankings'!H$1000,ROW()),Rankings!H$2:'Rankings'!H$1000,0))</f>
        <v>Hans Peeters</v>
      </c>
      <c r="G322" t="str">
        <f>INDEX(Rankings!C$2:'Rankings'!C$1149,MATCH(SMALL(Rankings!H$2:'Rankings'!H$1000,ROW()),Rankings!H$2:'Rankings'!H$1000,0))</f>
        <v>Hans Peeters</v>
      </c>
    </row>
    <row r="323" spans="2:7" hidden="1" outlineLevel="1" x14ac:dyDescent="0.25">
      <c r="B323" t="str">
        <f>INDEX(Rankings!C$2:'Rankings'!C$1149,MATCH(SMALL(Rankings!H$2:'Rankings'!H$1000,ROW()),Rankings!H$2:'Rankings'!H$1000,0))</f>
        <v>Harald Skomroch</v>
      </c>
      <c r="C323" t="str">
        <f>INDEX(Rankings!C$2:'Rankings'!C$1149,MATCH(SMALL(Rankings!H$2:'Rankings'!H$1000,ROW()),Rankings!H$2:'Rankings'!H$1000,0))</f>
        <v>Harald Skomroch</v>
      </c>
      <c r="D323" t="str">
        <f>INDEX(Rankings!C$2:'Rankings'!C$1149,MATCH(SMALL(Rankings!H$2:'Rankings'!H$1000,ROW()),Rankings!H$2:'Rankings'!H$1000,0))</f>
        <v>Harald Skomroch</v>
      </c>
      <c r="G323" t="str">
        <f>INDEX(Rankings!C$2:'Rankings'!C$1149,MATCH(SMALL(Rankings!H$2:'Rankings'!H$1000,ROW()),Rankings!H$2:'Rankings'!H$1000,0))</f>
        <v>Harald Skomroch</v>
      </c>
    </row>
    <row r="324" spans="2:7" hidden="1" outlineLevel="1" x14ac:dyDescent="0.25">
      <c r="B324" t="str">
        <f>INDEX(Rankings!C$2:'Rankings'!C$1149,MATCH(SMALL(Rankings!H$2:'Rankings'!H$1000,ROW()),Rankings!H$2:'Rankings'!H$1000,0))</f>
        <v>Harvey Brandt</v>
      </c>
      <c r="C324" t="str">
        <f>INDEX(Rankings!C$2:'Rankings'!C$1149,MATCH(SMALL(Rankings!H$2:'Rankings'!H$1000,ROW()),Rankings!H$2:'Rankings'!H$1000,0))</f>
        <v>Harvey Brandt</v>
      </c>
      <c r="D324" t="str">
        <f>INDEX(Rankings!C$2:'Rankings'!C$1149,MATCH(SMALL(Rankings!H$2:'Rankings'!H$1000,ROW()),Rankings!H$2:'Rankings'!H$1000,0))</f>
        <v>Harvey Brandt</v>
      </c>
      <c r="G324" t="str">
        <f>INDEX(Rankings!C$2:'Rankings'!C$1149,MATCH(SMALL(Rankings!H$2:'Rankings'!H$1000,ROW()),Rankings!H$2:'Rankings'!H$1000,0))</f>
        <v>Harvey Brandt</v>
      </c>
    </row>
    <row r="325" spans="2:7" hidden="1" outlineLevel="1" x14ac:dyDescent="0.25">
      <c r="B325" t="str">
        <f>INDEX(Rankings!C$2:'Rankings'!C$1149,MATCH(SMALL(Rankings!H$2:'Rankings'!H$1000,ROW()),Rankings!H$2:'Rankings'!H$1000,0))</f>
        <v>Hauke Raschen</v>
      </c>
      <c r="C325" t="str">
        <f>INDEX(Rankings!C$2:'Rankings'!C$1149,MATCH(SMALL(Rankings!H$2:'Rankings'!H$1000,ROW()),Rankings!H$2:'Rankings'!H$1000,0))</f>
        <v>Hauke Raschen</v>
      </c>
      <c r="D325" t="str">
        <f>INDEX(Rankings!C$2:'Rankings'!C$1149,MATCH(SMALL(Rankings!H$2:'Rankings'!H$1000,ROW()),Rankings!H$2:'Rankings'!H$1000,0))</f>
        <v>Hauke Raschen</v>
      </c>
      <c r="G325" t="str">
        <f>INDEX(Rankings!C$2:'Rankings'!C$1149,MATCH(SMALL(Rankings!H$2:'Rankings'!H$1000,ROW()),Rankings!H$2:'Rankings'!H$1000,0))</f>
        <v>Hauke Raschen</v>
      </c>
    </row>
    <row r="326" spans="2:7" hidden="1" outlineLevel="1" x14ac:dyDescent="0.25">
      <c r="B326" t="str">
        <f>INDEX(Rankings!C$2:'Rankings'!C$1149,MATCH(SMALL(Rankings!H$2:'Rankings'!H$1000,ROW()),Rankings!H$2:'Rankings'!H$1000,0))</f>
        <v>Hayato Hikari</v>
      </c>
      <c r="C326" t="str">
        <f>INDEX(Rankings!C$2:'Rankings'!C$1149,MATCH(SMALL(Rankings!H$2:'Rankings'!H$1000,ROW()),Rankings!H$2:'Rankings'!H$1000,0))</f>
        <v>Hayato Hikari</v>
      </c>
      <c r="D326" t="str">
        <f>INDEX(Rankings!C$2:'Rankings'!C$1149,MATCH(SMALL(Rankings!H$2:'Rankings'!H$1000,ROW()),Rankings!H$2:'Rankings'!H$1000,0))</f>
        <v>Hayato Hikari</v>
      </c>
      <c r="G326" t="str">
        <f>INDEX(Rankings!C$2:'Rankings'!C$1149,MATCH(SMALL(Rankings!H$2:'Rankings'!H$1000,ROW()),Rankings!H$2:'Rankings'!H$1000,0))</f>
        <v>Hayato Hikari</v>
      </c>
    </row>
    <row r="327" spans="2:7" hidden="1" outlineLevel="1" x14ac:dyDescent="0.25">
      <c r="B327" t="str">
        <f>INDEX(Rankings!C$2:'Rankings'!C$1149,MATCH(SMALL(Rankings!H$2:'Rankings'!H$1000,ROW()),Rankings!H$2:'Rankings'!H$1000,0))</f>
        <v>Hazma Abdelli</v>
      </c>
      <c r="C327" t="str">
        <f>INDEX(Rankings!C$2:'Rankings'!C$1149,MATCH(SMALL(Rankings!H$2:'Rankings'!H$1000,ROW()),Rankings!H$2:'Rankings'!H$1000,0))</f>
        <v>Hazma Abdelli</v>
      </c>
      <c r="D327" t="str">
        <f>INDEX(Rankings!C$2:'Rankings'!C$1149,MATCH(SMALL(Rankings!H$2:'Rankings'!H$1000,ROW()),Rankings!H$2:'Rankings'!H$1000,0))</f>
        <v>Hazma Abdelli</v>
      </c>
      <c r="G327" t="str">
        <f>INDEX(Rankings!C$2:'Rankings'!C$1149,MATCH(SMALL(Rankings!H$2:'Rankings'!H$1000,ROW()),Rankings!H$2:'Rankings'!H$1000,0))</f>
        <v>Hazma Abdelli</v>
      </c>
    </row>
    <row r="328" spans="2:7" hidden="1" outlineLevel="1" x14ac:dyDescent="0.25">
      <c r="B328" t="str">
        <f>INDEX(Rankings!C$2:'Rankings'!C$1149,MATCH(SMALL(Rankings!H$2:'Rankings'!H$1000,ROW()),Rankings!H$2:'Rankings'!H$1000,0))</f>
        <v>Heather Bogenhagen</v>
      </c>
      <c r="C328" t="str">
        <f>INDEX(Rankings!C$2:'Rankings'!C$1149,MATCH(SMALL(Rankings!H$2:'Rankings'!H$1000,ROW()),Rankings!H$2:'Rankings'!H$1000,0))</f>
        <v>Heather Bogenhagen</v>
      </c>
      <c r="D328" t="str">
        <f>INDEX(Rankings!C$2:'Rankings'!C$1149,MATCH(SMALL(Rankings!H$2:'Rankings'!H$1000,ROW()),Rankings!H$2:'Rankings'!H$1000,0))</f>
        <v>Heather Bogenhagen</v>
      </c>
      <c r="G328" t="str">
        <f>INDEX(Rankings!C$2:'Rankings'!C$1149,MATCH(SMALL(Rankings!H$2:'Rankings'!H$1000,ROW()),Rankings!H$2:'Rankings'!H$1000,0))</f>
        <v>Heather Bogenhagen</v>
      </c>
    </row>
    <row r="329" spans="2:7" hidden="1" outlineLevel="1" x14ac:dyDescent="0.25">
      <c r="B329" t="str">
        <f>INDEX(Rankings!C$2:'Rankings'!C$1149,MATCH(SMALL(Rankings!H$2:'Rankings'!H$1000,ROW()),Rankings!H$2:'Rankings'!H$1000,0))</f>
        <v>Heather Gray</v>
      </c>
      <c r="C329" t="str">
        <f>INDEX(Rankings!C$2:'Rankings'!C$1149,MATCH(SMALL(Rankings!H$2:'Rankings'!H$1000,ROW()),Rankings!H$2:'Rankings'!H$1000,0))</f>
        <v>Heather Gray</v>
      </c>
      <c r="D329" t="str">
        <f>INDEX(Rankings!C$2:'Rankings'!C$1149,MATCH(SMALL(Rankings!H$2:'Rankings'!H$1000,ROW()),Rankings!H$2:'Rankings'!H$1000,0))</f>
        <v>Heather Gray</v>
      </c>
      <c r="G329" t="str">
        <f>INDEX(Rankings!C$2:'Rankings'!C$1149,MATCH(SMALL(Rankings!H$2:'Rankings'!H$1000,ROW()),Rankings!H$2:'Rankings'!H$1000,0))</f>
        <v>Heather Gray</v>
      </c>
    </row>
    <row r="330" spans="2:7" hidden="1" outlineLevel="1" x14ac:dyDescent="0.25">
      <c r="B330" t="str">
        <f>INDEX(Rankings!C$2:'Rankings'!C$1149,MATCH(SMALL(Rankings!H$2:'Rankings'!H$1000,ROW()),Rankings!H$2:'Rankings'!H$1000,0))</f>
        <v>Heiko Vogt</v>
      </c>
      <c r="C330" t="str">
        <f>INDEX(Rankings!C$2:'Rankings'!C$1149,MATCH(SMALL(Rankings!H$2:'Rankings'!H$1000,ROW()),Rankings!H$2:'Rankings'!H$1000,0))</f>
        <v>Heiko Vogt</v>
      </c>
      <c r="D330" t="str">
        <f>INDEX(Rankings!C$2:'Rankings'!C$1149,MATCH(SMALL(Rankings!H$2:'Rankings'!H$1000,ROW()),Rankings!H$2:'Rankings'!H$1000,0))</f>
        <v>Heiko Vogt</v>
      </c>
      <c r="G330" t="str">
        <f>INDEX(Rankings!C$2:'Rankings'!C$1149,MATCH(SMALL(Rankings!H$2:'Rankings'!H$1000,ROW()),Rankings!H$2:'Rankings'!H$1000,0))</f>
        <v>Heiko Vogt</v>
      </c>
    </row>
    <row r="331" spans="2:7" hidden="1" outlineLevel="1" x14ac:dyDescent="0.25">
      <c r="B331" t="str">
        <f>INDEX(Rankings!C$2:'Rankings'!C$1149,MATCH(SMALL(Rankings!H$2:'Rankings'!H$1000,ROW()),Rankings!H$2:'Rankings'!H$1000,0))</f>
        <v>Heinz Auferodt</v>
      </c>
      <c r="C331" t="str">
        <f>INDEX(Rankings!C$2:'Rankings'!C$1149,MATCH(SMALL(Rankings!H$2:'Rankings'!H$1000,ROW()),Rankings!H$2:'Rankings'!H$1000,0))</f>
        <v>Heinz Auferodt</v>
      </c>
      <c r="D331" t="str">
        <f>INDEX(Rankings!C$2:'Rankings'!C$1149,MATCH(SMALL(Rankings!H$2:'Rankings'!H$1000,ROW()),Rankings!H$2:'Rankings'!H$1000,0))</f>
        <v>Heinz Auferodt</v>
      </c>
      <c r="G331" t="str">
        <f>INDEX(Rankings!C$2:'Rankings'!C$1149,MATCH(SMALL(Rankings!H$2:'Rankings'!H$1000,ROW()),Rankings!H$2:'Rankings'!H$1000,0))</f>
        <v>Heinz Auferodt</v>
      </c>
    </row>
    <row r="332" spans="2:7" hidden="1" outlineLevel="1" x14ac:dyDescent="0.25">
      <c r="B332" t="str">
        <f>INDEX(Rankings!C$2:'Rankings'!C$1149,MATCH(SMALL(Rankings!H$2:'Rankings'!H$1000,ROW()),Rankings!H$2:'Rankings'!H$1000,0))</f>
        <v>Henning Worm</v>
      </c>
      <c r="C332" t="str">
        <f>INDEX(Rankings!C$2:'Rankings'!C$1149,MATCH(SMALL(Rankings!H$2:'Rankings'!H$1000,ROW()),Rankings!H$2:'Rankings'!H$1000,0))</f>
        <v>Henning Worm</v>
      </c>
      <c r="D332" t="str">
        <f>INDEX(Rankings!C$2:'Rankings'!C$1149,MATCH(SMALL(Rankings!H$2:'Rankings'!H$1000,ROW()),Rankings!H$2:'Rankings'!H$1000,0))</f>
        <v>Henning Worm</v>
      </c>
      <c r="G332" t="str">
        <f>INDEX(Rankings!C$2:'Rankings'!C$1149,MATCH(SMALL(Rankings!H$2:'Rankings'!H$1000,ROW()),Rankings!H$2:'Rankings'!H$1000,0))</f>
        <v>Henning Worm</v>
      </c>
    </row>
    <row r="333" spans="2:7" hidden="1" outlineLevel="1" x14ac:dyDescent="0.25">
      <c r="B333" t="str">
        <f>INDEX(Rankings!C$2:'Rankings'!C$1149,MATCH(SMALL(Rankings!H$2:'Rankings'!H$1000,ROW()),Rankings!H$2:'Rankings'!H$1000,0))</f>
        <v>Henrik Klein</v>
      </c>
      <c r="C333" t="str">
        <f>INDEX(Rankings!C$2:'Rankings'!C$1149,MATCH(SMALL(Rankings!H$2:'Rankings'!H$1000,ROW()),Rankings!H$2:'Rankings'!H$1000,0))</f>
        <v>Henrik Klein</v>
      </c>
      <c r="D333" t="str">
        <f>INDEX(Rankings!C$2:'Rankings'!C$1149,MATCH(SMALL(Rankings!H$2:'Rankings'!H$1000,ROW()),Rankings!H$2:'Rankings'!H$1000,0))</f>
        <v>Henrik Klein</v>
      </c>
      <c r="G333" t="str">
        <f>INDEX(Rankings!C$2:'Rankings'!C$1149,MATCH(SMALL(Rankings!H$2:'Rankings'!H$1000,ROW()),Rankings!H$2:'Rankings'!H$1000,0))</f>
        <v>Henrik Klein</v>
      </c>
    </row>
    <row r="334" spans="2:7" hidden="1" outlineLevel="1" x14ac:dyDescent="0.25">
      <c r="B334" t="str">
        <f>INDEX(Rankings!C$2:'Rankings'!C$1149,MATCH(SMALL(Rankings!H$2:'Rankings'!H$1000,ROW()),Rankings!H$2:'Rankings'!H$1000,0))</f>
        <v>Henrik Montin</v>
      </c>
      <c r="C334" t="str">
        <f>INDEX(Rankings!C$2:'Rankings'!C$1149,MATCH(SMALL(Rankings!H$2:'Rankings'!H$1000,ROW()),Rankings!H$2:'Rankings'!H$1000,0))</f>
        <v>Henrik Montin</v>
      </c>
      <c r="D334" t="str">
        <f>INDEX(Rankings!C$2:'Rankings'!C$1149,MATCH(SMALL(Rankings!H$2:'Rankings'!H$1000,ROW()),Rankings!H$2:'Rankings'!H$1000,0))</f>
        <v>Henrik Montin</v>
      </c>
      <c r="G334" t="str">
        <f>INDEX(Rankings!C$2:'Rankings'!C$1149,MATCH(SMALL(Rankings!H$2:'Rankings'!H$1000,ROW()),Rankings!H$2:'Rankings'!H$1000,0))</f>
        <v>Henrik Montin</v>
      </c>
    </row>
    <row r="335" spans="2:7" hidden="1" outlineLevel="1" x14ac:dyDescent="0.25">
      <c r="B335" t="str">
        <f>INDEX(Rankings!C$2:'Rankings'!C$1149,MATCH(SMALL(Rankings!H$2:'Rankings'!H$1000,ROW()),Rankings!H$2:'Rankings'!H$1000,0))</f>
        <v>Henrik Wahlman</v>
      </c>
      <c r="C335" t="str">
        <f>INDEX(Rankings!C$2:'Rankings'!C$1149,MATCH(SMALL(Rankings!H$2:'Rankings'!H$1000,ROW()),Rankings!H$2:'Rankings'!H$1000,0))</f>
        <v>Henrik Wahlman</v>
      </c>
      <c r="D335" t="str">
        <f>INDEX(Rankings!C$2:'Rankings'!C$1149,MATCH(SMALL(Rankings!H$2:'Rankings'!H$1000,ROW()),Rankings!H$2:'Rankings'!H$1000,0))</f>
        <v>Henrik Wahlman</v>
      </c>
      <c r="G335" t="str">
        <f>INDEX(Rankings!C$2:'Rankings'!C$1149,MATCH(SMALL(Rankings!H$2:'Rankings'!H$1000,ROW()),Rankings!H$2:'Rankings'!H$1000,0))</f>
        <v>Henrik Wahlman</v>
      </c>
    </row>
    <row r="336" spans="2:7" hidden="1" outlineLevel="1" x14ac:dyDescent="0.25">
      <c r="B336" t="str">
        <f>INDEX(Rankings!C$2:'Rankings'!C$1149,MATCH(SMALL(Rankings!H$2:'Rankings'!H$1000,ROW()),Rankings!H$2:'Rankings'!H$1000,0))</f>
        <v>Hiroshi Oguri</v>
      </c>
      <c r="C336" t="str">
        <f>INDEX(Rankings!C$2:'Rankings'!C$1149,MATCH(SMALL(Rankings!H$2:'Rankings'!H$1000,ROW()),Rankings!H$2:'Rankings'!H$1000,0))</f>
        <v>Hiroshi Oguri</v>
      </c>
      <c r="D336" t="str">
        <f>INDEX(Rankings!C$2:'Rankings'!C$1149,MATCH(SMALL(Rankings!H$2:'Rankings'!H$1000,ROW()),Rankings!H$2:'Rankings'!H$1000,0))</f>
        <v>Hiroshi Oguri</v>
      </c>
      <c r="G336" t="str">
        <f>INDEX(Rankings!C$2:'Rankings'!C$1149,MATCH(SMALL(Rankings!H$2:'Rankings'!H$1000,ROW()),Rankings!H$2:'Rankings'!H$1000,0))</f>
        <v>Hiroshi Oguri</v>
      </c>
    </row>
    <row r="337" spans="2:7" hidden="1" outlineLevel="1" x14ac:dyDescent="0.25">
      <c r="B337" t="str">
        <f>INDEX(Rankings!C$2:'Rankings'!C$1149,MATCH(SMALL(Rankings!H$2:'Rankings'!H$1000,ROW()),Rankings!H$2:'Rankings'!H$1000,0))</f>
        <v>Hiroshi Okano</v>
      </c>
      <c r="C337" t="str">
        <f>INDEX(Rankings!C$2:'Rankings'!C$1149,MATCH(SMALL(Rankings!H$2:'Rankings'!H$1000,ROW()),Rankings!H$2:'Rankings'!H$1000,0))</f>
        <v>Hiroshi Okano</v>
      </c>
      <c r="D337" t="str">
        <f>INDEX(Rankings!C$2:'Rankings'!C$1149,MATCH(SMALL(Rankings!H$2:'Rankings'!H$1000,ROW()),Rankings!H$2:'Rankings'!H$1000,0))</f>
        <v>Hiroshi Okano</v>
      </c>
      <c r="G337" t="str">
        <f>INDEX(Rankings!C$2:'Rankings'!C$1149,MATCH(SMALL(Rankings!H$2:'Rankings'!H$1000,ROW()),Rankings!H$2:'Rankings'!H$1000,0))</f>
        <v>Hiroshi Okano</v>
      </c>
    </row>
    <row r="338" spans="2:7" hidden="1" outlineLevel="1" x14ac:dyDescent="0.25">
      <c r="B338" t="str">
        <f>INDEX(Rankings!C$2:'Rankings'!C$1149,MATCH(SMALL(Rankings!H$2:'Rankings'!H$1000,ROW()),Rankings!H$2:'Rankings'!H$1000,0))</f>
        <v>Adrian Wainwright</v>
      </c>
      <c r="C338" t="str">
        <f>INDEX(Rankings!C$2:'Rankings'!C$1149,MATCH(SMALL(Rankings!H$2:'Rankings'!H$1000,ROW()),Rankings!H$2:'Rankings'!H$1000,0))</f>
        <v>Adrian Wainwright</v>
      </c>
      <c r="D338" t="str">
        <f>INDEX(Rankings!C$2:'Rankings'!C$1149,MATCH(SMALL(Rankings!H$2:'Rankings'!H$1000,ROW()),Rankings!H$2:'Rankings'!H$1000,0))</f>
        <v>Adrian Wainwright</v>
      </c>
      <c r="G338" t="str">
        <f>INDEX(Rankings!C$2:'Rankings'!C$1149,MATCH(SMALL(Rankings!H$2:'Rankings'!H$1000,ROW()),Rankings!H$2:'Rankings'!H$1000,0))</f>
        <v>Adrian Wainwright</v>
      </c>
    </row>
    <row r="339" spans="2:7" hidden="1" outlineLevel="1" x14ac:dyDescent="0.25">
      <c r="B339" t="str">
        <f>INDEX(Rankings!C$2:'Rankings'!C$1149,MATCH(SMALL(Rankings!H$2:'Rankings'!H$1000,ROW()),Rankings!H$2:'Rankings'!H$1000,0))</f>
        <v>Hiroyuki Takeno</v>
      </c>
      <c r="C339" t="str">
        <f>INDEX(Rankings!C$2:'Rankings'!C$1149,MATCH(SMALL(Rankings!H$2:'Rankings'!H$1000,ROW()),Rankings!H$2:'Rankings'!H$1000,0))</f>
        <v>Hiroyuki Takeno</v>
      </c>
      <c r="D339" t="str">
        <f>INDEX(Rankings!C$2:'Rankings'!C$1149,MATCH(SMALL(Rankings!H$2:'Rankings'!H$1000,ROW()),Rankings!H$2:'Rankings'!H$1000,0))</f>
        <v>Hiroyuki Takeno</v>
      </c>
      <c r="G339" t="str">
        <f>INDEX(Rankings!C$2:'Rankings'!C$1149,MATCH(SMALL(Rankings!H$2:'Rankings'!H$1000,ROW()),Rankings!H$2:'Rankings'!H$1000,0))</f>
        <v>Hiroyuki Takeno</v>
      </c>
    </row>
    <row r="340" spans="2:7" hidden="1" outlineLevel="1" x14ac:dyDescent="0.25">
      <c r="B340" t="str">
        <f>INDEX(Rankings!C$2:'Rankings'!C$1149,MATCH(SMALL(Rankings!H$2:'Rankings'!H$1000,ROW()),Rankings!H$2:'Rankings'!H$1000,0))</f>
        <v>Hiroyuki Takeuchi</v>
      </c>
      <c r="C340" t="str">
        <f>INDEX(Rankings!C$2:'Rankings'!C$1149,MATCH(SMALL(Rankings!H$2:'Rankings'!H$1000,ROW()),Rankings!H$2:'Rankings'!H$1000,0))</f>
        <v>Hiroyuki Takeuchi</v>
      </c>
      <c r="D340" t="str">
        <f>INDEX(Rankings!C$2:'Rankings'!C$1149,MATCH(SMALL(Rankings!H$2:'Rankings'!H$1000,ROW()),Rankings!H$2:'Rankings'!H$1000,0))</f>
        <v>Hiroyuki Takeuchi</v>
      </c>
      <c r="G340" t="str">
        <f>INDEX(Rankings!C$2:'Rankings'!C$1149,MATCH(SMALL(Rankings!H$2:'Rankings'!H$1000,ROW()),Rankings!H$2:'Rankings'!H$1000,0))</f>
        <v>Hiroyuki Takeuchi</v>
      </c>
    </row>
    <row r="341" spans="2:7" hidden="1" outlineLevel="1" x14ac:dyDescent="0.25">
      <c r="B341" t="str">
        <f>INDEX(Rankings!C$2:'Rankings'!C$1149,MATCH(SMALL(Rankings!H$2:'Rankings'!H$1000,ROW()),Rankings!H$2:'Rankings'!H$1000,0))</f>
        <v>Holger Hill</v>
      </c>
      <c r="C341" t="str">
        <f>INDEX(Rankings!C$2:'Rankings'!C$1149,MATCH(SMALL(Rankings!H$2:'Rankings'!H$1000,ROW()),Rankings!H$2:'Rankings'!H$1000,0))</f>
        <v>Holger Hill</v>
      </c>
      <c r="D341" t="str">
        <f>INDEX(Rankings!C$2:'Rankings'!C$1149,MATCH(SMALL(Rankings!H$2:'Rankings'!H$1000,ROW()),Rankings!H$2:'Rankings'!H$1000,0))</f>
        <v>Holger Hill</v>
      </c>
      <c r="G341" t="str">
        <f>INDEX(Rankings!C$2:'Rankings'!C$1149,MATCH(SMALL(Rankings!H$2:'Rankings'!H$1000,ROW()),Rankings!H$2:'Rankings'!H$1000,0))</f>
        <v>Holger Hill</v>
      </c>
    </row>
    <row r="342" spans="2:7" hidden="1" outlineLevel="1" x14ac:dyDescent="0.25">
      <c r="B342" t="str">
        <f>INDEX(Rankings!C$2:'Rankings'!C$1149,MATCH(SMALL(Rankings!H$2:'Rankings'!H$1000,ROW()),Rankings!H$2:'Rankings'!H$1000,0))</f>
        <v>Holger Sorgatz</v>
      </c>
      <c r="C342" t="str">
        <f>INDEX(Rankings!C$2:'Rankings'!C$1149,MATCH(SMALL(Rankings!H$2:'Rankings'!H$1000,ROW()),Rankings!H$2:'Rankings'!H$1000,0))</f>
        <v>Holger Sorgatz</v>
      </c>
      <c r="D342" t="str">
        <f>INDEX(Rankings!C$2:'Rankings'!C$1149,MATCH(SMALL(Rankings!H$2:'Rankings'!H$1000,ROW()),Rankings!H$2:'Rankings'!H$1000,0))</f>
        <v>Holger Sorgatz</v>
      </c>
      <c r="G342" t="str">
        <f>INDEX(Rankings!C$2:'Rankings'!C$1149,MATCH(SMALL(Rankings!H$2:'Rankings'!H$1000,ROW()),Rankings!H$2:'Rankings'!H$1000,0))</f>
        <v>Holger Sorgatz</v>
      </c>
    </row>
    <row r="343" spans="2:7" hidden="1" outlineLevel="1" x14ac:dyDescent="0.25">
      <c r="B343" t="str">
        <f>INDEX(Rankings!C$2:'Rankings'!C$1149,MATCH(SMALL(Rankings!H$2:'Rankings'!H$1000,ROW()),Rankings!H$2:'Rankings'!H$1000,0))</f>
        <v>Hunter Wootten</v>
      </c>
      <c r="C343" t="str">
        <f>INDEX(Rankings!C$2:'Rankings'!C$1149,MATCH(SMALL(Rankings!H$2:'Rankings'!H$1000,ROW()),Rankings!H$2:'Rankings'!H$1000,0))</f>
        <v>Hunter Wootten</v>
      </c>
      <c r="D343" t="str">
        <f>INDEX(Rankings!C$2:'Rankings'!C$1149,MATCH(SMALL(Rankings!H$2:'Rankings'!H$1000,ROW()),Rankings!H$2:'Rankings'!H$1000,0))</f>
        <v>Hunter Wootten</v>
      </c>
      <c r="G343" t="str">
        <f>INDEX(Rankings!C$2:'Rankings'!C$1149,MATCH(SMALL(Rankings!H$2:'Rankings'!H$1000,ROW()),Rankings!H$2:'Rankings'!H$1000,0))</f>
        <v>Hunter Wootten</v>
      </c>
    </row>
    <row r="344" spans="2:7" hidden="1" outlineLevel="1" x14ac:dyDescent="0.25">
      <c r="B344" t="str">
        <f>INDEX(Rankings!C$2:'Rankings'!C$1149,MATCH(SMALL(Rankings!H$2:'Rankings'!H$1000,ROW()),Rankings!H$2:'Rankings'!H$1000,0))</f>
        <v>Ian Schwarz</v>
      </c>
      <c r="C344" t="str">
        <f>INDEX(Rankings!C$2:'Rankings'!C$1149,MATCH(SMALL(Rankings!H$2:'Rankings'!H$1000,ROW()),Rankings!H$2:'Rankings'!H$1000,0))</f>
        <v>Ian Schwarz</v>
      </c>
      <c r="D344" t="str">
        <f>INDEX(Rankings!C$2:'Rankings'!C$1149,MATCH(SMALL(Rankings!H$2:'Rankings'!H$1000,ROW()),Rankings!H$2:'Rankings'!H$1000,0))</f>
        <v>Ian Schwarz</v>
      </c>
      <c r="G344" t="str">
        <f>INDEX(Rankings!C$2:'Rankings'!C$1149,MATCH(SMALL(Rankings!H$2:'Rankings'!H$1000,ROW()),Rankings!H$2:'Rankings'!H$1000,0))</f>
        <v>Ian Schwarz</v>
      </c>
    </row>
    <row r="345" spans="2:7" hidden="1" outlineLevel="1" x14ac:dyDescent="0.25">
      <c r="B345" t="str">
        <f>INDEX(Rankings!C$2:'Rankings'!C$1149,MATCH(SMALL(Rankings!H$2:'Rankings'!H$1000,ROW()),Rankings!H$2:'Rankings'!H$1000,0))</f>
        <v>Ilaria Aprile</v>
      </c>
      <c r="C345" t="str">
        <f>INDEX(Rankings!C$2:'Rankings'!C$1149,MATCH(SMALL(Rankings!H$2:'Rankings'!H$1000,ROW()),Rankings!H$2:'Rankings'!H$1000,0))</f>
        <v>Ilaria Aprile</v>
      </c>
      <c r="D345" t="str">
        <f>INDEX(Rankings!C$2:'Rankings'!C$1149,MATCH(SMALL(Rankings!H$2:'Rankings'!H$1000,ROW()),Rankings!H$2:'Rankings'!H$1000,0))</f>
        <v>Ilaria Aprile</v>
      </c>
      <c r="G345" t="str">
        <f>INDEX(Rankings!C$2:'Rankings'!C$1149,MATCH(SMALL(Rankings!H$2:'Rankings'!H$1000,ROW()),Rankings!H$2:'Rankings'!H$1000,0))</f>
        <v>Ilaria Aprile</v>
      </c>
    </row>
    <row r="346" spans="2:7" hidden="1" outlineLevel="1" x14ac:dyDescent="0.25">
      <c r="B346" t="str">
        <f>INDEX(Rankings!C$2:'Rankings'!C$1149,MATCH(SMALL(Rankings!H$2:'Rankings'!H$1000,ROW()),Rankings!H$2:'Rankings'!H$1000,0))</f>
        <v>Ilaria Capobianco</v>
      </c>
      <c r="C346" t="str">
        <f>INDEX(Rankings!C$2:'Rankings'!C$1149,MATCH(SMALL(Rankings!H$2:'Rankings'!H$1000,ROW()),Rankings!H$2:'Rankings'!H$1000,0))</f>
        <v>Ilaria Capobianco</v>
      </c>
      <c r="D346" t="str">
        <f>INDEX(Rankings!C$2:'Rankings'!C$1149,MATCH(SMALL(Rankings!H$2:'Rankings'!H$1000,ROW()),Rankings!H$2:'Rankings'!H$1000,0))</f>
        <v>Ilaria Capobianco</v>
      </c>
      <c r="G346" t="str">
        <f>INDEX(Rankings!C$2:'Rankings'!C$1149,MATCH(SMALL(Rankings!H$2:'Rankings'!H$1000,ROW()),Rankings!H$2:'Rankings'!H$1000,0))</f>
        <v>Ilaria Capobianco</v>
      </c>
    </row>
    <row r="347" spans="2:7" hidden="1" outlineLevel="1" x14ac:dyDescent="0.25">
      <c r="B347" t="str">
        <f>INDEX(Rankings!C$2:'Rankings'!C$1149,MATCH(SMALL(Rankings!H$2:'Rankings'!H$1000,ROW()),Rankings!H$2:'Rankings'!H$1000,0))</f>
        <v>Ilka Simon</v>
      </c>
      <c r="C347" t="str">
        <f>INDEX(Rankings!C$2:'Rankings'!C$1149,MATCH(SMALL(Rankings!H$2:'Rankings'!H$1000,ROW()),Rankings!H$2:'Rankings'!H$1000,0))</f>
        <v>Ilka Simon</v>
      </c>
      <c r="D347" t="str">
        <f>INDEX(Rankings!C$2:'Rankings'!C$1149,MATCH(SMALL(Rankings!H$2:'Rankings'!H$1000,ROW()),Rankings!H$2:'Rankings'!H$1000,0))</f>
        <v>Ilka Simon</v>
      </c>
      <c r="G347" t="str">
        <f>INDEX(Rankings!C$2:'Rankings'!C$1149,MATCH(SMALL(Rankings!H$2:'Rankings'!H$1000,ROW()),Rankings!H$2:'Rankings'!H$1000,0))</f>
        <v>Ilka Simon</v>
      </c>
    </row>
    <row r="348" spans="2:7" hidden="1" outlineLevel="1" x14ac:dyDescent="0.25">
      <c r="B348" t="str">
        <f>INDEX(Rankings!C$2:'Rankings'!C$1149,MATCH(SMALL(Rankings!H$2:'Rankings'!H$1000,ROW()),Rankings!H$2:'Rankings'!H$1000,0))</f>
        <v>Irena Kulisanova</v>
      </c>
      <c r="C348" t="str">
        <f>INDEX(Rankings!C$2:'Rankings'!C$1149,MATCH(SMALL(Rankings!H$2:'Rankings'!H$1000,ROW()),Rankings!H$2:'Rankings'!H$1000,0))</f>
        <v>Irena Kulisanova</v>
      </c>
      <c r="D348" t="str">
        <f>INDEX(Rankings!C$2:'Rankings'!C$1149,MATCH(SMALL(Rankings!H$2:'Rankings'!H$1000,ROW()),Rankings!H$2:'Rankings'!H$1000,0))</f>
        <v>Irena Kulisanova</v>
      </c>
      <c r="G348" t="str">
        <f>INDEX(Rankings!C$2:'Rankings'!C$1149,MATCH(SMALL(Rankings!H$2:'Rankings'!H$1000,ROW()),Rankings!H$2:'Rankings'!H$1000,0))</f>
        <v>Irena Kulisanova</v>
      </c>
    </row>
    <row r="349" spans="2:7" hidden="1" outlineLevel="1" x14ac:dyDescent="0.25">
      <c r="B349" t="str">
        <f>INDEX(Rankings!C$2:'Rankings'!C$1149,MATCH(SMALL(Rankings!H$2:'Rankings'!H$1000,ROW()),Rankings!H$2:'Rankings'!H$1000,0))</f>
        <v>Itay Gal</v>
      </c>
      <c r="C349" t="str">
        <f>INDEX(Rankings!C$2:'Rankings'!C$1149,MATCH(SMALL(Rankings!H$2:'Rankings'!H$1000,ROW()),Rankings!H$2:'Rankings'!H$1000,0))</f>
        <v>Itay Gal</v>
      </c>
      <c r="D349" t="str">
        <f>INDEX(Rankings!C$2:'Rankings'!C$1149,MATCH(SMALL(Rankings!H$2:'Rankings'!H$1000,ROW()),Rankings!H$2:'Rankings'!H$1000,0))</f>
        <v>Itay Gal</v>
      </c>
      <c r="G349" t="str">
        <f>INDEX(Rankings!C$2:'Rankings'!C$1149,MATCH(SMALL(Rankings!H$2:'Rankings'!H$1000,ROW()),Rankings!H$2:'Rankings'!H$1000,0))</f>
        <v>Itay Gal</v>
      </c>
    </row>
    <row r="350" spans="2:7" hidden="1" outlineLevel="1" x14ac:dyDescent="0.25">
      <c r="B350" t="str">
        <f>INDEX(Rankings!C$2:'Rankings'!C$1149,MATCH(SMALL(Rankings!H$2:'Rankings'!H$1000,ROW()),Rankings!H$2:'Rankings'!H$1000,0))</f>
        <v>Iva Svrchokrylova</v>
      </c>
      <c r="C350" t="str">
        <f>INDEX(Rankings!C$2:'Rankings'!C$1149,MATCH(SMALL(Rankings!H$2:'Rankings'!H$1000,ROW()),Rankings!H$2:'Rankings'!H$1000,0))</f>
        <v>Iva Svrchokrylova</v>
      </c>
      <c r="D350" t="str">
        <f>INDEX(Rankings!C$2:'Rankings'!C$1149,MATCH(SMALL(Rankings!H$2:'Rankings'!H$1000,ROW()),Rankings!H$2:'Rankings'!H$1000,0))</f>
        <v>Iva Svrchokrylova</v>
      </c>
      <c r="G350" t="str">
        <f>INDEX(Rankings!C$2:'Rankings'!C$1149,MATCH(SMALL(Rankings!H$2:'Rankings'!H$1000,ROW()),Rankings!H$2:'Rankings'!H$1000,0))</f>
        <v>Iva Svrchokrylova</v>
      </c>
    </row>
    <row r="351" spans="2:7" hidden="1" outlineLevel="1" x14ac:dyDescent="0.25">
      <c r="B351" t="str">
        <f>INDEX(Rankings!C$2:'Rankings'!C$1149,MATCH(SMALL(Rankings!H$2:'Rankings'!H$1000,ROW()),Rankings!H$2:'Rankings'!H$1000,0))</f>
        <v>Ivano Gallo</v>
      </c>
      <c r="C351" t="str">
        <f>INDEX(Rankings!C$2:'Rankings'!C$1149,MATCH(SMALL(Rankings!H$2:'Rankings'!H$1000,ROW()),Rankings!H$2:'Rankings'!H$1000,0))</f>
        <v>Ivano Gallo</v>
      </c>
      <c r="D351" t="str">
        <f>INDEX(Rankings!C$2:'Rankings'!C$1149,MATCH(SMALL(Rankings!H$2:'Rankings'!H$1000,ROW()),Rankings!H$2:'Rankings'!H$1000,0))</f>
        <v>Ivano Gallo</v>
      </c>
      <c r="G351" t="str">
        <f>INDEX(Rankings!C$2:'Rankings'!C$1149,MATCH(SMALL(Rankings!H$2:'Rankings'!H$1000,ROW()),Rankings!H$2:'Rankings'!H$1000,0))</f>
        <v>Ivano Gallo</v>
      </c>
    </row>
    <row r="352" spans="2:7" hidden="1" outlineLevel="1" x14ac:dyDescent="0.25">
      <c r="B352" t="str">
        <f>INDEX(Rankings!C$2:'Rankings'!C$1149,MATCH(SMALL(Rankings!H$2:'Rankings'!H$1000,ROW()),Rankings!H$2:'Rankings'!H$1000,0))</f>
        <v>Iwan de Moor</v>
      </c>
      <c r="C352" t="str">
        <f>INDEX(Rankings!C$2:'Rankings'!C$1149,MATCH(SMALL(Rankings!H$2:'Rankings'!H$1000,ROW()),Rankings!H$2:'Rankings'!H$1000,0))</f>
        <v>Iwan de Moor</v>
      </c>
      <c r="D352" t="str">
        <f>INDEX(Rankings!C$2:'Rankings'!C$1149,MATCH(SMALL(Rankings!H$2:'Rankings'!H$1000,ROW()),Rankings!H$2:'Rankings'!H$1000,0))</f>
        <v>Iwan de Moor</v>
      </c>
      <c r="G352" t="str">
        <f>INDEX(Rankings!C$2:'Rankings'!C$1149,MATCH(SMALL(Rankings!H$2:'Rankings'!H$1000,ROW()),Rankings!H$2:'Rankings'!H$1000,0))</f>
        <v>Iwan de Moor</v>
      </c>
    </row>
    <row r="353" spans="2:7" hidden="1" outlineLevel="1" x14ac:dyDescent="0.25">
      <c r="B353" t="str">
        <f>INDEX(Rankings!C$2:'Rankings'!C$1149,MATCH(SMALL(Rankings!H$2:'Rankings'!H$1000,ROW()),Rankings!H$2:'Rankings'!H$1000,0))</f>
        <v>J Kaurt</v>
      </c>
      <c r="C353" t="str">
        <f>INDEX(Rankings!C$2:'Rankings'!C$1149,MATCH(SMALL(Rankings!H$2:'Rankings'!H$1000,ROW()),Rankings!H$2:'Rankings'!H$1000,0))</f>
        <v>J Kaurt</v>
      </c>
      <c r="D353" t="str">
        <f>INDEX(Rankings!C$2:'Rankings'!C$1149,MATCH(SMALL(Rankings!H$2:'Rankings'!H$1000,ROW()),Rankings!H$2:'Rankings'!H$1000,0))</f>
        <v>J Kaurt</v>
      </c>
      <c r="G353" t="str">
        <f>INDEX(Rankings!C$2:'Rankings'!C$1149,MATCH(SMALL(Rankings!H$2:'Rankings'!H$1000,ROW()),Rankings!H$2:'Rankings'!H$1000,0))</f>
        <v>J Kaurt</v>
      </c>
    </row>
    <row r="354" spans="2:7" hidden="1" outlineLevel="1" x14ac:dyDescent="0.25">
      <c r="B354" t="str">
        <f>INDEX(Rankings!C$2:'Rankings'!C$1149,MATCH(SMALL(Rankings!H$2:'Rankings'!H$1000,ROW()),Rankings!H$2:'Rankings'!H$1000,0))</f>
        <v>Jack Cooksey</v>
      </c>
      <c r="C354" t="str">
        <f>INDEX(Rankings!C$2:'Rankings'!C$1149,MATCH(SMALL(Rankings!H$2:'Rankings'!H$1000,ROW()),Rankings!H$2:'Rankings'!H$1000,0))</f>
        <v>Jack Cooksey</v>
      </c>
      <c r="D354" t="str">
        <f>INDEX(Rankings!C$2:'Rankings'!C$1149,MATCH(SMALL(Rankings!H$2:'Rankings'!H$1000,ROW()),Rankings!H$2:'Rankings'!H$1000,0))</f>
        <v>Jack Cooksey</v>
      </c>
      <c r="G354" t="str">
        <f>INDEX(Rankings!C$2:'Rankings'!C$1149,MATCH(SMALL(Rankings!H$2:'Rankings'!H$1000,ROW()),Rankings!H$2:'Rankings'!H$1000,0))</f>
        <v>Jack Cooksey</v>
      </c>
    </row>
    <row r="355" spans="2:7" hidden="1" outlineLevel="1" x14ac:dyDescent="0.25">
      <c r="B355" t="str">
        <f>INDEX(Rankings!C$2:'Rankings'!C$1149,MATCH(SMALL(Rankings!H$2:'Rankings'!H$1000,ROW()),Rankings!H$2:'Rankings'!H$1000,0))</f>
        <v>Jack Herrick</v>
      </c>
      <c r="C355" t="str">
        <f>INDEX(Rankings!C$2:'Rankings'!C$1149,MATCH(SMALL(Rankings!H$2:'Rankings'!H$1000,ROW()),Rankings!H$2:'Rankings'!H$1000,0))</f>
        <v>Jack Herrick</v>
      </c>
      <c r="D355" t="str">
        <f>INDEX(Rankings!C$2:'Rankings'!C$1149,MATCH(SMALL(Rankings!H$2:'Rankings'!H$1000,ROW()),Rankings!H$2:'Rankings'!H$1000,0))</f>
        <v>Jack Herrick</v>
      </c>
      <c r="G355" t="str">
        <f>INDEX(Rankings!C$2:'Rankings'!C$1149,MATCH(SMALL(Rankings!H$2:'Rankings'!H$1000,ROW()),Rankings!H$2:'Rankings'!H$1000,0))</f>
        <v>Jack Herrick</v>
      </c>
    </row>
    <row r="356" spans="2:7" hidden="1" outlineLevel="1" x14ac:dyDescent="0.25">
      <c r="B356" t="str">
        <f>INDEX(Rankings!C$2:'Rankings'!C$1149,MATCH(SMALL(Rankings!H$2:'Rankings'!H$1000,ROW()),Rankings!H$2:'Rankings'!H$1000,0))</f>
        <v>Jack Stanton</v>
      </c>
      <c r="C356" t="str">
        <f>INDEX(Rankings!C$2:'Rankings'!C$1149,MATCH(SMALL(Rankings!H$2:'Rankings'!H$1000,ROW()),Rankings!H$2:'Rankings'!H$1000,0))</f>
        <v>Jack Stanton</v>
      </c>
      <c r="D356" t="str">
        <f>INDEX(Rankings!C$2:'Rankings'!C$1149,MATCH(SMALL(Rankings!H$2:'Rankings'!H$1000,ROW()),Rankings!H$2:'Rankings'!H$1000,0))</f>
        <v>Jack Stanton</v>
      </c>
      <c r="G356" t="str">
        <f>INDEX(Rankings!C$2:'Rankings'!C$1149,MATCH(SMALL(Rankings!H$2:'Rankings'!H$1000,ROW()),Rankings!H$2:'Rankings'!H$1000,0))</f>
        <v>Jack Stanton</v>
      </c>
    </row>
    <row r="357" spans="2:7" hidden="1" outlineLevel="1" x14ac:dyDescent="0.25">
      <c r="B357" t="str">
        <f>INDEX(Rankings!C$2:'Rankings'!C$1149,MATCH(SMALL(Rankings!H$2:'Rankings'!H$1000,ROW()),Rankings!H$2:'Rankings'!H$1000,0))</f>
        <v>Jacob Cuba</v>
      </c>
      <c r="C357" t="str">
        <f>INDEX(Rankings!C$2:'Rankings'!C$1149,MATCH(SMALL(Rankings!H$2:'Rankings'!H$1000,ROW()),Rankings!H$2:'Rankings'!H$1000,0))</f>
        <v>Jacob Cuba</v>
      </c>
      <c r="D357" t="str">
        <f>INDEX(Rankings!C$2:'Rankings'!C$1149,MATCH(SMALL(Rankings!H$2:'Rankings'!H$1000,ROW()),Rankings!H$2:'Rankings'!H$1000,0))</f>
        <v>Jacob Cuba</v>
      </c>
      <c r="G357" t="str">
        <f>INDEX(Rankings!C$2:'Rankings'!C$1149,MATCH(SMALL(Rankings!H$2:'Rankings'!H$1000,ROW()),Rankings!H$2:'Rankings'!H$1000,0))</f>
        <v>Jacob Cuba</v>
      </c>
    </row>
    <row r="358" spans="2:7" hidden="1" outlineLevel="1" x14ac:dyDescent="0.25">
      <c r="B358" t="str">
        <f>INDEX(Rankings!C$2:'Rankings'!C$1149,MATCH(SMALL(Rankings!H$2:'Rankings'!H$1000,ROW()),Rankings!H$2:'Rankings'!H$1000,0))</f>
        <v>Jacopo Battaglino</v>
      </c>
      <c r="C358" t="str">
        <f>INDEX(Rankings!C$2:'Rankings'!C$1149,MATCH(SMALL(Rankings!H$2:'Rankings'!H$1000,ROW()),Rankings!H$2:'Rankings'!H$1000,0))</f>
        <v>Jacopo Battaglino</v>
      </c>
      <c r="D358" t="str">
        <f>INDEX(Rankings!C$2:'Rankings'!C$1149,MATCH(SMALL(Rankings!H$2:'Rankings'!H$1000,ROW()),Rankings!H$2:'Rankings'!H$1000,0))</f>
        <v>Jacopo Battaglino</v>
      </c>
      <c r="G358" t="str">
        <f>INDEX(Rankings!C$2:'Rankings'!C$1149,MATCH(SMALL(Rankings!H$2:'Rankings'!H$1000,ROW()),Rankings!H$2:'Rankings'!H$1000,0))</f>
        <v>Jacopo Battaglino</v>
      </c>
    </row>
    <row r="359" spans="2:7" hidden="1" outlineLevel="1" x14ac:dyDescent="0.25">
      <c r="B359" t="str">
        <f>INDEX(Rankings!C$2:'Rankings'!C$1149,MATCH(SMALL(Rankings!H$2:'Rankings'!H$1000,ROW()),Rankings!H$2:'Rankings'!H$1000,0))</f>
        <v>Jacqueline Hummel</v>
      </c>
      <c r="C359" t="str">
        <f>INDEX(Rankings!C$2:'Rankings'!C$1149,MATCH(SMALL(Rankings!H$2:'Rankings'!H$1000,ROW()),Rankings!H$2:'Rankings'!H$1000,0))</f>
        <v>Jacqueline Hummel</v>
      </c>
      <c r="D359" t="str">
        <f>INDEX(Rankings!C$2:'Rankings'!C$1149,MATCH(SMALL(Rankings!H$2:'Rankings'!H$1000,ROW()),Rankings!H$2:'Rankings'!H$1000,0))</f>
        <v>Jacqueline Hummel</v>
      </c>
      <c r="G359" t="str">
        <f>INDEX(Rankings!C$2:'Rankings'!C$1149,MATCH(SMALL(Rankings!H$2:'Rankings'!H$1000,ROW()),Rankings!H$2:'Rankings'!H$1000,0))</f>
        <v>Jacqueline Hummel</v>
      </c>
    </row>
    <row r="360" spans="2:7" hidden="1" outlineLevel="1" x14ac:dyDescent="0.25">
      <c r="B360" t="str">
        <f>INDEX(Rankings!C$2:'Rankings'!C$1149,MATCH(SMALL(Rankings!H$2:'Rankings'!H$1000,ROW()),Rankings!H$2:'Rankings'!H$1000,0))</f>
        <v>Jaden Paul</v>
      </c>
      <c r="C360" t="str">
        <f>INDEX(Rankings!C$2:'Rankings'!C$1149,MATCH(SMALL(Rankings!H$2:'Rankings'!H$1000,ROW()),Rankings!H$2:'Rankings'!H$1000,0))</f>
        <v>Jaden Paul</v>
      </c>
      <c r="D360" t="str">
        <f>INDEX(Rankings!C$2:'Rankings'!C$1149,MATCH(SMALL(Rankings!H$2:'Rankings'!H$1000,ROW()),Rankings!H$2:'Rankings'!H$1000,0))</f>
        <v>Jaden Paul</v>
      </c>
      <c r="G360" t="str">
        <f>INDEX(Rankings!C$2:'Rankings'!C$1149,MATCH(SMALL(Rankings!H$2:'Rankings'!H$1000,ROW()),Rankings!H$2:'Rankings'!H$1000,0))</f>
        <v>Jaden Paul</v>
      </c>
    </row>
    <row r="361" spans="2:7" hidden="1" outlineLevel="1" x14ac:dyDescent="0.25">
      <c r="B361" t="str">
        <f>INDEX(Rankings!C$2:'Rankings'!C$1149,MATCH(SMALL(Rankings!H$2:'Rankings'!H$1000,ROW()),Rankings!H$2:'Rankings'!H$1000,0))</f>
        <v>Jake Coleman</v>
      </c>
      <c r="C361" t="str">
        <f>INDEX(Rankings!C$2:'Rankings'!C$1149,MATCH(SMALL(Rankings!H$2:'Rankings'!H$1000,ROW()),Rankings!H$2:'Rankings'!H$1000,0))</f>
        <v>Jake Coleman</v>
      </c>
      <c r="D361" t="str">
        <f>INDEX(Rankings!C$2:'Rankings'!C$1149,MATCH(SMALL(Rankings!H$2:'Rankings'!H$1000,ROW()),Rankings!H$2:'Rankings'!H$1000,0))</f>
        <v>Jake Coleman</v>
      </c>
      <c r="G361" t="str">
        <f>INDEX(Rankings!C$2:'Rankings'!C$1149,MATCH(SMALL(Rankings!H$2:'Rankings'!H$1000,ROW()),Rankings!H$2:'Rankings'!H$1000,0))</f>
        <v>Jake Coleman</v>
      </c>
    </row>
    <row r="362" spans="2:7" hidden="1" outlineLevel="1" x14ac:dyDescent="0.25">
      <c r="B362" t="str">
        <f>INDEX(Rankings!C$2:'Rankings'!C$1149,MATCH(SMALL(Rankings!H$2:'Rankings'!H$1000,ROW()),Rankings!H$2:'Rankings'!H$1000,0))</f>
        <v>Jake Gauthier</v>
      </c>
      <c r="C362" t="str">
        <f>INDEX(Rankings!C$2:'Rankings'!C$1149,MATCH(SMALL(Rankings!H$2:'Rankings'!H$1000,ROW()),Rankings!H$2:'Rankings'!H$1000,0))</f>
        <v>Jake Gauthier</v>
      </c>
      <c r="D362" t="str">
        <f>INDEX(Rankings!C$2:'Rankings'!C$1149,MATCH(SMALL(Rankings!H$2:'Rankings'!H$1000,ROW()),Rankings!H$2:'Rankings'!H$1000,0))</f>
        <v>Jake Gauthier</v>
      </c>
      <c r="G362" t="str">
        <f>INDEX(Rankings!C$2:'Rankings'!C$1149,MATCH(SMALL(Rankings!H$2:'Rankings'!H$1000,ROW()),Rankings!H$2:'Rankings'!H$1000,0))</f>
        <v>Jake Gauthier</v>
      </c>
    </row>
    <row r="363" spans="2:7" hidden="1" outlineLevel="1" x14ac:dyDescent="0.25">
      <c r="B363" t="str">
        <f>INDEX(Rankings!C$2:'Rankings'!C$1149,MATCH(SMALL(Rankings!H$2:'Rankings'!H$1000,ROW()),Rankings!H$2:'Rankings'!H$1000,0))</f>
        <v>Jakub Hosek</v>
      </c>
      <c r="C363" t="str">
        <f>INDEX(Rankings!C$2:'Rankings'!C$1149,MATCH(SMALL(Rankings!H$2:'Rankings'!H$1000,ROW()),Rankings!H$2:'Rankings'!H$1000,0))</f>
        <v>Jakub Hosek</v>
      </c>
      <c r="D363" t="str">
        <f>INDEX(Rankings!C$2:'Rankings'!C$1149,MATCH(SMALL(Rankings!H$2:'Rankings'!H$1000,ROW()),Rankings!H$2:'Rankings'!H$1000,0))</f>
        <v>Jakub Hosek</v>
      </c>
      <c r="G363" t="str">
        <f>INDEX(Rankings!C$2:'Rankings'!C$1149,MATCH(SMALL(Rankings!H$2:'Rankings'!H$1000,ROW()),Rankings!H$2:'Rankings'!H$1000,0))</f>
        <v>Jakub Hosek</v>
      </c>
    </row>
    <row r="364" spans="2:7" hidden="1" outlineLevel="1" x14ac:dyDescent="0.25">
      <c r="B364" t="str">
        <f>INDEX(Rankings!C$2:'Rankings'!C$1149,MATCH(SMALL(Rankings!H$2:'Rankings'!H$1000,ROW()),Rankings!H$2:'Rankings'!H$1000,0))</f>
        <v>Jakub Kostel</v>
      </c>
      <c r="C364" t="str">
        <f>INDEX(Rankings!C$2:'Rankings'!C$1149,MATCH(SMALL(Rankings!H$2:'Rankings'!H$1000,ROW()),Rankings!H$2:'Rankings'!H$1000,0))</f>
        <v>Jakub Kostel</v>
      </c>
      <c r="D364" t="str">
        <f>INDEX(Rankings!C$2:'Rankings'!C$1149,MATCH(SMALL(Rankings!H$2:'Rankings'!H$1000,ROW()),Rankings!H$2:'Rankings'!H$1000,0))</f>
        <v>Jakub Kostel</v>
      </c>
      <c r="G364" t="str">
        <f>INDEX(Rankings!C$2:'Rankings'!C$1149,MATCH(SMALL(Rankings!H$2:'Rankings'!H$1000,ROW()),Rankings!H$2:'Rankings'!H$1000,0))</f>
        <v>Jakub Kostel</v>
      </c>
    </row>
    <row r="365" spans="2:7" hidden="1" outlineLevel="1" x14ac:dyDescent="0.25">
      <c r="B365" t="str">
        <f>INDEX(Rankings!C$2:'Rankings'!C$1149,MATCH(SMALL(Rankings!H$2:'Rankings'!H$1000,ROW()),Rankings!H$2:'Rankings'!H$1000,0))</f>
        <v>Jakub Matula</v>
      </c>
      <c r="C365" t="str">
        <f>INDEX(Rankings!C$2:'Rankings'!C$1149,MATCH(SMALL(Rankings!H$2:'Rankings'!H$1000,ROW()),Rankings!H$2:'Rankings'!H$1000,0))</f>
        <v>Jakub Matula</v>
      </c>
      <c r="D365" t="str">
        <f>INDEX(Rankings!C$2:'Rankings'!C$1149,MATCH(SMALL(Rankings!H$2:'Rankings'!H$1000,ROW()),Rankings!H$2:'Rankings'!H$1000,0))</f>
        <v>Jakub Matula</v>
      </c>
      <c r="G365" t="str">
        <f>INDEX(Rankings!C$2:'Rankings'!C$1149,MATCH(SMALL(Rankings!H$2:'Rankings'!H$1000,ROW()),Rankings!H$2:'Rankings'!H$1000,0))</f>
        <v>Jakub Matula</v>
      </c>
    </row>
    <row r="366" spans="2:7" hidden="1" outlineLevel="1" x14ac:dyDescent="0.25">
      <c r="B366" t="str">
        <f>INDEX(Rankings!C$2:'Rankings'!C$1149,MATCH(SMALL(Rankings!H$2:'Rankings'!H$1000,ROW()),Rankings!H$2:'Rankings'!H$1000,0))</f>
        <v>Jakub Sedlak</v>
      </c>
      <c r="C366" t="str">
        <f>INDEX(Rankings!C$2:'Rankings'!C$1149,MATCH(SMALL(Rankings!H$2:'Rankings'!H$1000,ROW()),Rankings!H$2:'Rankings'!H$1000,0))</f>
        <v>Jakub Sedlak</v>
      </c>
      <c r="D366" t="str">
        <f>INDEX(Rankings!C$2:'Rankings'!C$1149,MATCH(SMALL(Rankings!H$2:'Rankings'!H$1000,ROW()),Rankings!H$2:'Rankings'!H$1000,0))</f>
        <v>Jakub Sedlak</v>
      </c>
      <c r="G366" t="str">
        <f>INDEX(Rankings!C$2:'Rankings'!C$1149,MATCH(SMALL(Rankings!H$2:'Rankings'!H$1000,ROW()),Rankings!H$2:'Rankings'!H$1000,0))</f>
        <v>Jakub Sedlak</v>
      </c>
    </row>
    <row r="367" spans="2:7" hidden="1" outlineLevel="1" x14ac:dyDescent="0.25">
      <c r="B367" t="str">
        <f>INDEX(Rankings!C$2:'Rankings'!C$1149,MATCH(SMALL(Rankings!H$2:'Rankings'!H$1000,ROW()),Rankings!H$2:'Rankings'!H$1000,0))</f>
        <v>Jakub Zahradnicek</v>
      </c>
      <c r="C367" t="str">
        <f>INDEX(Rankings!C$2:'Rankings'!C$1149,MATCH(SMALL(Rankings!H$2:'Rankings'!H$1000,ROW()),Rankings!H$2:'Rankings'!H$1000,0))</f>
        <v>Jakub Zahradnicek</v>
      </c>
      <c r="D367" t="str">
        <f>INDEX(Rankings!C$2:'Rankings'!C$1149,MATCH(SMALL(Rankings!H$2:'Rankings'!H$1000,ROW()),Rankings!H$2:'Rankings'!H$1000,0))</f>
        <v>Jakub Zahradnicek</v>
      </c>
      <c r="G367" t="str">
        <f>INDEX(Rankings!C$2:'Rankings'!C$1149,MATCH(SMALL(Rankings!H$2:'Rankings'!H$1000,ROW()),Rankings!H$2:'Rankings'!H$1000,0))</f>
        <v>Jakub Zahradnicek</v>
      </c>
    </row>
    <row r="368" spans="2:7" hidden="1" outlineLevel="1" x14ac:dyDescent="0.25">
      <c r="B368" t="str">
        <f>INDEX(Rankings!C$2:'Rankings'!C$1149,MATCH(SMALL(Rankings!H$2:'Rankings'!H$1000,ROW()),Rankings!H$2:'Rankings'!H$1000,0))</f>
        <v>James Wiseman</v>
      </c>
      <c r="C368" t="str">
        <f>INDEX(Rankings!C$2:'Rankings'!C$1149,MATCH(SMALL(Rankings!H$2:'Rankings'!H$1000,ROW()),Rankings!H$2:'Rankings'!H$1000,0))</f>
        <v>James Wiseman</v>
      </c>
      <c r="D368" t="str">
        <f>INDEX(Rankings!C$2:'Rankings'!C$1149,MATCH(SMALL(Rankings!H$2:'Rankings'!H$1000,ROW()),Rankings!H$2:'Rankings'!H$1000,0))</f>
        <v>James Wiseman</v>
      </c>
      <c r="G368" t="str">
        <f>INDEX(Rankings!C$2:'Rankings'!C$1149,MATCH(SMALL(Rankings!H$2:'Rankings'!H$1000,ROW()),Rankings!H$2:'Rankings'!H$1000,0))</f>
        <v>James Wiseman</v>
      </c>
    </row>
    <row r="369" spans="2:7" hidden="1" outlineLevel="1" x14ac:dyDescent="0.25">
      <c r="B369" t="str">
        <f>INDEX(Rankings!C$2:'Rankings'!C$1149,MATCH(SMALL(Rankings!H$2:'Rankings'!H$1000,ROW()),Rankings!H$2:'Rankings'!H$1000,0))</f>
        <v>Jamie Chantiles</v>
      </c>
      <c r="C369" t="str">
        <f>INDEX(Rankings!C$2:'Rankings'!C$1149,MATCH(SMALL(Rankings!H$2:'Rankings'!H$1000,ROW()),Rankings!H$2:'Rankings'!H$1000,0))</f>
        <v>Jamie Chantiles</v>
      </c>
      <c r="D369" t="str">
        <f>INDEX(Rankings!C$2:'Rankings'!C$1149,MATCH(SMALL(Rankings!H$2:'Rankings'!H$1000,ROW()),Rankings!H$2:'Rankings'!H$1000,0))</f>
        <v>Jamie Chantiles</v>
      </c>
      <c r="G369" t="str">
        <f>INDEX(Rankings!C$2:'Rankings'!C$1149,MATCH(SMALL(Rankings!H$2:'Rankings'!H$1000,ROW()),Rankings!H$2:'Rankings'!H$1000,0))</f>
        <v>Jamie Chantiles</v>
      </c>
    </row>
    <row r="370" spans="2:7" hidden="1" outlineLevel="1" x14ac:dyDescent="0.25">
      <c r="B370" t="str">
        <f>INDEX(Rankings!C$2:'Rankings'!C$1149,MATCH(SMALL(Rankings!H$2:'Rankings'!H$1000,ROW()),Rankings!H$2:'Rankings'!H$1000,0))</f>
        <v>Jammer Mom Kenny</v>
      </c>
      <c r="C370" t="str">
        <f>INDEX(Rankings!C$2:'Rankings'!C$1149,MATCH(SMALL(Rankings!H$2:'Rankings'!H$1000,ROW()),Rankings!H$2:'Rankings'!H$1000,0))</f>
        <v>Jammer Mom Kenny</v>
      </c>
      <c r="D370" t="str">
        <f>INDEX(Rankings!C$2:'Rankings'!C$1149,MATCH(SMALL(Rankings!H$2:'Rankings'!H$1000,ROW()),Rankings!H$2:'Rankings'!H$1000,0))</f>
        <v>Jammer Mom Kenny</v>
      </c>
      <c r="G370" t="str">
        <f>INDEX(Rankings!C$2:'Rankings'!C$1149,MATCH(SMALL(Rankings!H$2:'Rankings'!H$1000,ROW()),Rankings!H$2:'Rankings'!H$1000,0))</f>
        <v>Jammer Mom Kenny</v>
      </c>
    </row>
    <row r="371" spans="2:7" hidden="1" outlineLevel="1" x14ac:dyDescent="0.25">
      <c r="B371" t="str">
        <f>INDEX(Rankings!C$2:'Rankings'!C$1149,MATCH(SMALL(Rankings!H$2:'Rankings'!H$1000,ROW()),Rankings!H$2:'Rankings'!H$1000,0))</f>
        <v>Jan Bäss</v>
      </c>
      <c r="C371" t="str">
        <f>INDEX(Rankings!C$2:'Rankings'!C$1149,MATCH(SMALL(Rankings!H$2:'Rankings'!H$1000,ROW()),Rankings!H$2:'Rankings'!H$1000,0))</f>
        <v>Jan Bäss</v>
      </c>
      <c r="D371" t="str">
        <f>INDEX(Rankings!C$2:'Rankings'!C$1149,MATCH(SMALL(Rankings!H$2:'Rankings'!H$1000,ROW()),Rankings!H$2:'Rankings'!H$1000,0))</f>
        <v>Jan Bäss</v>
      </c>
      <c r="G371" t="str">
        <f>INDEX(Rankings!C$2:'Rankings'!C$1149,MATCH(SMALL(Rankings!H$2:'Rankings'!H$1000,ROW()),Rankings!H$2:'Rankings'!H$1000,0))</f>
        <v>Jan Bäss</v>
      </c>
    </row>
    <row r="372" spans="2:7" hidden="1" outlineLevel="1" x14ac:dyDescent="0.25">
      <c r="B372" t="str">
        <f>INDEX(Rankings!C$2:'Rankings'!C$1149,MATCH(SMALL(Rankings!H$2:'Rankings'!H$1000,ROW()),Rankings!H$2:'Rankings'!H$1000,0))</f>
        <v>Jan Ekman</v>
      </c>
      <c r="C372" t="str">
        <f>INDEX(Rankings!C$2:'Rankings'!C$1149,MATCH(SMALL(Rankings!H$2:'Rankings'!H$1000,ROW()),Rankings!H$2:'Rankings'!H$1000,0))</f>
        <v>Jan Ekman</v>
      </c>
      <c r="D372" t="str">
        <f>INDEX(Rankings!C$2:'Rankings'!C$1149,MATCH(SMALL(Rankings!H$2:'Rankings'!H$1000,ROW()),Rankings!H$2:'Rankings'!H$1000,0))</f>
        <v>Jan Ekman</v>
      </c>
      <c r="G372" t="str">
        <f>INDEX(Rankings!C$2:'Rankings'!C$1149,MATCH(SMALL(Rankings!H$2:'Rankings'!H$1000,ROW()),Rankings!H$2:'Rankings'!H$1000,0))</f>
        <v>Jan Ekman</v>
      </c>
    </row>
    <row r="373" spans="2:7" hidden="1" outlineLevel="1" x14ac:dyDescent="0.25">
      <c r="B373" t="str">
        <f>INDEX(Rankings!C$2:'Rankings'!C$1149,MATCH(SMALL(Rankings!H$2:'Rankings'!H$1000,ROW()),Rankings!H$2:'Rankings'!H$1000,0))</f>
        <v>Jan Huybrechts</v>
      </c>
      <c r="C373" t="str">
        <f>INDEX(Rankings!C$2:'Rankings'!C$1149,MATCH(SMALL(Rankings!H$2:'Rankings'!H$1000,ROW()),Rankings!H$2:'Rankings'!H$1000,0))</f>
        <v>Jan Huybrechts</v>
      </c>
      <c r="D373" t="str">
        <f>INDEX(Rankings!C$2:'Rankings'!C$1149,MATCH(SMALL(Rankings!H$2:'Rankings'!H$1000,ROW()),Rankings!H$2:'Rankings'!H$1000,0))</f>
        <v>Jan Huybrechts</v>
      </c>
      <c r="G373" t="str">
        <f>INDEX(Rankings!C$2:'Rankings'!C$1149,MATCH(SMALL(Rankings!H$2:'Rankings'!H$1000,ROW()),Rankings!H$2:'Rankings'!H$1000,0))</f>
        <v>Jan Huybrechts</v>
      </c>
    </row>
    <row r="374" spans="2:7" hidden="1" outlineLevel="1" x14ac:dyDescent="0.25">
      <c r="B374" t="str">
        <f>INDEX(Rankings!C$2:'Rankings'!C$1149,MATCH(SMALL(Rankings!H$2:'Rankings'!H$1000,ROW()),Rankings!H$2:'Rankings'!H$1000,0))</f>
        <v>Jan Mertens</v>
      </c>
      <c r="C374" t="str">
        <f>INDEX(Rankings!C$2:'Rankings'!C$1149,MATCH(SMALL(Rankings!H$2:'Rankings'!H$1000,ROW()),Rankings!H$2:'Rankings'!H$1000,0))</f>
        <v>Jan Mertens</v>
      </c>
      <c r="D374" t="str">
        <f>INDEX(Rankings!C$2:'Rankings'!C$1149,MATCH(SMALL(Rankings!H$2:'Rankings'!H$1000,ROW()),Rankings!H$2:'Rankings'!H$1000,0))</f>
        <v>Jan Mertens</v>
      </c>
      <c r="G374" t="str">
        <f>INDEX(Rankings!C$2:'Rankings'!C$1149,MATCH(SMALL(Rankings!H$2:'Rankings'!H$1000,ROW()),Rankings!H$2:'Rankings'!H$1000,0))</f>
        <v>Jan Mertens</v>
      </c>
    </row>
    <row r="375" spans="2:7" hidden="1" outlineLevel="1" x14ac:dyDescent="0.25">
      <c r="B375" t="str">
        <f>INDEX(Rankings!C$2:'Rankings'!C$1149,MATCH(SMALL(Rankings!H$2:'Rankings'!H$1000,ROW()),Rankings!H$2:'Rankings'!H$1000,0))</f>
        <v>Jan Schreck</v>
      </c>
      <c r="C375" t="str">
        <f>INDEX(Rankings!C$2:'Rankings'!C$1149,MATCH(SMALL(Rankings!H$2:'Rankings'!H$1000,ROW()),Rankings!H$2:'Rankings'!H$1000,0))</f>
        <v>Jan Schreck</v>
      </c>
      <c r="D375" t="str">
        <f>INDEX(Rankings!C$2:'Rankings'!C$1149,MATCH(SMALL(Rankings!H$2:'Rankings'!H$1000,ROW()),Rankings!H$2:'Rankings'!H$1000,0))</f>
        <v>Jan Schreck</v>
      </c>
      <c r="G375" t="str">
        <f>INDEX(Rankings!C$2:'Rankings'!C$1149,MATCH(SMALL(Rankings!H$2:'Rankings'!H$1000,ROW()),Rankings!H$2:'Rankings'!H$1000,0))</f>
        <v>Jan Schreck</v>
      </c>
    </row>
    <row r="376" spans="2:7" hidden="1" outlineLevel="1" x14ac:dyDescent="0.25">
      <c r="B376" t="str">
        <f>INDEX(Rankings!C$2:'Rankings'!C$1149,MATCH(SMALL(Rankings!H$2:'Rankings'!H$1000,ROW()),Rankings!H$2:'Rankings'!H$1000,0))</f>
        <v>Jan Soerensen</v>
      </c>
      <c r="C376" t="str">
        <f>INDEX(Rankings!C$2:'Rankings'!C$1149,MATCH(SMALL(Rankings!H$2:'Rankings'!H$1000,ROW()),Rankings!H$2:'Rankings'!H$1000,0))</f>
        <v>Jan Soerensen</v>
      </c>
      <c r="D376" t="str">
        <f>INDEX(Rankings!C$2:'Rankings'!C$1149,MATCH(SMALL(Rankings!H$2:'Rankings'!H$1000,ROW()),Rankings!H$2:'Rankings'!H$1000,0))</f>
        <v>Jan Soerensen</v>
      </c>
      <c r="G376" t="str">
        <f>INDEX(Rankings!C$2:'Rankings'!C$1149,MATCH(SMALL(Rankings!H$2:'Rankings'!H$1000,ROW()),Rankings!H$2:'Rankings'!H$1000,0))</f>
        <v>Jan Soerensen</v>
      </c>
    </row>
    <row r="377" spans="2:7" hidden="1" outlineLevel="1" x14ac:dyDescent="0.25">
      <c r="B377" t="str">
        <f>INDEX(Rankings!C$2:'Rankings'!C$1149,MATCH(SMALL(Rankings!H$2:'Rankings'!H$1000,ROW()),Rankings!H$2:'Rankings'!H$1000,0))</f>
        <v>Jan Struz</v>
      </c>
      <c r="C377" t="str">
        <f>INDEX(Rankings!C$2:'Rankings'!C$1149,MATCH(SMALL(Rankings!H$2:'Rankings'!H$1000,ROW()),Rankings!H$2:'Rankings'!H$1000,0))</f>
        <v>Jan Struz</v>
      </c>
      <c r="D377" t="str">
        <f>INDEX(Rankings!C$2:'Rankings'!C$1149,MATCH(SMALL(Rankings!H$2:'Rankings'!H$1000,ROW()),Rankings!H$2:'Rankings'!H$1000,0))</f>
        <v>Jan Struz</v>
      </c>
      <c r="G377" t="str">
        <f>INDEX(Rankings!C$2:'Rankings'!C$1149,MATCH(SMALL(Rankings!H$2:'Rankings'!H$1000,ROW()),Rankings!H$2:'Rankings'!H$1000,0))</f>
        <v>Jan Struz</v>
      </c>
    </row>
    <row r="378" spans="2:7" hidden="1" outlineLevel="1" x14ac:dyDescent="0.25">
      <c r="B378" t="str">
        <f>INDEX(Rankings!C$2:'Rankings'!C$1149,MATCH(SMALL(Rankings!H$2:'Rankings'!H$1000,ROW()),Rankings!H$2:'Rankings'!H$1000,0))</f>
        <v>Jan Zahradnicek</v>
      </c>
      <c r="C378" t="str">
        <f>INDEX(Rankings!C$2:'Rankings'!C$1149,MATCH(SMALL(Rankings!H$2:'Rankings'!H$1000,ROW()),Rankings!H$2:'Rankings'!H$1000,0))</f>
        <v>Jan Zahradnicek</v>
      </c>
      <c r="D378" t="str">
        <f>INDEX(Rankings!C$2:'Rankings'!C$1149,MATCH(SMALL(Rankings!H$2:'Rankings'!H$1000,ROW()),Rankings!H$2:'Rankings'!H$1000,0))</f>
        <v>Jan Zahradnicek</v>
      </c>
      <c r="G378" t="str">
        <f>INDEX(Rankings!C$2:'Rankings'!C$1149,MATCH(SMALL(Rankings!H$2:'Rankings'!H$1000,ROW()),Rankings!H$2:'Rankings'!H$1000,0))</f>
        <v>Jan Zahradnicek</v>
      </c>
    </row>
    <row r="379" spans="2:7" hidden="1" outlineLevel="1" x14ac:dyDescent="0.25">
      <c r="B379" t="str">
        <f>INDEX(Rankings!C$2:'Rankings'!C$1149,MATCH(SMALL(Rankings!H$2:'Rankings'!H$1000,ROW()),Rankings!H$2:'Rankings'!H$1000,0))</f>
        <v>Jan Zverina</v>
      </c>
      <c r="C379" t="str">
        <f>INDEX(Rankings!C$2:'Rankings'!C$1149,MATCH(SMALL(Rankings!H$2:'Rankings'!H$1000,ROW()),Rankings!H$2:'Rankings'!H$1000,0))</f>
        <v>Jan Zverina</v>
      </c>
      <c r="D379" t="str">
        <f>INDEX(Rankings!C$2:'Rankings'!C$1149,MATCH(SMALL(Rankings!H$2:'Rankings'!H$1000,ROW()),Rankings!H$2:'Rankings'!H$1000,0))</f>
        <v>Jan Zverina</v>
      </c>
      <c r="G379" t="str">
        <f>INDEX(Rankings!C$2:'Rankings'!C$1149,MATCH(SMALL(Rankings!H$2:'Rankings'!H$1000,ROW()),Rankings!H$2:'Rankings'!H$1000,0))</f>
        <v>Jan Zverina</v>
      </c>
    </row>
    <row r="380" spans="2:7" hidden="1" outlineLevel="1" x14ac:dyDescent="0.25">
      <c r="B380" t="str">
        <f>INDEX(Rankings!C$2:'Rankings'!C$1149,MATCH(SMALL(Rankings!H$2:'Rankings'!H$1000,ROW()),Rankings!H$2:'Rankings'!H$1000,0))</f>
        <v>Janis Degenhardt</v>
      </c>
      <c r="C380" t="str">
        <f>INDEX(Rankings!C$2:'Rankings'!C$1149,MATCH(SMALL(Rankings!H$2:'Rankings'!H$1000,ROW()),Rankings!H$2:'Rankings'!H$1000,0))</f>
        <v>Janis Degenhardt</v>
      </c>
      <c r="D380" t="str">
        <f>INDEX(Rankings!C$2:'Rankings'!C$1149,MATCH(SMALL(Rankings!H$2:'Rankings'!H$1000,ROW()),Rankings!H$2:'Rankings'!H$1000,0))</f>
        <v>Janis Degenhardt</v>
      </c>
      <c r="G380" t="str">
        <f>INDEX(Rankings!C$2:'Rankings'!C$1149,MATCH(SMALL(Rankings!H$2:'Rankings'!H$1000,ROW()),Rankings!H$2:'Rankings'!H$1000,0))</f>
        <v>Janis Degenhardt</v>
      </c>
    </row>
    <row r="381" spans="2:7" hidden="1" outlineLevel="1" x14ac:dyDescent="0.25">
      <c r="B381" t="str">
        <f>INDEX(Rankings!C$2:'Rankings'!C$1149,MATCH(SMALL(Rankings!H$2:'Rankings'!H$1000,ROW()),Rankings!H$2:'Rankings'!H$1000,0))</f>
        <v>Monika Vogt</v>
      </c>
      <c r="C381" t="str">
        <f>INDEX(Rankings!C$2:'Rankings'!C$1149,MATCH(SMALL(Rankings!H$2:'Rankings'!H$1000,ROW()),Rankings!H$2:'Rankings'!H$1000,0))</f>
        <v>Monika Vogt</v>
      </c>
      <c r="D381" t="str">
        <f>INDEX(Rankings!C$2:'Rankings'!C$1149,MATCH(SMALL(Rankings!H$2:'Rankings'!H$1000,ROW()),Rankings!H$2:'Rankings'!H$1000,0))</f>
        <v>Monika Vogt</v>
      </c>
      <c r="G381" t="str">
        <f>INDEX(Rankings!C$2:'Rankings'!C$1149,MATCH(SMALL(Rankings!H$2:'Rankings'!H$1000,ROW()),Rankings!H$2:'Rankings'!H$1000,0))</f>
        <v>Monika Vogt</v>
      </c>
    </row>
    <row r="382" spans="2:7" hidden="1" outlineLevel="1" x14ac:dyDescent="0.25">
      <c r="B382" t="str">
        <f>INDEX(Rankings!C$2:'Rankings'!C$1149,MATCH(SMALL(Rankings!H$2:'Rankings'!H$1000,ROW()),Rankings!H$2:'Rankings'!H$1000,0))</f>
        <v>Jason McGlade</v>
      </c>
      <c r="C382" t="str">
        <f>INDEX(Rankings!C$2:'Rankings'!C$1149,MATCH(SMALL(Rankings!H$2:'Rankings'!H$1000,ROW()),Rankings!H$2:'Rankings'!H$1000,0))</f>
        <v>Jason McGlade</v>
      </c>
      <c r="D382" t="str">
        <f>INDEX(Rankings!C$2:'Rankings'!C$1149,MATCH(SMALL(Rankings!H$2:'Rankings'!H$1000,ROW()),Rankings!H$2:'Rankings'!H$1000,0))</f>
        <v>Jason McGlade</v>
      </c>
      <c r="G382" t="str">
        <f>INDEX(Rankings!C$2:'Rankings'!C$1149,MATCH(SMALL(Rankings!H$2:'Rankings'!H$1000,ROW()),Rankings!H$2:'Rankings'!H$1000,0))</f>
        <v>Jason McGlade</v>
      </c>
    </row>
    <row r="383" spans="2:7" hidden="1" outlineLevel="1" x14ac:dyDescent="0.25">
      <c r="B383" t="str">
        <f>INDEX(Rankings!C$2:'Rankings'!C$1149,MATCH(SMALL(Rankings!H$2:'Rankings'!H$1000,ROW()),Rankings!H$2:'Rankings'!H$1000,0))</f>
        <v>Jason Salkey</v>
      </c>
      <c r="C383" t="str">
        <f>INDEX(Rankings!C$2:'Rankings'!C$1149,MATCH(SMALL(Rankings!H$2:'Rankings'!H$1000,ROW()),Rankings!H$2:'Rankings'!H$1000,0))</f>
        <v>Jason Salkey</v>
      </c>
      <c r="D383" t="str">
        <f>INDEX(Rankings!C$2:'Rankings'!C$1149,MATCH(SMALL(Rankings!H$2:'Rankings'!H$1000,ROW()),Rankings!H$2:'Rankings'!H$1000,0))</f>
        <v>Jason Salkey</v>
      </c>
      <c r="G383" t="str">
        <f>INDEX(Rankings!C$2:'Rankings'!C$1149,MATCH(SMALL(Rankings!H$2:'Rankings'!H$1000,ROW()),Rankings!H$2:'Rankings'!H$1000,0))</f>
        <v>Jason Salkey</v>
      </c>
    </row>
    <row r="384" spans="2:7" hidden="1" outlineLevel="1" x14ac:dyDescent="0.25">
      <c r="B384" t="str">
        <f>INDEX(Rankings!C$2:'Rankings'!C$1149,MATCH(SMALL(Rankings!H$2:'Rankings'!H$1000,ROW()),Rankings!H$2:'Rankings'!H$1000,0))</f>
        <v>Jason Urroz</v>
      </c>
      <c r="C384" t="str">
        <f>INDEX(Rankings!C$2:'Rankings'!C$1149,MATCH(SMALL(Rankings!H$2:'Rankings'!H$1000,ROW()),Rankings!H$2:'Rankings'!H$1000,0))</f>
        <v>Jason Urroz</v>
      </c>
      <c r="D384" t="str">
        <f>INDEX(Rankings!C$2:'Rankings'!C$1149,MATCH(SMALL(Rankings!H$2:'Rankings'!H$1000,ROW()),Rankings!H$2:'Rankings'!H$1000,0))</f>
        <v>Jason Urroz</v>
      </c>
      <c r="G384" t="str">
        <f>INDEX(Rankings!C$2:'Rankings'!C$1149,MATCH(SMALL(Rankings!H$2:'Rankings'!H$1000,ROW()),Rankings!H$2:'Rankings'!H$1000,0))</f>
        <v>Jason Urroz</v>
      </c>
    </row>
    <row r="385" spans="2:7" hidden="1" outlineLevel="1" x14ac:dyDescent="0.25">
      <c r="B385" t="str">
        <f>INDEX(Rankings!C$2:'Rankings'!C$1149,MATCH(SMALL(Rankings!H$2:'Rankings'!H$1000,ROW()),Rankings!H$2:'Rankings'!H$1000,0))</f>
        <v>Jason Varvaro</v>
      </c>
      <c r="C385" t="str">
        <f>INDEX(Rankings!C$2:'Rankings'!C$1149,MATCH(SMALL(Rankings!H$2:'Rankings'!H$1000,ROW()),Rankings!H$2:'Rankings'!H$1000,0))</f>
        <v>Jason Varvaro</v>
      </c>
      <c r="D385" t="str">
        <f>INDEX(Rankings!C$2:'Rankings'!C$1149,MATCH(SMALL(Rankings!H$2:'Rankings'!H$1000,ROW()),Rankings!H$2:'Rankings'!H$1000,0))</f>
        <v>Jason Varvaro</v>
      </c>
      <c r="G385" t="str">
        <f>INDEX(Rankings!C$2:'Rankings'!C$1149,MATCH(SMALL(Rankings!H$2:'Rankings'!H$1000,ROW()),Rankings!H$2:'Rankings'!H$1000,0))</f>
        <v>Jason Varvaro</v>
      </c>
    </row>
    <row r="386" spans="2:7" hidden="1" outlineLevel="1" x14ac:dyDescent="0.25">
      <c r="B386" t="str">
        <f>INDEX(Rankings!C$2:'Rankings'!C$1149,MATCH(SMALL(Rankings!H$2:'Rankings'!H$1000,ROW()),Rankings!H$2:'Rankings'!H$1000,0))</f>
        <v>Jay Hinkle</v>
      </c>
      <c r="C386" t="str">
        <f>INDEX(Rankings!C$2:'Rankings'!C$1149,MATCH(SMALL(Rankings!H$2:'Rankings'!H$1000,ROW()),Rankings!H$2:'Rankings'!H$1000,0))</f>
        <v>Jay Hinkle</v>
      </c>
      <c r="D386" t="str">
        <f>INDEX(Rankings!C$2:'Rankings'!C$1149,MATCH(SMALL(Rankings!H$2:'Rankings'!H$1000,ROW()),Rankings!H$2:'Rankings'!H$1000,0))</f>
        <v>Jay Hinkle</v>
      </c>
      <c r="G386" t="str">
        <f>INDEX(Rankings!C$2:'Rankings'!C$1149,MATCH(SMALL(Rankings!H$2:'Rankings'!H$1000,ROW()),Rankings!H$2:'Rankings'!H$1000,0))</f>
        <v>Jay Hinkle</v>
      </c>
    </row>
    <row r="387" spans="2:7" hidden="1" outlineLevel="1" x14ac:dyDescent="0.25">
      <c r="B387" t="str">
        <f>INDEX(Rankings!C$2:'Rankings'!C$1149,MATCH(SMALL(Rankings!H$2:'Rankings'!H$1000,ROW()),Rankings!H$2:'Rankings'!H$1000,0))</f>
        <v>Jay Koonts</v>
      </c>
      <c r="C387" t="str">
        <f>INDEX(Rankings!C$2:'Rankings'!C$1149,MATCH(SMALL(Rankings!H$2:'Rankings'!H$1000,ROW()),Rankings!H$2:'Rankings'!H$1000,0))</f>
        <v>Jay Koonts</v>
      </c>
      <c r="D387" t="str">
        <f>INDEX(Rankings!C$2:'Rankings'!C$1149,MATCH(SMALL(Rankings!H$2:'Rankings'!H$1000,ROW()),Rankings!H$2:'Rankings'!H$1000,0))</f>
        <v>Jay Koonts</v>
      </c>
      <c r="G387" t="str">
        <f>INDEX(Rankings!C$2:'Rankings'!C$1149,MATCH(SMALL(Rankings!H$2:'Rankings'!H$1000,ROW()),Rankings!H$2:'Rankings'!H$1000,0))</f>
        <v>Jay Koonts</v>
      </c>
    </row>
    <row r="388" spans="2:7" hidden="1" outlineLevel="1" x14ac:dyDescent="0.25">
      <c r="B388" t="str">
        <f>INDEX(Rankings!C$2:'Rankings'!C$1149,MATCH(SMALL(Rankings!H$2:'Rankings'!H$1000,ROW()),Rankings!H$2:'Rankings'!H$1000,0))</f>
        <v>Jay Moldenhauer</v>
      </c>
      <c r="C388" t="str">
        <f>INDEX(Rankings!C$2:'Rankings'!C$1149,MATCH(SMALL(Rankings!H$2:'Rankings'!H$1000,ROW()),Rankings!H$2:'Rankings'!H$1000,0))</f>
        <v>Jay Moldenhauer</v>
      </c>
      <c r="D388" t="str">
        <f>INDEX(Rankings!C$2:'Rankings'!C$1149,MATCH(SMALL(Rankings!H$2:'Rankings'!H$1000,ROW()),Rankings!H$2:'Rankings'!H$1000,0))</f>
        <v>Jay Moldenhauer</v>
      </c>
      <c r="G388" t="str">
        <f>INDEX(Rankings!C$2:'Rankings'!C$1149,MATCH(SMALL(Rankings!H$2:'Rankings'!H$1000,ROW()),Rankings!H$2:'Rankings'!H$1000,0))</f>
        <v>Jay Moldenhauer</v>
      </c>
    </row>
    <row r="389" spans="2:7" hidden="1" outlineLevel="1" x14ac:dyDescent="0.25">
      <c r="B389" t="str">
        <f>INDEX(Rankings!C$2:'Rankings'!C$1149,MATCH(SMALL(Rankings!H$2:'Rankings'!H$1000,ROW()),Rankings!H$2:'Rankings'!H$1000,0))</f>
        <v>Jean Marie Abel</v>
      </c>
      <c r="C389" t="str">
        <f>INDEX(Rankings!C$2:'Rankings'!C$1149,MATCH(SMALL(Rankings!H$2:'Rankings'!H$1000,ROW()),Rankings!H$2:'Rankings'!H$1000,0))</f>
        <v>Jean Marie Abel</v>
      </c>
      <c r="D389" t="str">
        <f>INDEX(Rankings!C$2:'Rankings'!C$1149,MATCH(SMALL(Rankings!H$2:'Rankings'!H$1000,ROW()),Rankings!H$2:'Rankings'!H$1000,0))</f>
        <v>Jean Marie Abel</v>
      </c>
      <c r="G389" t="str">
        <f>INDEX(Rankings!C$2:'Rankings'!C$1149,MATCH(SMALL(Rankings!H$2:'Rankings'!H$1000,ROW()),Rankings!H$2:'Rankings'!H$1000,0))</f>
        <v>Jean Marie Abel</v>
      </c>
    </row>
    <row r="390" spans="2:7" hidden="1" outlineLevel="1" x14ac:dyDescent="0.25">
      <c r="B390" t="str">
        <f>INDEX(Rankings!C$2:'Rankings'!C$1149,MATCH(SMALL(Rankings!H$2:'Rankings'!H$1000,ROW()),Rankings!H$2:'Rankings'!H$1000,0))</f>
        <v>Eugenio Zaffarano</v>
      </c>
      <c r="C390" t="str">
        <f>INDEX(Rankings!C$2:'Rankings'!C$1149,MATCH(SMALL(Rankings!H$2:'Rankings'!H$1000,ROW()),Rankings!H$2:'Rankings'!H$1000,0))</f>
        <v>Eugenio Zaffarano</v>
      </c>
      <c r="D390" t="str">
        <f>INDEX(Rankings!C$2:'Rankings'!C$1149,MATCH(SMALL(Rankings!H$2:'Rankings'!H$1000,ROW()),Rankings!H$2:'Rankings'!H$1000,0))</f>
        <v>Eugenio Zaffarano</v>
      </c>
      <c r="G390" t="str">
        <f>INDEX(Rankings!C$2:'Rankings'!C$1149,MATCH(SMALL(Rankings!H$2:'Rankings'!H$1000,ROW()),Rankings!H$2:'Rankings'!H$1000,0))</f>
        <v>Eugenio Zaffarano</v>
      </c>
    </row>
    <row r="391" spans="2:7" hidden="1" outlineLevel="1" x14ac:dyDescent="0.25">
      <c r="B391" t="str">
        <f>INDEX(Rankings!C$2:'Rankings'!C$1149,MATCH(SMALL(Rankings!H$2:'Rankings'!H$1000,ROW()),Rankings!H$2:'Rankings'!H$1000,0))</f>
        <v>Jeff Fiedler</v>
      </c>
      <c r="C391" t="str">
        <f>INDEX(Rankings!C$2:'Rankings'!C$1149,MATCH(SMALL(Rankings!H$2:'Rankings'!H$1000,ROW()),Rankings!H$2:'Rankings'!H$1000,0))</f>
        <v>Jeff Fiedler</v>
      </c>
      <c r="D391" t="str">
        <f>INDEX(Rankings!C$2:'Rankings'!C$1149,MATCH(SMALL(Rankings!H$2:'Rankings'!H$1000,ROW()),Rankings!H$2:'Rankings'!H$1000,0))</f>
        <v>Jeff Fiedler</v>
      </c>
      <c r="G391" t="str">
        <f>INDEX(Rankings!C$2:'Rankings'!C$1149,MATCH(SMALL(Rankings!H$2:'Rankings'!H$1000,ROW()),Rankings!H$2:'Rankings'!H$1000,0))</f>
        <v>Jeff Fiedler</v>
      </c>
    </row>
    <row r="392" spans="2:7" hidden="1" outlineLevel="1" x14ac:dyDescent="0.25">
      <c r="B392" t="str">
        <f>INDEX(Rankings!C$2:'Rankings'!C$1149,MATCH(SMALL(Rankings!H$2:'Rankings'!H$1000,ROW()),Rankings!H$2:'Rankings'!H$1000,0))</f>
        <v>Jeff Korns</v>
      </c>
      <c r="C392" t="str">
        <f>INDEX(Rankings!C$2:'Rankings'!C$1149,MATCH(SMALL(Rankings!H$2:'Rankings'!H$1000,ROW()),Rankings!H$2:'Rankings'!H$1000,0))</f>
        <v>Jeff Korns</v>
      </c>
      <c r="D392" t="str">
        <f>INDEX(Rankings!C$2:'Rankings'!C$1149,MATCH(SMALL(Rankings!H$2:'Rankings'!H$1000,ROW()),Rankings!H$2:'Rankings'!H$1000,0))</f>
        <v>Jeff Korns</v>
      </c>
      <c r="G392" t="str">
        <f>INDEX(Rankings!C$2:'Rankings'!C$1149,MATCH(SMALL(Rankings!H$2:'Rankings'!H$1000,ROW()),Rankings!H$2:'Rankings'!H$1000,0))</f>
        <v>Jeff Korns</v>
      </c>
    </row>
    <row r="393" spans="2:7" hidden="1" outlineLevel="1" x14ac:dyDescent="0.25">
      <c r="B393" t="str">
        <f>INDEX(Rankings!C$2:'Rankings'!C$1149,MATCH(SMALL(Rankings!H$2:'Rankings'!H$1000,ROW()),Rankings!H$2:'Rankings'!H$1000,0))</f>
        <v>Jeff Kruger</v>
      </c>
      <c r="C393" t="str">
        <f>INDEX(Rankings!C$2:'Rankings'!C$1149,MATCH(SMALL(Rankings!H$2:'Rankings'!H$1000,ROW()),Rankings!H$2:'Rankings'!H$1000,0))</f>
        <v>Jeff Kruger</v>
      </c>
      <c r="D393" t="str">
        <f>INDEX(Rankings!C$2:'Rankings'!C$1149,MATCH(SMALL(Rankings!H$2:'Rankings'!H$1000,ROW()),Rankings!H$2:'Rankings'!H$1000,0))</f>
        <v>Jeff Kruger</v>
      </c>
      <c r="G393" t="str">
        <f>INDEX(Rankings!C$2:'Rankings'!C$1149,MATCH(SMALL(Rankings!H$2:'Rankings'!H$1000,ROW()),Rankings!H$2:'Rankings'!H$1000,0))</f>
        <v>Jeff Kruger</v>
      </c>
    </row>
    <row r="394" spans="2:7" hidden="1" outlineLevel="1" x14ac:dyDescent="0.25">
      <c r="B394" t="str">
        <f>INDEX(Rankings!C$2:'Rankings'!C$1149,MATCH(SMALL(Rankings!H$2:'Rankings'!H$1000,ROW()),Rankings!H$2:'Rankings'!H$1000,0))</f>
        <v>Jeff O'Brien</v>
      </c>
      <c r="C394" t="str">
        <f>INDEX(Rankings!C$2:'Rankings'!C$1149,MATCH(SMALL(Rankings!H$2:'Rankings'!H$1000,ROW()),Rankings!H$2:'Rankings'!H$1000,0))</f>
        <v>Jeff O'Brien</v>
      </c>
      <c r="D394" t="str">
        <f>INDEX(Rankings!C$2:'Rankings'!C$1149,MATCH(SMALL(Rankings!H$2:'Rankings'!H$1000,ROW()),Rankings!H$2:'Rankings'!H$1000,0))</f>
        <v>Jeff O'Brien</v>
      </c>
      <c r="G394" t="str">
        <f>INDEX(Rankings!C$2:'Rankings'!C$1149,MATCH(SMALL(Rankings!H$2:'Rankings'!H$1000,ROW()),Rankings!H$2:'Rankings'!H$1000,0))</f>
        <v>Jeff O'Brien</v>
      </c>
    </row>
    <row r="395" spans="2:7" hidden="1" outlineLevel="1" x14ac:dyDescent="0.25">
      <c r="B395" t="str">
        <f>INDEX(Rankings!C$2:'Rankings'!C$1149,MATCH(SMALL(Rankings!H$2:'Rankings'!H$1000,ROW()),Rankings!H$2:'Rankings'!H$1000,0))</f>
        <v>Jeff Palmieri</v>
      </c>
      <c r="C395" t="str">
        <f>INDEX(Rankings!C$2:'Rankings'!C$1149,MATCH(SMALL(Rankings!H$2:'Rankings'!H$1000,ROW()),Rankings!H$2:'Rankings'!H$1000,0))</f>
        <v>Jeff Palmieri</v>
      </c>
      <c r="D395" t="str">
        <f>INDEX(Rankings!C$2:'Rankings'!C$1149,MATCH(SMALL(Rankings!H$2:'Rankings'!H$1000,ROW()),Rankings!H$2:'Rankings'!H$1000,0))</f>
        <v>Jeff Palmieri</v>
      </c>
      <c r="G395" t="str">
        <f>INDEX(Rankings!C$2:'Rankings'!C$1149,MATCH(SMALL(Rankings!H$2:'Rankings'!H$1000,ROW()),Rankings!H$2:'Rankings'!H$1000,0))</f>
        <v>Jeff Palmieri</v>
      </c>
    </row>
    <row r="396" spans="2:7" hidden="1" outlineLevel="1" x14ac:dyDescent="0.25">
      <c r="B396" t="str">
        <f>INDEX(Rankings!C$2:'Rankings'!C$1149,MATCH(SMALL(Rankings!H$2:'Rankings'!H$1000,ROW()),Rankings!H$2:'Rankings'!H$1000,0))</f>
        <v>Jeff Shelton</v>
      </c>
      <c r="C396" t="str">
        <f>INDEX(Rankings!C$2:'Rankings'!C$1149,MATCH(SMALL(Rankings!H$2:'Rankings'!H$1000,ROW()),Rankings!H$2:'Rankings'!H$1000,0))</f>
        <v>Jeff Shelton</v>
      </c>
      <c r="D396" t="str">
        <f>INDEX(Rankings!C$2:'Rankings'!C$1149,MATCH(SMALL(Rankings!H$2:'Rankings'!H$1000,ROW()),Rankings!H$2:'Rankings'!H$1000,0))</f>
        <v>Jeff Shelton</v>
      </c>
      <c r="G396" t="str">
        <f>INDEX(Rankings!C$2:'Rankings'!C$1149,MATCH(SMALL(Rankings!H$2:'Rankings'!H$1000,ROW()),Rankings!H$2:'Rankings'!H$1000,0))</f>
        <v>Jeff Shelton</v>
      </c>
    </row>
    <row r="397" spans="2:7" hidden="1" outlineLevel="1" x14ac:dyDescent="0.25">
      <c r="B397" t="str">
        <f>INDEX(Rankings!C$2:'Rankings'!C$1149,MATCH(SMALL(Rankings!H$2:'Rankings'!H$1000,ROW()),Rankings!H$2:'Rankings'!H$1000,0))</f>
        <v>Jen Griffin</v>
      </c>
      <c r="C397" t="str">
        <f>INDEX(Rankings!C$2:'Rankings'!C$1149,MATCH(SMALL(Rankings!H$2:'Rankings'!H$1000,ROW()),Rankings!H$2:'Rankings'!H$1000,0))</f>
        <v>Jen Griffin</v>
      </c>
      <c r="D397" t="str">
        <f>INDEX(Rankings!C$2:'Rankings'!C$1149,MATCH(SMALL(Rankings!H$2:'Rankings'!H$1000,ROW()),Rankings!H$2:'Rankings'!H$1000,0))</f>
        <v>Jen Griffin</v>
      </c>
      <c r="G397" t="str">
        <f>INDEX(Rankings!C$2:'Rankings'!C$1149,MATCH(SMALL(Rankings!H$2:'Rankings'!H$1000,ROW()),Rankings!H$2:'Rankings'!H$1000,0))</f>
        <v>Jen Griffin</v>
      </c>
    </row>
    <row r="398" spans="2:7" hidden="1" outlineLevel="1" x14ac:dyDescent="0.25">
      <c r="B398" t="str">
        <f>INDEX(Rankings!C$2:'Rankings'!C$1149,MATCH(SMALL(Rankings!H$2:'Rankings'!H$1000,ROW()),Rankings!H$2:'Rankings'!H$1000,0))</f>
        <v>Jens Friebe</v>
      </c>
      <c r="C398" t="str">
        <f>INDEX(Rankings!C$2:'Rankings'!C$1149,MATCH(SMALL(Rankings!H$2:'Rankings'!H$1000,ROW()),Rankings!H$2:'Rankings'!H$1000,0))</f>
        <v>Jens Friebe</v>
      </c>
      <c r="D398" t="str">
        <f>INDEX(Rankings!C$2:'Rankings'!C$1149,MATCH(SMALL(Rankings!H$2:'Rankings'!H$1000,ROW()),Rankings!H$2:'Rankings'!H$1000,0))</f>
        <v>Jens Friebe</v>
      </c>
      <c r="G398" t="str">
        <f>INDEX(Rankings!C$2:'Rankings'!C$1149,MATCH(SMALL(Rankings!H$2:'Rankings'!H$1000,ROW()),Rankings!H$2:'Rankings'!H$1000,0))</f>
        <v>Jens Friebe</v>
      </c>
    </row>
    <row r="399" spans="2:7" hidden="1" outlineLevel="1" x14ac:dyDescent="0.25">
      <c r="B399" t="str">
        <f>INDEX(Rankings!C$2:'Rankings'!C$1149,MATCH(SMALL(Rankings!H$2:'Rankings'!H$1000,ROW()),Rankings!H$2:'Rankings'!H$1000,0))</f>
        <v>Jens Velasquez</v>
      </c>
      <c r="C399" t="str">
        <f>INDEX(Rankings!C$2:'Rankings'!C$1149,MATCH(SMALL(Rankings!H$2:'Rankings'!H$1000,ROW()),Rankings!H$2:'Rankings'!H$1000,0))</f>
        <v>Jens Velasquez</v>
      </c>
      <c r="D399" t="str">
        <f>INDEX(Rankings!C$2:'Rankings'!C$1149,MATCH(SMALL(Rankings!H$2:'Rankings'!H$1000,ROW()),Rankings!H$2:'Rankings'!H$1000,0))</f>
        <v>Jens Velasquez</v>
      </c>
      <c r="G399" t="str">
        <f>INDEX(Rankings!C$2:'Rankings'!C$1149,MATCH(SMALL(Rankings!H$2:'Rankings'!H$1000,ROW()),Rankings!H$2:'Rankings'!H$1000,0))</f>
        <v>Jens Velasquez</v>
      </c>
    </row>
    <row r="400" spans="2:7" hidden="1" outlineLevel="1" x14ac:dyDescent="0.25">
      <c r="B400" t="str">
        <f>INDEX(Rankings!C$2:'Rankings'!C$1149,MATCH(SMALL(Rankings!H$2:'Rankings'!H$1000,ROW()),Rankings!H$2:'Rankings'!H$1000,0))</f>
        <v>Jeraume Fink</v>
      </c>
      <c r="C400" t="str">
        <f>INDEX(Rankings!C$2:'Rankings'!C$1149,MATCH(SMALL(Rankings!H$2:'Rankings'!H$1000,ROW()),Rankings!H$2:'Rankings'!H$1000,0))</f>
        <v>Jeraume Fink</v>
      </c>
      <c r="D400" t="str">
        <f>INDEX(Rankings!C$2:'Rankings'!C$1149,MATCH(SMALL(Rankings!H$2:'Rankings'!H$1000,ROW()),Rankings!H$2:'Rankings'!H$1000,0))</f>
        <v>Jeraume Fink</v>
      </c>
      <c r="G400" t="str">
        <f>INDEX(Rankings!C$2:'Rankings'!C$1149,MATCH(SMALL(Rankings!H$2:'Rankings'!H$1000,ROW()),Rankings!H$2:'Rankings'!H$1000,0))</f>
        <v>Jeraume Fink</v>
      </c>
    </row>
    <row r="401" spans="2:7" hidden="1" outlineLevel="1" x14ac:dyDescent="0.25">
      <c r="B401" t="str">
        <f>INDEX(Rankings!C$2:'Rankings'!C$1149,MATCH(SMALL(Rankings!H$2:'Rankings'!H$1000,ROW()),Rankings!H$2:'Rankings'!H$1000,0))</f>
        <v>Jesse Hawkins</v>
      </c>
      <c r="C401" t="str">
        <f>INDEX(Rankings!C$2:'Rankings'!C$1149,MATCH(SMALL(Rankings!H$2:'Rankings'!H$1000,ROW()),Rankings!H$2:'Rankings'!H$1000,0))</f>
        <v>Jesse Hawkins</v>
      </c>
      <c r="D401" t="str">
        <f>INDEX(Rankings!C$2:'Rankings'!C$1149,MATCH(SMALL(Rankings!H$2:'Rankings'!H$1000,ROW()),Rankings!H$2:'Rankings'!H$1000,0))</f>
        <v>Jesse Hawkins</v>
      </c>
      <c r="G401" t="str">
        <f>INDEX(Rankings!C$2:'Rankings'!C$1149,MATCH(SMALL(Rankings!H$2:'Rankings'!H$1000,ROW()),Rankings!H$2:'Rankings'!H$1000,0))</f>
        <v>Jesse Hawkins</v>
      </c>
    </row>
    <row r="402" spans="2:7" hidden="1" outlineLevel="1" x14ac:dyDescent="0.25">
      <c r="B402" t="str">
        <f>INDEX(Rankings!C$2:'Rankings'!C$1149,MATCH(SMALL(Rankings!H$2:'Rankings'!H$1000,ROW()),Rankings!H$2:'Rankings'!H$1000,0))</f>
        <v>Jessica Ladoé</v>
      </c>
      <c r="C402" t="str">
        <f>INDEX(Rankings!C$2:'Rankings'!C$1149,MATCH(SMALL(Rankings!H$2:'Rankings'!H$1000,ROW()),Rankings!H$2:'Rankings'!H$1000,0))</f>
        <v>Jessica Ladoé</v>
      </c>
      <c r="D402" t="str">
        <f>INDEX(Rankings!C$2:'Rankings'!C$1149,MATCH(SMALL(Rankings!H$2:'Rankings'!H$1000,ROW()),Rankings!H$2:'Rankings'!H$1000,0))</f>
        <v>Jessica Ladoé</v>
      </c>
      <c r="G402" t="str">
        <f>INDEX(Rankings!C$2:'Rankings'!C$1149,MATCH(SMALL(Rankings!H$2:'Rankings'!H$1000,ROW()),Rankings!H$2:'Rankings'!H$1000,0))</f>
        <v>Jessica Ladoé</v>
      </c>
    </row>
    <row r="403" spans="2:7" hidden="1" outlineLevel="1" x14ac:dyDescent="0.25">
      <c r="B403" t="str">
        <f>INDEX(Rankings!C$2:'Rankings'!C$1149,MATCH(SMALL(Rankings!H$2:'Rankings'!H$1000,ROW()),Rankings!H$2:'Rankings'!H$1000,0))</f>
        <v>Jhonatan Vanegas</v>
      </c>
      <c r="C403" t="str">
        <f>INDEX(Rankings!C$2:'Rankings'!C$1149,MATCH(SMALL(Rankings!H$2:'Rankings'!H$1000,ROW()),Rankings!H$2:'Rankings'!H$1000,0))</f>
        <v>Jhonatan Vanegas</v>
      </c>
      <c r="D403" t="str">
        <f>INDEX(Rankings!C$2:'Rankings'!C$1149,MATCH(SMALL(Rankings!H$2:'Rankings'!H$1000,ROW()),Rankings!H$2:'Rankings'!H$1000,0))</f>
        <v>Jhonatan Vanegas</v>
      </c>
      <c r="G403" t="str">
        <f>INDEX(Rankings!C$2:'Rankings'!C$1149,MATCH(SMALL(Rankings!H$2:'Rankings'!H$1000,ROW()),Rankings!H$2:'Rankings'!H$1000,0))</f>
        <v>Jhonatan Vanegas</v>
      </c>
    </row>
    <row r="404" spans="2:7" hidden="1" outlineLevel="1" x14ac:dyDescent="0.25">
      <c r="B404" t="str">
        <f>INDEX(Rankings!C$2:'Rankings'!C$1149,MATCH(SMALL(Rankings!H$2:'Rankings'!H$1000,ROW()),Rankings!H$2:'Rankings'!H$1000,0))</f>
        <v>Jim Dodelson</v>
      </c>
      <c r="C404" t="str">
        <f>INDEX(Rankings!C$2:'Rankings'!C$1149,MATCH(SMALL(Rankings!H$2:'Rankings'!H$1000,ROW()),Rankings!H$2:'Rankings'!H$1000,0))</f>
        <v>Jim Dodelson</v>
      </c>
      <c r="D404" t="str">
        <f>INDEX(Rankings!C$2:'Rankings'!C$1149,MATCH(SMALL(Rankings!H$2:'Rankings'!H$1000,ROW()),Rankings!H$2:'Rankings'!H$1000,0))</f>
        <v>Jim Dodelson</v>
      </c>
      <c r="G404" t="str">
        <f>INDEX(Rankings!C$2:'Rankings'!C$1149,MATCH(SMALL(Rankings!H$2:'Rankings'!H$1000,ROW()),Rankings!H$2:'Rankings'!H$1000,0))</f>
        <v>Jim Dodelson</v>
      </c>
    </row>
    <row r="405" spans="2:7" hidden="1" outlineLevel="1" x14ac:dyDescent="0.25">
      <c r="B405" t="str">
        <f>INDEX(Rankings!C$2:'Rankings'!C$1149,MATCH(SMALL(Rankings!H$2:'Rankings'!H$1000,ROW()),Rankings!H$2:'Rankings'!H$1000,0))</f>
        <v>Jim Elsner</v>
      </c>
      <c r="C405" t="str">
        <f>INDEX(Rankings!C$2:'Rankings'!C$1149,MATCH(SMALL(Rankings!H$2:'Rankings'!H$1000,ROW()),Rankings!H$2:'Rankings'!H$1000,0))</f>
        <v>Jim Elsner</v>
      </c>
      <c r="D405" t="str">
        <f>INDEX(Rankings!C$2:'Rankings'!C$1149,MATCH(SMALL(Rankings!H$2:'Rankings'!H$1000,ROW()),Rankings!H$2:'Rankings'!H$1000,0))</f>
        <v>Jim Elsner</v>
      </c>
      <c r="G405" t="str">
        <f>INDEX(Rankings!C$2:'Rankings'!C$1149,MATCH(SMALL(Rankings!H$2:'Rankings'!H$1000,ROW()),Rankings!H$2:'Rankings'!H$1000,0))</f>
        <v>Jim Elsner</v>
      </c>
    </row>
    <row r="406" spans="2:7" hidden="1" outlineLevel="1" x14ac:dyDescent="0.25">
      <c r="B406" t="str">
        <f>INDEX(Rankings!C$2:'Rankings'!C$1149,MATCH(SMALL(Rankings!H$2:'Rankings'!H$1000,ROW()),Rankings!H$2:'Rankings'!H$1000,0))</f>
        <v>Jim Herrick</v>
      </c>
      <c r="C406" t="str">
        <f>INDEX(Rankings!C$2:'Rankings'!C$1149,MATCH(SMALL(Rankings!H$2:'Rankings'!H$1000,ROW()),Rankings!H$2:'Rankings'!H$1000,0))</f>
        <v>Jim Herrick</v>
      </c>
      <c r="D406" t="str">
        <f>INDEX(Rankings!C$2:'Rankings'!C$1149,MATCH(SMALL(Rankings!H$2:'Rankings'!H$1000,ROW()),Rankings!H$2:'Rankings'!H$1000,0))</f>
        <v>Jim Herrick</v>
      </c>
      <c r="G406" t="str">
        <f>INDEX(Rankings!C$2:'Rankings'!C$1149,MATCH(SMALL(Rankings!H$2:'Rankings'!H$1000,ROW()),Rankings!H$2:'Rankings'!H$1000,0))</f>
        <v>Jim Herrick</v>
      </c>
    </row>
    <row r="407" spans="2:7" hidden="1" outlineLevel="1" x14ac:dyDescent="0.25">
      <c r="B407" t="str">
        <f>INDEX(Rankings!C$2:'Rankings'!C$1149,MATCH(SMALL(Rankings!H$2:'Rankings'!H$1000,ROW()),Rankings!H$2:'Rankings'!H$1000,0))</f>
        <v>Jim Palmieri</v>
      </c>
      <c r="C407" t="str">
        <f>INDEX(Rankings!C$2:'Rankings'!C$1149,MATCH(SMALL(Rankings!H$2:'Rankings'!H$1000,ROW()),Rankings!H$2:'Rankings'!H$1000,0))</f>
        <v>Jim Palmieri</v>
      </c>
      <c r="D407" t="str">
        <f>INDEX(Rankings!C$2:'Rankings'!C$1149,MATCH(SMALL(Rankings!H$2:'Rankings'!H$1000,ROW()),Rankings!H$2:'Rankings'!H$1000,0))</f>
        <v>Jim Palmieri</v>
      </c>
      <c r="G407" t="str">
        <f>INDEX(Rankings!C$2:'Rankings'!C$1149,MATCH(SMALL(Rankings!H$2:'Rankings'!H$1000,ROW()),Rankings!H$2:'Rankings'!H$1000,0))</f>
        <v>Jim Palmieri</v>
      </c>
    </row>
    <row r="408" spans="2:7" hidden="1" outlineLevel="1" x14ac:dyDescent="0.25">
      <c r="B408" t="str">
        <f>INDEX(Rankings!C$2:'Rankings'!C$1149,MATCH(SMALL(Rankings!H$2:'Rankings'!H$1000,ROW()),Rankings!H$2:'Rankings'!H$1000,0))</f>
        <v>Jim Spencer</v>
      </c>
      <c r="C408" t="str">
        <f>INDEX(Rankings!C$2:'Rankings'!C$1149,MATCH(SMALL(Rankings!H$2:'Rankings'!H$1000,ROW()),Rankings!H$2:'Rankings'!H$1000,0))</f>
        <v>Jim Spencer</v>
      </c>
      <c r="D408" t="str">
        <f>INDEX(Rankings!C$2:'Rankings'!C$1149,MATCH(SMALL(Rankings!H$2:'Rankings'!H$1000,ROW()),Rankings!H$2:'Rankings'!H$1000,0))</f>
        <v>Jim Spencer</v>
      </c>
      <c r="G408" t="str">
        <f>INDEX(Rankings!C$2:'Rankings'!C$1149,MATCH(SMALL(Rankings!H$2:'Rankings'!H$1000,ROW()),Rankings!H$2:'Rankings'!H$1000,0))</f>
        <v>Jim Spencer</v>
      </c>
    </row>
    <row r="409" spans="2:7" hidden="1" outlineLevel="1" x14ac:dyDescent="0.25">
      <c r="B409" t="str">
        <f>INDEX(Rankings!C$2:'Rankings'!C$1149,MATCH(SMALL(Rankings!H$2:'Rankings'!H$1000,ROW()),Rankings!H$2:'Rankings'!H$1000,0))</f>
        <v>Jim Van Lanen</v>
      </c>
      <c r="C409" t="str">
        <f>INDEX(Rankings!C$2:'Rankings'!C$1149,MATCH(SMALL(Rankings!H$2:'Rankings'!H$1000,ROW()),Rankings!H$2:'Rankings'!H$1000,0))</f>
        <v>Jim Van Lanen</v>
      </c>
      <c r="D409" t="str">
        <f>INDEX(Rankings!C$2:'Rankings'!C$1149,MATCH(SMALL(Rankings!H$2:'Rankings'!H$1000,ROW()),Rankings!H$2:'Rankings'!H$1000,0))</f>
        <v>Jim Van Lanen</v>
      </c>
      <c r="G409" t="str">
        <f>INDEX(Rankings!C$2:'Rankings'!C$1149,MATCH(SMALL(Rankings!H$2:'Rankings'!H$1000,ROW()),Rankings!H$2:'Rankings'!H$1000,0))</f>
        <v>Jim Van Lanen</v>
      </c>
    </row>
    <row r="410" spans="2:7" hidden="1" outlineLevel="1" x14ac:dyDescent="0.25">
      <c r="B410" t="str">
        <f>INDEX(Rankings!C$2:'Rankings'!C$1149,MATCH(SMALL(Rankings!H$2:'Rankings'!H$1000,ROW()),Rankings!H$2:'Rankings'!H$1000,0))</f>
        <v>Jiri Weiss</v>
      </c>
      <c r="C410" t="str">
        <f>INDEX(Rankings!C$2:'Rankings'!C$1149,MATCH(SMALL(Rankings!H$2:'Rankings'!H$1000,ROW()),Rankings!H$2:'Rankings'!H$1000,0))</f>
        <v>Jiri Weiss</v>
      </c>
      <c r="D410" t="str">
        <f>INDEX(Rankings!C$2:'Rankings'!C$1149,MATCH(SMALL(Rankings!H$2:'Rankings'!H$1000,ROW()),Rankings!H$2:'Rankings'!H$1000,0))</f>
        <v>Jiri Weiss</v>
      </c>
      <c r="G410" t="str">
        <f>INDEX(Rankings!C$2:'Rankings'!C$1149,MATCH(SMALL(Rankings!H$2:'Rankings'!H$1000,ROW()),Rankings!H$2:'Rankings'!H$1000,0))</f>
        <v>Jiri Weiss</v>
      </c>
    </row>
    <row r="411" spans="2:7" hidden="1" outlineLevel="1" x14ac:dyDescent="0.25">
      <c r="B411" t="str">
        <f>INDEX(Rankings!C$2:'Rankings'!C$1149,MATCH(SMALL(Rankings!H$2:'Rankings'!H$1000,ROW()),Rankings!H$2:'Rankings'!H$1000,0))</f>
        <v>Joakim Arveskär</v>
      </c>
      <c r="C411" t="str">
        <f>INDEX(Rankings!C$2:'Rankings'!C$1149,MATCH(SMALL(Rankings!H$2:'Rankings'!H$1000,ROW()),Rankings!H$2:'Rankings'!H$1000,0))</f>
        <v>Joakim Arveskär</v>
      </c>
      <c r="D411" t="str">
        <f>INDEX(Rankings!C$2:'Rankings'!C$1149,MATCH(SMALL(Rankings!H$2:'Rankings'!H$1000,ROW()),Rankings!H$2:'Rankings'!H$1000,0))</f>
        <v>Joakim Arveskär</v>
      </c>
      <c r="G411" t="str">
        <f>INDEX(Rankings!C$2:'Rankings'!C$1149,MATCH(SMALL(Rankings!H$2:'Rankings'!H$1000,ROW()),Rankings!H$2:'Rankings'!H$1000,0))</f>
        <v>Joakim Arveskär</v>
      </c>
    </row>
    <row r="412" spans="2:7" hidden="1" outlineLevel="1" x14ac:dyDescent="0.25">
      <c r="B412" t="str">
        <f>INDEX(Rankings!C$2:'Rankings'!C$1149,MATCH(SMALL(Rankings!H$2:'Rankings'!H$1000,ROW()),Rankings!H$2:'Rankings'!H$1000,0))</f>
        <v>Joao Veiga</v>
      </c>
      <c r="C412" t="str">
        <f>INDEX(Rankings!C$2:'Rankings'!C$1149,MATCH(SMALL(Rankings!H$2:'Rankings'!H$1000,ROW()),Rankings!H$2:'Rankings'!H$1000,0))</f>
        <v>Joao Veiga</v>
      </c>
      <c r="D412" t="str">
        <f>INDEX(Rankings!C$2:'Rankings'!C$1149,MATCH(SMALL(Rankings!H$2:'Rankings'!H$1000,ROW()),Rankings!H$2:'Rankings'!H$1000,0))</f>
        <v>Joao Veiga</v>
      </c>
      <c r="G412" t="str">
        <f>INDEX(Rankings!C$2:'Rankings'!C$1149,MATCH(SMALL(Rankings!H$2:'Rankings'!H$1000,ROW()),Rankings!H$2:'Rankings'!H$1000,0))</f>
        <v>Joao Veiga</v>
      </c>
    </row>
    <row r="413" spans="2:7" hidden="1" outlineLevel="1" x14ac:dyDescent="0.25">
      <c r="B413" t="str">
        <f>INDEX(Rankings!C$2:'Rankings'!C$1149,MATCH(SMALL(Rankings!H$2:'Rankings'!H$1000,ROW()),Rankings!H$2:'Rankings'!H$1000,0))</f>
        <v>Jochen Schleicher</v>
      </c>
      <c r="C413" t="str">
        <f>INDEX(Rankings!C$2:'Rankings'!C$1149,MATCH(SMALL(Rankings!H$2:'Rankings'!H$1000,ROW()),Rankings!H$2:'Rankings'!H$1000,0))</f>
        <v>Jochen Schleicher</v>
      </c>
      <c r="D413" t="str">
        <f>INDEX(Rankings!C$2:'Rankings'!C$1149,MATCH(SMALL(Rankings!H$2:'Rankings'!H$1000,ROW()),Rankings!H$2:'Rankings'!H$1000,0))</f>
        <v>Jochen Schleicher</v>
      </c>
      <c r="G413" t="str">
        <f>INDEX(Rankings!C$2:'Rankings'!C$1149,MATCH(SMALL(Rankings!H$2:'Rankings'!H$1000,ROW()),Rankings!H$2:'Rankings'!H$1000,0))</f>
        <v>Jochen Schleicher</v>
      </c>
    </row>
    <row r="414" spans="2:7" hidden="1" outlineLevel="1" x14ac:dyDescent="0.25">
      <c r="B414" t="str">
        <f>INDEX(Rankings!C$2:'Rankings'!C$1149,MATCH(SMALL(Rankings!H$2:'Rankings'!H$1000,ROW()),Rankings!H$2:'Rankings'!H$1000,0))</f>
        <v>Joe Fiedt</v>
      </c>
      <c r="C414" t="str">
        <f>INDEX(Rankings!C$2:'Rankings'!C$1149,MATCH(SMALL(Rankings!H$2:'Rankings'!H$1000,ROW()),Rankings!H$2:'Rankings'!H$1000,0))</f>
        <v>Joe Fiedt</v>
      </c>
      <c r="D414" t="str">
        <f>INDEX(Rankings!C$2:'Rankings'!C$1149,MATCH(SMALL(Rankings!H$2:'Rankings'!H$1000,ROW()),Rankings!H$2:'Rankings'!H$1000,0))</f>
        <v>Joe Fiedt</v>
      </c>
      <c r="G414" t="str">
        <f>INDEX(Rankings!C$2:'Rankings'!C$1149,MATCH(SMALL(Rankings!H$2:'Rankings'!H$1000,ROW()),Rankings!H$2:'Rankings'!H$1000,0))</f>
        <v>Joe Fiedt</v>
      </c>
    </row>
    <row r="415" spans="2:7" hidden="1" outlineLevel="1" x14ac:dyDescent="0.25">
      <c r="B415" t="str">
        <f>INDEX(Rankings!C$2:'Rankings'!C$1149,MATCH(SMALL(Rankings!H$2:'Rankings'!H$1000,ROW()),Rankings!H$2:'Rankings'!H$1000,0))</f>
        <v>Joe McCrave</v>
      </c>
      <c r="C415" t="str">
        <f>INDEX(Rankings!C$2:'Rankings'!C$1149,MATCH(SMALL(Rankings!H$2:'Rankings'!H$1000,ROW()),Rankings!H$2:'Rankings'!H$1000,0))</f>
        <v>Joe McCrave</v>
      </c>
      <c r="D415" t="str">
        <f>INDEX(Rankings!C$2:'Rankings'!C$1149,MATCH(SMALL(Rankings!H$2:'Rankings'!H$1000,ROW()),Rankings!H$2:'Rankings'!H$1000,0))</f>
        <v>Joe McCrave</v>
      </c>
      <c r="G415" t="str">
        <f>INDEX(Rankings!C$2:'Rankings'!C$1149,MATCH(SMALL(Rankings!H$2:'Rankings'!H$1000,ROW()),Rankings!H$2:'Rankings'!H$1000,0))</f>
        <v>Joe McCrave</v>
      </c>
    </row>
    <row r="416" spans="2:7" hidden="1" outlineLevel="1" x14ac:dyDescent="0.25">
      <c r="B416" t="str">
        <f>INDEX(Rankings!C$2:'Rankings'!C$1149,MATCH(SMALL(Rankings!H$2:'Rankings'!H$1000,ROW()),Rankings!H$2:'Rankings'!H$1000,0))</f>
        <v>Joe Teronde</v>
      </c>
      <c r="C416" t="str">
        <f>INDEX(Rankings!C$2:'Rankings'!C$1149,MATCH(SMALL(Rankings!H$2:'Rankings'!H$1000,ROW()),Rankings!H$2:'Rankings'!H$1000,0))</f>
        <v>Joe Teronde</v>
      </c>
      <c r="D416" t="str">
        <f>INDEX(Rankings!C$2:'Rankings'!C$1149,MATCH(SMALL(Rankings!H$2:'Rankings'!H$1000,ROW()),Rankings!H$2:'Rankings'!H$1000,0))</f>
        <v>Joe Teronde</v>
      </c>
      <c r="G416" t="str">
        <f>INDEX(Rankings!C$2:'Rankings'!C$1149,MATCH(SMALL(Rankings!H$2:'Rankings'!H$1000,ROW()),Rankings!H$2:'Rankings'!H$1000,0))</f>
        <v>Joe Teronde</v>
      </c>
    </row>
    <row r="417" spans="2:7" hidden="1" outlineLevel="1" x14ac:dyDescent="0.25">
      <c r="B417" t="str">
        <f>INDEX(Rankings!C$2:'Rankings'!C$1149,MATCH(SMALL(Rankings!H$2:'Rankings'!H$1000,ROW()),Rankings!H$2:'Rankings'!H$1000,0))</f>
        <v>Joel Charles</v>
      </c>
      <c r="C417" t="str">
        <f>INDEX(Rankings!C$2:'Rankings'!C$1149,MATCH(SMALL(Rankings!H$2:'Rankings'!H$1000,ROW()),Rankings!H$2:'Rankings'!H$1000,0))</f>
        <v>Joel Charles</v>
      </c>
      <c r="D417" t="str">
        <f>INDEX(Rankings!C$2:'Rankings'!C$1149,MATCH(SMALL(Rankings!H$2:'Rankings'!H$1000,ROW()),Rankings!H$2:'Rankings'!H$1000,0))</f>
        <v>Joel Charles</v>
      </c>
      <c r="G417" t="str">
        <f>INDEX(Rankings!C$2:'Rankings'!C$1149,MATCH(SMALL(Rankings!H$2:'Rankings'!H$1000,ROW()),Rankings!H$2:'Rankings'!H$1000,0))</f>
        <v>Joel Charles</v>
      </c>
    </row>
    <row r="418" spans="2:7" hidden="1" outlineLevel="1" x14ac:dyDescent="0.25">
      <c r="B418" t="str">
        <f>INDEX(Rankings!C$2:'Rankings'!C$1149,MATCH(SMALL(Rankings!H$2:'Rankings'!H$1000,ROW()),Rankings!H$2:'Rankings'!H$1000,0))</f>
        <v>Joel Rogers</v>
      </c>
      <c r="C418" t="str">
        <f>INDEX(Rankings!C$2:'Rankings'!C$1149,MATCH(SMALL(Rankings!H$2:'Rankings'!H$1000,ROW()),Rankings!H$2:'Rankings'!H$1000,0))</f>
        <v>Joel Rogers</v>
      </c>
      <c r="D418" t="str">
        <f>INDEX(Rankings!C$2:'Rankings'!C$1149,MATCH(SMALL(Rankings!H$2:'Rankings'!H$1000,ROW()),Rankings!H$2:'Rankings'!H$1000,0))</f>
        <v>Joel Rogers</v>
      </c>
      <c r="G418" t="str">
        <f>INDEX(Rankings!C$2:'Rankings'!C$1149,MATCH(SMALL(Rankings!H$2:'Rankings'!H$1000,ROW()),Rankings!H$2:'Rankings'!H$1000,0))</f>
        <v>Joel Rogers</v>
      </c>
    </row>
    <row r="419" spans="2:7" hidden="1" outlineLevel="1" x14ac:dyDescent="0.25">
      <c r="B419" t="str">
        <f>INDEX(Rankings!C$2:'Rankings'!C$1149,MATCH(SMALL(Rankings!H$2:'Rankings'!H$1000,ROW()),Rankings!H$2:'Rankings'!H$1000,0))</f>
        <v>Joey Hudoklin</v>
      </c>
      <c r="C419" t="str">
        <f>INDEX(Rankings!C$2:'Rankings'!C$1149,MATCH(SMALL(Rankings!H$2:'Rankings'!H$1000,ROW()),Rankings!H$2:'Rankings'!H$1000,0))</f>
        <v>Joey Hudoklin</v>
      </c>
      <c r="D419" t="str">
        <f>INDEX(Rankings!C$2:'Rankings'!C$1149,MATCH(SMALL(Rankings!H$2:'Rankings'!H$1000,ROW()),Rankings!H$2:'Rankings'!H$1000,0))</f>
        <v>Joey Hudoklin</v>
      </c>
      <c r="G419" t="str">
        <f>INDEX(Rankings!C$2:'Rankings'!C$1149,MATCH(SMALL(Rankings!H$2:'Rankings'!H$1000,ROW()),Rankings!H$2:'Rankings'!H$1000,0))</f>
        <v>Joey Hudoklin</v>
      </c>
    </row>
    <row r="420" spans="2:7" hidden="1" outlineLevel="1" x14ac:dyDescent="0.25">
      <c r="B420" t="str">
        <f>INDEX(Rankings!C$2:'Rankings'!C$1149,MATCH(SMALL(Rankings!H$2:'Rankings'!H$1000,ROW()),Rankings!H$2:'Rankings'!H$1000,0))</f>
        <v>Johan Sandell</v>
      </c>
      <c r="C420" t="str">
        <f>INDEX(Rankings!C$2:'Rankings'!C$1149,MATCH(SMALL(Rankings!H$2:'Rankings'!H$1000,ROW()),Rankings!H$2:'Rankings'!H$1000,0))</f>
        <v>Johan Sandell</v>
      </c>
      <c r="D420" t="str">
        <f>INDEX(Rankings!C$2:'Rankings'!C$1149,MATCH(SMALL(Rankings!H$2:'Rankings'!H$1000,ROW()),Rankings!H$2:'Rankings'!H$1000,0))</f>
        <v>Johan Sandell</v>
      </c>
      <c r="G420" t="str">
        <f>INDEX(Rankings!C$2:'Rankings'!C$1149,MATCH(SMALL(Rankings!H$2:'Rankings'!H$1000,ROW()),Rankings!H$2:'Rankings'!H$1000,0))</f>
        <v>Johan Sandell</v>
      </c>
    </row>
    <row r="421" spans="2:7" hidden="1" outlineLevel="1" x14ac:dyDescent="0.25">
      <c r="B421" t="str">
        <f>INDEX(Rankings!C$2:'Rankings'!C$1149,MATCH(SMALL(Rankings!H$2:'Rankings'!H$1000,ROW()),Rankings!H$2:'Rankings'!H$1000,0))</f>
        <v>Johan Stensmar</v>
      </c>
      <c r="C421" t="str">
        <f>INDEX(Rankings!C$2:'Rankings'!C$1149,MATCH(SMALL(Rankings!H$2:'Rankings'!H$1000,ROW()),Rankings!H$2:'Rankings'!H$1000,0))</f>
        <v>Johan Stensmar</v>
      </c>
      <c r="D421" t="str">
        <f>INDEX(Rankings!C$2:'Rankings'!C$1149,MATCH(SMALL(Rankings!H$2:'Rankings'!H$1000,ROW()),Rankings!H$2:'Rankings'!H$1000,0))</f>
        <v>Johan Stensmar</v>
      </c>
      <c r="G421" t="str">
        <f>INDEX(Rankings!C$2:'Rankings'!C$1149,MATCH(SMALL(Rankings!H$2:'Rankings'!H$1000,ROW()),Rankings!H$2:'Rankings'!H$1000,0))</f>
        <v>Johan Stensmar</v>
      </c>
    </row>
    <row r="422" spans="2:7" hidden="1" outlineLevel="1" x14ac:dyDescent="0.25">
      <c r="B422" t="str">
        <f>INDEX(Rankings!C$2:'Rankings'!C$1149,MATCH(SMALL(Rankings!H$2:'Rankings'!H$1000,ROW()),Rankings!H$2:'Rankings'!H$1000,0))</f>
        <v>Johanna Matthiä</v>
      </c>
      <c r="C422" t="str">
        <f>INDEX(Rankings!C$2:'Rankings'!C$1149,MATCH(SMALL(Rankings!H$2:'Rankings'!H$1000,ROW()),Rankings!H$2:'Rankings'!H$1000,0))</f>
        <v>Johanna Matthiä</v>
      </c>
      <c r="D422" t="str">
        <f>INDEX(Rankings!C$2:'Rankings'!C$1149,MATCH(SMALL(Rankings!H$2:'Rankings'!H$1000,ROW()),Rankings!H$2:'Rankings'!H$1000,0))</f>
        <v>Johanna Matthiä</v>
      </c>
      <c r="G422" t="str">
        <f>INDEX(Rankings!C$2:'Rankings'!C$1149,MATCH(SMALL(Rankings!H$2:'Rankings'!H$1000,ROW()),Rankings!H$2:'Rankings'!H$1000,0))</f>
        <v>Johanna Matthiä</v>
      </c>
    </row>
    <row r="423" spans="2:7" hidden="1" outlineLevel="1" x14ac:dyDescent="0.25">
      <c r="B423" t="str">
        <f>INDEX(Rankings!C$2:'Rankings'!C$1149,MATCH(SMALL(Rankings!H$2:'Rankings'!H$1000,ROW()),Rankings!H$2:'Rankings'!H$1000,0))</f>
        <v>Johannes Bachauer</v>
      </c>
      <c r="C423" t="str">
        <f>INDEX(Rankings!C$2:'Rankings'!C$1149,MATCH(SMALL(Rankings!H$2:'Rankings'!H$1000,ROW()),Rankings!H$2:'Rankings'!H$1000,0))</f>
        <v>Johannes Bachauer</v>
      </c>
      <c r="D423" t="str">
        <f>INDEX(Rankings!C$2:'Rankings'!C$1149,MATCH(SMALL(Rankings!H$2:'Rankings'!H$1000,ROW()),Rankings!H$2:'Rankings'!H$1000,0))</f>
        <v>Johannes Bachauer</v>
      </c>
      <c r="G423" t="str">
        <f>INDEX(Rankings!C$2:'Rankings'!C$1149,MATCH(SMALL(Rankings!H$2:'Rankings'!H$1000,ROW()),Rankings!H$2:'Rankings'!H$1000,0))</f>
        <v>Johannes Bachauer</v>
      </c>
    </row>
    <row r="424" spans="2:7" hidden="1" outlineLevel="1" x14ac:dyDescent="0.25">
      <c r="B424" t="str">
        <f>INDEX(Rankings!C$2:'Rankings'!C$1149,MATCH(SMALL(Rankings!H$2:'Rankings'!H$1000,ROW()),Rankings!H$2:'Rankings'!H$1000,0))</f>
        <v>John Barsky</v>
      </c>
      <c r="C424" t="str">
        <f>INDEX(Rankings!C$2:'Rankings'!C$1149,MATCH(SMALL(Rankings!H$2:'Rankings'!H$1000,ROW()),Rankings!H$2:'Rankings'!H$1000,0))</f>
        <v>John Barsky</v>
      </c>
      <c r="D424" t="str">
        <f>INDEX(Rankings!C$2:'Rankings'!C$1149,MATCH(SMALL(Rankings!H$2:'Rankings'!H$1000,ROW()),Rankings!H$2:'Rankings'!H$1000,0))</f>
        <v>John Barsky</v>
      </c>
      <c r="G424" t="str">
        <f>INDEX(Rankings!C$2:'Rankings'!C$1149,MATCH(SMALL(Rankings!H$2:'Rankings'!H$1000,ROW()),Rankings!H$2:'Rankings'!H$1000,0))</f>
        <v>John Barsky</v>
      </c>
    </row>
    <row r="425" spans="2:7" hidden="1" outlineLevel="1" x14ac:dyDescent="0.25">
      <c r="B425" t="str">
        <f>INDEX(Rankings!C$2:'Rankings'!C$1149,MATCH(SMALL(Rankings!H$2:'Rankings'!H$1000,ROW()),Rankings!H$2:'Rankings'!H$1000,0))</f>
        <v>John Coxhead</v>
      </c>
      <c r="C425" t="str">
        <f>INDEX(Rankings!C$2:'Rankings'!C$1149,MATCH(SMALL(Rankings!H$2:'Rankings'!H$1000,ROW()),Rankings!H$2:'Rankings'!H$1000,0))</f>
        <v>John Coxhead</v>
      </c>
      <c r="D425" t="str">
        <f>INDEX(Rankings!C$2:'Rankings'!C$1149,MATCH(SMALL(Rankings!H$2:'Rankings'!H$1000,ROW()),Rankings!H$2:'Rankings'!H$1000,0))</f>
        <v>John Coxhead</v>
      </c>
      <c r="G425" t="str">
        <f>INDEX(Rankings!C$2:'Rankings'!C$1149,MATCH(SMALL(Rankings!H$2:'Rankings'!H$1000,ROW()),Rankings!H$2:'Rankings'!H$1000,0))</f>
        <v>John Coxhead</v>
      </c>
    </row>
    <row r="426" spans="2:7" hidden="1" outlineLevel="1" x14ac:dyDescent="0.25">
      <c r="B426" t="str">
        <f>INDEX(Rankings!C$2:'Rankings'!C$1149,MATCH(SMALL(Rankings!H$2:'Rankings'!H$1000,ROW()),Rankings!H$2:'Rankings'!H$1000,0))</f>
        <v>John Dunaway</v>
      </c>
      <c r="C426" t="str">
        <f>INDEX(Rankings!C$2:'Rankings'!C$1149,MATCH(SMALL(Rankings!H$2:'Rankings'!H$1000,ROW()),Rankings!H$2:'Rankings'!H$1000,0))</f>
        <v>John Dunaway</v>
      </c>
      <c r="D426" t="str">
        <f>INDEX(Rankings!C$2:'Rankings'!C$1149,MATCH(SMALL(Rankings!H$2:'Rankings'!H$1000,ROW()),Rankings!H$2:'Rankings'!H$1000,0))</f>
        <v>John Dunaway</v>
      </c>
      <c r="G426" t="str">
        <f>INDEX(Rankings!C$2:'Rankings'!C$1149,MATCH(SMALL(Rankings!H$2:'Rankings'!H$1000,ROW()),Rankings!H$2:'Rankings'!H$1000,0))</f>
        <v>John Dunaway</v>
      </c>
    </row>
    <row r="427" spans="2:7" hidden="1" outlineLevel="1" x14ac:dyDescent="0.25">
      <c r="B427" t="str">
        <f>INDEX(Rankings!C$2:'Rankings'!C$1149,MATCH(SMALL(Rankings!H$2:'Rankings'!H$1000,ROW()),Rankings!H$2:'Rankings'!H$1000,0))</f>
        <v>John Elsner</v>
      </c>
      <c r="C427" t="str">
        <f>INDEX(Rankings!C$2:'Rankings'!C$1149,MATCH(SMALL(Rankings!H$2:'Rankings'!H$1000,ROW()),Rankings!H$2:'Rankings'!H$1000,0))</f>
        <v>John Elsner</v>
      </c>
      <c r="D427" t="str">
        <f>INDEX(Rankings!C$2:'Rankings'!C$1149,MATCH(SMALL(Rankings!H$2:'Rankings'!H$1000,ROW()),Rankings!H$2:'Rankings'!H$1000,0))</f>
        <v>John Elsner</v>
      </c>
      <c r="G427" t="str">
        <f>INDEX(Rankings!C$2:'Rankings'!C$1149,MATCH(SMALL(Rankings!H$2:'Rankings'!H$1000,ROW()),Rankings!H$2:'Rankings'!H$1000,0))</f>
        <v>John Elsner</v>
      </c>
    </row>
    <row r="428" spans="2:7" hidden="1" outlineLevel="1" x14ac:dyDescent="0.25">
      <c r="B428" t="str">
        <f>INDEX(Rankings!C$2:'Rankings'!C$1149,MATCH(SMALL(Rankings!H$2:'Rankings'!H$1000,ROW()),Rankings!H$2:'Rankings'!H$1000,0))</f>
        <v>John Kirkland</v>
      </c>
      <c r="C428" t="str">
        <f>INDEX(Rankings!C$2:'Rankings'!C$1149,MATCH(SMALL(Rankings!H$2:'Rankings'!H$1000,ROW()),Rankings!H$2:'Rankings'!H$1000,0))</f>
        <v>John Kirkland</v>
      </c>
      <c r="D428" t="str">
        <f>INDEX(Rankings!C$2:'Rankings'!C$1149,MATCH(SMALL(Rankings!H$2:'Rankings'!H$1000,ROW()),Rankings!H$2:'Rankings'!H$1000,0))</f>
        <v>John Kirkland</v>
      </c>
      <c r="G428" t="str">
        <f>INDEX(Rankings!C$2:'Rankings'!C$1149,MATCH(SMALL(Rankings!H$2:'Rankings'!H$1000,ROW()),Rankings!H$2:'Rankings'!H$1000,0))</f>
        <v>John Kirkland</v>
      </c>
    </row>
    <row r="429" spans="2:7" hidden="1" outlineLevel="1" x14ac:dyDescent="0.25">
      <c r="B429" t="str">
        <f>INDEX(Rankings!C$2:'Rankings'!C$1149,MATCH(SMALL(Rankings!H$2:'Rankings'!H$1000,ROW()),Rankings!H$2:'Rankings'!H$1000,0))</f>
        <v>John Langan</v>
      </c>
      <c r="C429" t="str">
        <f>INDEX(Rankings!C$2:'Rankings'!C$1149,MATCH(SMALL(Rankings!H$2:'Rankings'!H$1000,ROW()),Rankings!H$2:'Rankings'!H$1000,0))</f>
        <v>John Langan</v>
      </c>
      <c r="D429" t="str">
        <f>INDEX(Rankings!C$2:'Rankings'!C$1149,MATCH(SMALL(Rankings!H$2:'Rankings'!H$1000,ROW()),Rankings!H$2:'Rankings'!H$1000,0))</f>
        <v>John Langan</v>
      </c>
      <c r="G429" t="str">
        <f>INDEX(Rankings!C$2:'Rankings'!C$1149,MATCH(SMALL(Rankings!H$2:'Rankings'!H$1000,ROW()),Rankings!H$2:'Rankings'!H$1000,0))</f>
        <v>John Langan</v>
      </c>
    </row>
    <row r="430" spans="2:7" hidden="1" outlineLevel="1" x14ac:dyDescent="0.25">
      <c r="B430" t="str">
        <f>INDEX(Rankings!C$2:'Rankings'!C$1149,MATCH(SMALL(Rankings!H$2:'Rankings'!H$1000,ROW()),Rankings!H$2:'Rankings'!H$1000,0))</f>
        <v>John O'Malley</v>
      </c>
      <c r="C430" t="str">
        <f>INDEX(Rankings!C$2:'Rankings'!C$1149,MATCH(SMALL(Rankings!H$2:'Rankings'!H$1000,ROW()),Rankings!H$2:'Rankings'!H$1000,0))</f>
        <v>John O'Malley</v>
      </c>
      <c r="D430" t="str">
        <f>INDEX(Rankings!C$2:'Rankings'!C$1149,MATCH(SMALL(Rankings!H$2:'Rankings'!H$1000,ROW()),Rankings!H$2:'Rankings'!H$1000,0))</f>
        <v>John O'Malley</v>
      </c>
      <c r="G430" t="str">
        <f>INDEX(Rankings!C$2:'Rankings'!C$1149,MATCH(SMALL(Rankings!H$2:'Rankings'!H$1000,ROW()),Rankings!H$2:'Rankings'!H$1000,0))</f>
        <v>John O'Malley</v>
      </c>
    </row>
    <row r="431" spans="2:7" hidden="1" outlineLevel="1" x14ac:dyDescent="0.25">
      <c r="B431" t="str">
        <f>INDEX(Rankings!C$2:'Rankings'!C$1149,MATCH(SMALL(Rankings!H$2:'Rankings'!H$1000,ROW()),Rankings!H$2:'Rankings'!H$1000,0))</f>
        <v>John Schiller</v>
      </c>
      <c r="C431" t="str">
        <f>INDEX(Rankings!C$2:'Rankings'!C$1149,MATCH(SMALL(Rankings!H$2:'Rankings'!H$1000,ROW()),Rankings!H$2:'Rankings'!H$1000,0))</f>
        <v>John Schiller</v>
      </c>
      <c r="D431" t="str">
        <f>INDEX(Rankings!C$2:'Rankings'!C$1149,MATCH(SMALL(Rankings!H$2:'Rankings'!H$1000,ROW()),Rankings!H$2:'Rankings'!H$1000,0))</f>
        <v>John Schiller</v>
      </c>
      <c r="G431" t="str">
        <f>INDEX(Rankings!C$2:'Rankings'!C$1149,MATCH(SMALL(Rankings!H$2:'Rankings'!H$1000,ROW()),Rankings!H$2:'Rankings'!H$1000,0))</f>
        <v>John Schiller</v>
      </c>
    </row>
    <row r="432" spans="2:7" hidden="1" outlineLevel="1" x14ac:dyDescent="0.25">
      <c r="B432" t="str">
        <f>INDEX(Rankings!C$2:'Rankings'!C$1149,MATCH(SMALL(Rankings!H$2:'Rankings'!H$1000,ROW()),Rankings!H$2:'Rankings'!H$1000,0))</f>
        <v>John Titcomb</v>
      </c>
      <c r="C432" t="str">
        <f>INDEX(Rankings!C$2:'Rankings'!C$1149,MATCH(SMALL(Rankings!H$2:'Rankings'!H$1000,ROW()),Rankings!H$2:'Rankings'!H$1000,0))</f>
        <v>John Titcomb</v>
      </c>
      <c r="D432" t="str">
        <f>INDEX(Rankings!C$2:'Rankings'!C$1149,MATCH(SMALL(Rankings!H$2:'Rankings'!H$1000,ROW()),Rankings!H$2:'Rankings'!H$1000,0))</f>
        <v>John Titcomb</v>
      </c>
      <c r="G432" t="str">
        <f>INDEX(Rankings!C$2:'Rankings'!C$1149,MATCH(SMALL(Rankings!H$2:'Rankings'!H$1000,ROW()),Rankings!H$2:'Rankings'!H$1000,0))</f>
        <v>John Titcomb</v>
      </c>
    </row>
    <row r="433" spans="2:7" hidden="1" outlineLevel="1" x14ac:dyDescent="0.25">
      <c r="B433" t="str">
        <f>INDEX(Rankings!C$2:'Rankings'!C$1149,MATCH(SMALL(Rankings!H$2:'Rankings'!H$1000,ROW()),Rankings!H$2:'Rankings'!H$1000,0))</f>
        <v>John Weyand</v>
      </c>
      <c r="C433" t="str">
        <f>INDEX(Rankings!C$2:'Rankings'!C$1149,MATCH(SMALL(Rankings!H$2:'Rankings'!H$1000,ROW()),Rankings!H$2:'Rankings'!H$1000,0))</f>
        <v>John Weyand</v>
      </c>
      <c r="D433" t="str">
        <f>INDEX(Rankings!C$2:'Rankings'!C$1149,MATCH(SMALL(Rankings!H$2:'Rankings'!H$1000,ROW()),Rankings!H$2:'Rankings'!H$1000,0))</f>
        <v>John Weyand</v>
      </c>
      <c r="G433" t="str">
        <f>INDEX(Rankings!C$2:'Rankings'!C$1149,MATCH(SMALL(Rankings!H$2:'Rankings'!H$1000,ROW()),Rankings!H$2:'Rankings'!H$1000,0))</f>
        <v>John Weyand</v>
      </c>
    </row>
    <row r="434" spans="2:7" hidden="1" outlineLevel="1" x14ac:dyDescent="0.25">
      <c r="B434" t="str">
        <f>INDEX(Rankings!C$2:'Rankings'!C$1149,MATCH(SMALL(Rankings!H$2:'Rankings'!H$1000,ROW()),Rankings!H$2:'Rankings'!H$1000,0))</f>
        <v>Johnny Trevino</v>
      </c>
      <c r="C434" t="str">
        <f>INDEX(Rankings!C$2:'Rankings'!C$1149,MATCH(SMALL(Rankings!H$2:'Rankings'!H$1000,ROW()),Rankings!H$2:'Rankings'!H$1000,0))</f>
        <v>Johnny Trevino</v>
      </c>
      <c r="D434" t="str">
        <f>INDEX(Rankings!C$2:'Rankings'!C$1149,MATCH(SMALL(Rankings!H$2:'Rankings'!H$1000,ROW()),Rankings!H$2:'Rankings'!H$1000,0))</f>
        <v>Johnny Trevino</v>
      </c>
      <c r="G434" t="str">
        <f>INDEX(Rankings!C$2:'Rankings'!C$1149,MATCH(SMALL(Rankings!H$2:'Rankings'!H$1000,ROW()),Rankings!H$2:'Rankings'!H$1000,0))</f>
        <v>Johnny Trevino</v>
      </c>
    </row>
    <row r="435" spans="2:7" hidden="1" outlineLevel="1" x14ac:dyDescent="0.25">
      <c r="B435" t="str">
        <f>INDEX(Rankings!C$2:'Rankings'!C$1149,MATCH(SMALL(Rankings!H$2:'Rankings'!H$1000,ROW()),Rankings!H$2:'Rankings'!H$1000,0))</f>
        <v>Jon Freedman</v>
      </c>
      <c r="C435" t="str">
        <f>INDEX(Rankings!C$2:'Rankings'!C$1149,MATCH(SMALL(Rankings!H$2:'Rankings'!H$1000,ROW()),Rankings!H$2:'Rankings'!H$1000,0))</f>
        <v>Jon Freedman</v>
      </c>
      <c r="D435" t="str">
        <f>INDEX(Rankings!C$2:'Rankings'!C$1149,MATCH(SMALL(Rankings!H$2:'Rankings'!H$1000,ROW()),Rankings!H$2:'Rankings'!H$1000,0))</f>
        <v>Jon Freedman</v>
      </c>
      <c r="G435" t="str">
        <f>INDEX(Rankings!C$2:'Rankings'!C$1149,MATCH(SMALL(Rankings!H$2:'Rankings'!H$1000,ROW()),Rankings!H$2:'Rankings'!H$1000,0))</f>
        <v>Jon Freedman</v>
      </c>
    </row>
    <row r="436" spans="2:7" hidden="1" outlineLevel="1" x14ac:dyDescent="0.25">
      <c r="B436" t="str">
        <f>INDEX(Rankings!C$2:'Rankings'!C$1149,MATCH(SMALL(Rankings!H$2:'Rankings'!H$1000,ROW()),Rankings!H$2:'Rankings'!H$1000,0))</f>
        <v>Jon Salchert</v>
      </c>
      <c r="C436" t="str">
        <f>INDEX(Rankings!C$2:'Rankings'!C$1149,MATCH(SMALL(Rankings!H$2:'Rankings'!H$1000,ROW()),Rankings!H$2:'Rankings'!H$1000,0))</f>
        <v>Jon Salchert</v>
      </c>
      <c r="D436" t="str">
        <f>INDEX(Rankings!C$2:'Rankings'!C$1149,MATCH(SMALL(Rankings!H$2:'Rankings'!H$1000,ROW()),Rankings!H$2:'Rankings'!H$1000,0))</f>
        <v>Jon Salchert</v>
      </c>
      <c r="G436" t="str">
        <f>INDEX(Rankings!C$2:'Rankings'!C$1149,MATCH(SMALL(Rankings!H$2:'Rankings'!H$1000,ROW()),Rankings!H$2:'Rankings'!H$1000,0))</f>
        <v>Jon Salchert</v>
      </c>
    </row>
    <row r="437" spans="2:7" hidden="1" outlineLevel="1" x14ac:dyDescent="0.25">
      <c r="B437" t="str">
        <f>INDEX(Rankings!C$2:'Rankings'!C$1149,MATCH(SMALL(Rankings!H$2:'Rankings'!H$1000,ROW()),Rankings!H$2:'Rankings'!H$1000,0))</f>
        <v>Jonas Bengtsson</v>
      </c>
      <c r="C437" t="str">
        <f>INDEX(Rankings!C$2:'Rankings'!C$1149,MATCH(SMALL(Rankings!H$2:'Rankings'!H$1000,ROW()),Rankings!H$2:'Rankings'!H$1000,0))</f>
        <v>Jonas Bengtsson</v>
      </c>
      <c r="D437" t="str">
        <f>INDEX(Rankings!C$2:'Rankings'!C$1149,MATCH(SMALL(Rankings!H$2:'Rankings'!H$1000,ROW()),Rankings!H$2:'Rankings'!H$1000,0))</f>
        <v>Jonas Bengtsson</v>
      </c>
      <c r="G437" t="str">
        <f>INDEX(Rankings!C$2:'Rankings'!C$1149,MATCH(SMALL(Rankings!H$2:'Rankings'!H$1000,ROW()),Rankings!H$2:'Rankings'!H$1000,0))</f>
        <v>Jonas Bengtsson</v>
      </c>
    </row>
    <row r="438" spans="2:7" hidden="1" outlineLevel="1" x14ac:dyDescent="0.25">
      <c r="B438" t="str">
        <f>INDEX(Rankings!C$2:'Rankings'!C$1149,MATCH(SMALL(Rankings!H$2:'Rankings'!H$1000,ROW()),Rankings!H$2:'Rankings'!H$1000,0))</f>
        <v>Jonas Schaefers</v>
      </c>
      <c r="C438" t="str">
        <f>INDEX(Rankings!C$2:'Rankings'!C$1149,MATCH(SMALL(Rankings!H$2:'Rankings'!H$1000,ROW()),Rankings!H$2:'Rankings'!H$1000,0))</f>
        <v>Jonas Schaefers</v>
      </c>
      <c r="D438" t="str">
        <f>INDEX(Rankings!C$2:'Rankings'!C$1149,MATCH(SMALL(Rankings!H$2:'Rankings'!H$1000,ROW()),Rankings!H$2:'Rankings'!H$1000,0))</f>
        <v>Jonas Schaefers</v>
      </c>
      <c r="G438" t="str">
        <f>INDEX(Rankings!C$2:'Rankings'!C$1149,MATCH(SMALL(Rankings!H$2:'Rankings'!H$1000,ROW()),Rankings!H$2:'Rankings'!H$1000,0))</f>
        <v>Jonas Schaefers</v>
      </c>
    </row>
    <row r="439" spans="2:7" hidden="1" outlineLevel="1" x14ac:dyDescent="0.25">
      <c r="B439" t="str">
        <f>INDEX(Rankings!C$2:'Rankings'!C$1149,MATCH(SMALL(Rankings!H$2:'Rankings'!H$1000,ROW()),Rankings!H$2:'Rankings'!H$1000,0))</f>
        <v>Jonathan Brandtberg</v>
      </c>
      <c r="C439" t="str">
        <f>INDEX(Rankings!C$2:'Rankings'!C$1149,MATCH(SMALL(Rankings!H$2:'Rankings'!H$1000,ROW()),Rankings!H$2:'Rankings'!H$1000,0))</f>
        <v>Jonathan Brandtberg</v>
      </c>
      <c r="D439" t="str">
        <f>INDEX(Rankings!C$2:'Rankings'!C$1149,MATCH(SMALL(Rankings!H$2:'Rankings'!H$1000,ROW()),Rankings!H$2:'Rankings'!H$1000,0))</f>
        <v>Jonathan Brandtberg</v>
      </c>
      <c r="G439" t="str">
        <f>INDEX(Rankings!C$2:'Rankings'!C$1149,MATCH(SMALL(Rankings!H$2:'Rankings'!H$1000,ROW()),Rankings!H$2:'Rankings'!H$1000,0))</f>
        <v>Jonathan Brandtberg</v>
      </c>
    </row>
    <row r="440" spans="2:7" hidden="1" outlineLevel="1" x14ac:dyDescent="0.25">
      <c r="B440" t="str">
        <f>INDEX(Rankings!C$2:'Rankings'!C$1149,MATCH(SMALL(Rankings!H$2:'Rankings'!H$1000,ROW()),Rankings!H$2:'Rankings'!H$1000,0))</f>
        <v>Jonathan Kriss</v>
      </c>
      <c r="C440" t="str">
        <f>INDEX(Rankings!C$2:'Rankings'!C$1149,MATCH(SMALL(Rankings!H$2:'Rankings'!H$1000,ROW()),Rankings!H$2:'Rankings'!H$1000,0))</f>
        <v>Jonathan Kriss</v>
      </c>
      <c r="D440" t="str">
        <f>INDEX(Rankings!C$2:'Rankings'!C$1149,MATCH(SMALL(Rankings!H$2:'Rankings'!H$1000,ROW()),Rankings!H$2:'Rankings'!H$1000,0))</f>
        <v>Jonathan Kriss</v>
      </c>
      <c r="G440" t="str">
        <f>INDEX(Rankings!C$2:'Rankings'!C$1149,MATCH(SMALL(Rankings!H$2:'Rankings'!H$1000,ROW()),Rankings!H$2:'Rankings'!H$1000,0))</f>
        <v>Jonathan Kriss</v>
      </c>
    </row>
    <row r="441" spans="2:7" hidden="1" outlineLevel="1" x14ac:dyDescent="0.25">
      <c r="B441" t="str">
        <f>INDEX(Rankings!C$2:'Rankings'!C$1149,MATCH(SMALL(Rankings!H$2:'Rankings'!H$1000,ROW()),Rankings!H$2:'Rankings'!H$1000,0))</f>
        <v>Jonathan Willett</v>
      </c>
      <c r="C441" t="str">
        <f>INDEX(Rankings!C$2:'Rankings'!C$1149,MATCH(SMALL(Rankings!H$2:'Rankings'!H$1000,ROW()),Rankings!H$2:'Rankings'!H$1000,0))</f>
        <v>Jonathan Willett</v>
      </c>
      <c r="D441" t="str">
        <f>INDEX(Rankings!C$2:'Rankings'!C$1149,MATCH(SMALL(Rankings!H$2:'Rankings'!H$1000,ROW()),Rankings!H$2:'Rankings'!H$1000,0))</f>
        <v>Jonathan Willett</v>
      </c>
      <c r="G441" t="str">
        <f>INDEX(Rankings!C$2:'Rankings'!C$1149,MATCH(SMALL(Rankings!H$2:'Rankings'!H$1000,ROW()),Rankings!H$2:'Rankings'!H$1000,0))</f>
        <v>Jonathan Willett</v>
      </c>
    </row>
    <row r="442" spans="2:7" hidden="1" outlineLevel="1" x14ac:dyDescent="0.25">
      <c r="B442" t="str">
        <f>INDEX(Rankings!C$2:'Rankings'!C$1149,MATCH(SMALL(Rankings!H$2:'Rankings'!H$1000,ROW()),Rankings!H$2:'Rankings'!H$1000,0))</f>
        <v>Jörg Berkel</v>
      </c>
      <c r="C442" t="str">
        <f>INDEX(Rankings!C$2:'Rankings'!C$1149,MATCH(SMALL(Rankings!H$2:'Rankings'!H$1000,ROW()),Rankings!H$2:'Rankings'!H$1000,0))</f>
        <v>Jörg Berkel</v>
      </c>
      <c r="D442" t="str">
        <f>INDEX(Rankings!C$2:'Rankings'!C$1149,MATCH(SMALL(Rankings!H$2:'Rankings'!H$1000,ROW()),Rankings!H$2:'Rankings'!H$1000,0))</f>
        <v>Jörg Berkel</v>
      </c>
      <c r="G442" t="str">
        <f>INDEX(Rankings!C$2:'Rankings'!C$1149,MATCH(SMALL(Rankings!H$2:'Rankings'!H$1000,ROW()),Rankings!H$2:'Rankings'!H$1000,0))</f>
        <v>Jörg Berkel</v>
      </c>
    </row>
    <row r="443" spans="2:7" hidden="1" outlineLevel="1" x14ac:dyDescent="0.25">
      <c r="B443" t="str">
        <f>INDEX(Rankings!C$2:'Rankings'!C$1149,MATCH(SMALL(Rankings!H$2:'Rankings'!H$1000,ROW()),Rankings!H$2:'Rankings'!H$1000,0))</f>
        <v>Jörg Wunder</v>
      </c>
      <c r="C443" t="str">
        <f>INDEX(Rankings!C$2:'Rankings'!C$1149,MATCH(SMALL(Rankings!H$2:'Rankings'!H$1000,ROW()),Rankings!H$2:'Rankings'!H$1000,0))</f>
        <v>Jörg Wunder</v>
      </c>
      <c r="D443" t="str">
        <f>INDEX(Rankings!C$2:'Rankings'!C$1149,MATCH(SMALL(Rankings!H$2:'Rankings'!H$1000,ROW()),Rankings!H$2:'Rankings'!H$1000,0))</f>
        <v>Jörg Wunder</v>
      </c>
      <c r="G443" t="str">
        <f>INDEX(Rankings!C$2:'Rankings'!C$1149,MATCH(SMALL(Rankings!H$2:'Rankings'!H$1000,ROW()),Rankings!H$2:'Rankings'!H$1000,0))</f>
        <v>Jörg Wunder</v>
      </c>
    </row>
    <row r="444" spans="2:7" hidden="1" outlineLevel="1" x14ac:dyDescent="0.25">
      <c r="B444" t="str">
        <f>INDEX(Rankings!C$2:'Rankings'!C$1149,MATCH(SMALL(Rankings!H$2:'Rankings'!H$1000,ROW()),Rankings!H$2:'Rankings'!H$1000,0))</f>
        <v>Josh Emerson</v>
      </c>
      <c r="C444" t="str">
        <f>INDEX(Rankings!C$2:'Rankings'!C$1149,MATCH(SMALL(Rankings!H$2:'Rankings'!H$1000,ROW()),Rankings!H$2:'Rankings'!H$1000,0))</f>
        <v>Josh Emerson</v>
      </c>
      <c r="D444" t="str">
        <f>INDEX(Rankings!C$2:'Rankings'!C$1149,MATCH(SMALL(Rankings!H$2:'Rankings'!H$1000,ROW()),Rankings!H$2:'Rankings'!H$1000,0))</f>
        <v>Josh Emerson</v>
      </c>
      <c r="G444" t="str">
        <f>INDEX(Rankings!C$2:'Rankings'!C$1149,MATCH(SMALL(Rankings!H$2:'Rankings'!H$1000,ROW()),Rankings!H$2:'Rankings'!H$1000,0))</f>
        <v>Josh Emerson</v>
      </c>
    </row>
    <row r="445" spans="2:7" hidden="1" outlineLevel="1" x14ac:dyDescent="0.25">
      <c r="B445" t="str">
        <f>INDEX(Rankings!C$2:'Rankings'!C$1149,MATCH(SMALL(Rankings!H$2:'Rankings'!H$1000,ROW()),Rankings!H$2:'Rankings'!H$1000,0))</f>
        <v>Jozef Vanco</v>
      </c>
      <c r="C445" t="str">
        <f>INDEX(Rankings!C$2:'Rankings'!C$1149,MATCH(SMALL(Rankings!H$2:'Rankings'!H$1000,ROW()),Rankings!H$2:'Rankings'!H$1000,0))</f>
        <v>Jozef Vanco</v>
      </c>
      <c r="D445" t="str">
        <f>INDEX(Rankings!C$2:'Rankings'!C$1149,MATCH(SMALL(Rankings!H$2:'Rankings'!H$1000,ROW()),Rankings!H$2:'Rankings'!H$1000,0))</f>
        <v>Jozef Vanco</v>
      </c>
      <c r="G445" t="str">
        <f>INDEX(Rankings!C$2:'Rankings'!C$1149,MATCH(SMALL(Rankings!H$2:'Rankings'!H$1000,ROW()),Rankings!H$2:'Rankings'!H$1000,0))</f>
        <v>Jozef Vanco</v>
      </c>
    </row>
    <row r="446" spans="2:7" hidden="1" outlineLevel="1" x14ac:dyDescent="0.25">
      <c r="B446" t="str">
        <f>INDEX(Rankings!C$2:'Rankings'!C$1149,MATCH(SMALL(Rankings!H$2:'Rankings'!H$1000,ROW()),Rankings!H$2:'Rankings'!H$1000,0))</f>
        <v>Juan D. Ramirez</v>
      </c>
      <c r="C446" t="str">
        <f>INDEX(Rankings!C$2:'Rankings'!C$1149,MATCH(SMALL(Rankings!H$2:'Rankings'!H$1000,ROW()),Rankings!H$2:'Rankings'!H$1000,0))</f>
        <v>Juan D. Ramirez</v>
      </c>
      <c r="D446" t="str">
        <f>INDEX(Rankings!C$2:'Rankings'!C$1149,MATCH(SMALL(Rankings!H$2:'Rankings'!H$1000,ROW()),Rankings!H$2:'Rankings'!H$1000,0))</f>
        <v>Juan D. Ramirez</v>
      </c>
      <c r="G446" t="str">
        <f>INDEX(Rankings!C$2:'Rankings'!C$1149,MATCH(SMALL(Rankings!H$2:'Rankings'!H$1000,ROW()),Rankings!H$2:'Rankings'!H$1000,0))</f>
        <v>Juan D. Ramirez</v>
      </c>
    </row>
    <row r="447" spans="2:7" hidden="1" outlineLevel="1" x14ac:dyDescent="0.25">
      <c r="B447" t="str">
        <f>INDEX(Rankings!C$2:'Rankings'!C$1149,MATCH(SMALL(Rankings!H$2:'Rankings'!H$1000,ROW()),Rankings!H$2:'Rankings'!H$1000,0))</f>
        <v>Juan Piercing</v>
      </c>
      <c r="C447" t="str">
        <f>INDEX(Rankings!C$2:'Rankings'!C$1149,MATCH(SMALL(Rankings!H$2:'Rankings'!H$1000,ROW()),Rankings!H$2:'Rankings'!H$1000,0))</f>
        <v>Juan Piercing</v>
      </c>
      <c r="D447" t="str">
        <f>INDEX(Rankings!C$2:'Rankings'!C$1149,MATCH(SMALL(Rankings!H$2:'Rankings'!H$1000,ROW()),Rankings!H$2:'Rankings'!H$1000,0))</f>
        <v>Juan Piercing</v>
      </c>
      <c r="G447" t="str">
        <f>INDEX(Rankings!C$2:'Rankings'!C$1149,MATCH(SMALL(Rankings!H$2:'Rankings'!H$1000,ROW()),Rankings!H$2:'Rankings'!H$1000,0))</f>
        <v>Juan Piercing</v>
      </c>
    </row>
    <row r="448" spans="2:7" hidden="1" outlineLevel="1" x14ac:dyDescent="0.25">
      <c r="B448" t="str">
        <f>INDEX(Rankings!C$2:'Rankings'!C$1149,MATCH(SMALL(Rankings!H$2:'Rankings'!H$1000,ROW()),Rankings!H$2:'Rankings'!H$1000,0))</f>
        <v>Judith Hess</v>
      </c>
      <c r="C448" t="str">
        <f>INDEX(Rankings!C$2:'Rankings'!C$1149,MATCH(SMALL(Rankings!H$2:'Rankings'!H$1000,ROW()),Rankings!H$2:'Rankings'!H$1000,0))</f>
        <v>Judith Hess</v>
      </c>
      <c r="D448" t="str">
        <f>INDEX(Rankings!C$2:'Rankings'!C$1149,MATCH(SMALL(Rankings!H$2:'Rankings'!H$1000,ROW()),Rankings!H$2:'Rankings'!H$1000,0))</f>
        <v>Judith Hess</v>
      </c>
      <c r="G448" t="str">
        <f>INDEX(Rankings!C$2:'Rankings'!C$1149,MATCH(SMALL(Rankings!H$2:'Rankings'!H$1000,ROW()),Rankings!H$2:'Rankings'!H$1000,0))</f>
        <v>Judith Hess</v>
      </c>
    </row>
    <row r="449" spans="2:7" hidden="1" outlineLevel="1" x14ac:dyDescent="0.25">
      <c r="B449" t="str">
        <f>INDEX(Rankings!C$2:'Rankings'!C$1149,MATCH(SMALL(Rankings!H$2:'Rankings'!H$1000,ROW()),Rankings!H$2:'Rankings'!H$1000,0))</f>
        <v>Judy Robbins</v>
      </c>
      <c r="C449" t="str">
        <f>INDEX(Rankings!C$2:'Rankings'!C$1149,MATCH(SMALL(Rankings!H$2:'Rankings'!H$1000,ROW()),Rankings!H$2:'Rankings'!H$1000,0))</f>
        <v>Judy Robbins</v>
      </c>
      <c r="D449" t="str">
        <f>INDEX(Rankings!C$2:'Rankings'!C$1149,MATCH(SMALL(Rankings!H$2:'Rankings'!H$1000,ROW()),Rankings!H$2:'Rankings'!H$1000,0))</f>
        <v>Judy Robbins</v>
      </c>
      <c r="G449" t="str">
        <f>INDEX(Rankings!C$2:'Rankings'!C$1149,MATCH(SMALL(Rankings!H$2:'Rankings'!H$1000,ROW()),Rankings!H$2:'Rankings'!H$1000,0))</f>
        <v>Judy Robbins</v>
      </c>
    </row>
    <row r="450" spans="2:7" hidden="1" outlineLevel="1" x14ac:dyDescent="0.25">
      <c r="B450" t="str">
        <f>INDEX(Rankings!C$2:'Rankings'!C$1149,MATCH(SMALL(Rankings!H$2:'Rankings'!H$1000,ROW()),Rankings!H$2:'Rankings'!H$1000,0))</f>
        <v>Julia Schuster</v>
      </c>
      <c r="C450" t="str">
        <f>INDEX(Rankings!C$2:'Rankings'!C$1149,MATCH(SMALL(Rankings!H$2:'Rankings'!H$1000,ROW()),Rankings!H$2:'Rankings'!H$1000,0))</f>
        <v>Julia Schuster</v>
      </c>
      <c r="D450" t="str">
        <f>INDEX(Rankings!C$2:'Rankings'!C$1149,MATCH(SMALL(Rankings!H$2:'Rankings'!H$1000,ROW()),Rankings!H$2:'Rankings'!H$1000,0))</f>
        <v>Julia Schuster</v>
      </c>
      <c r="G450" t="str">
        <f>INDEX(Rankings!C$2:'Rankings'!C$1149,MATCH(SMALL(Rankings!H$2:'Rankings'!H$1000,ROW()),Rankings!H$2:'Rankings'!H$1000,0))</f>
        <v>Julia Schuster</v>
      </c>
    </row>
    <row r="451" spans="2:7" hidden="1" outlineLevel="1" x14ac:dyDescent="0.25">
      <c r="B451" t="str">
        <f>INDEX(Rankings!C$2:'Rankings'!C$1149,MATCH(SMALL(Rankings!H$2:'Rankings'!H$1000,ROW()),Rankings!H$2:'Rankings'!H$1000,0))</f>
        <v>Juliana Korver</v>
      </c>
      <c r="C451" t="str">
        <f>INDEX(Rankings!C$2:'Rankings'!C$1149,MATCH(SMALL(Rankings!H$2:'Rankings'!H$1000,ROW()),Rankings!H$2:'Rankings'!H$1000,0))</f>
        <v>Juliana Korver</v>
      </c>
      <c r="D451" t="str">
        <f>INDEX(Rankings!C$2:'Rankings'!C$1149,MATCH(SMALL(Rankings!H$2:'Rankings'!H$1000,ROW()),Rankings!H$2:'Rankings'!H$1000,0))</f>
        <v>Juliana Korver</v>
      </c>
      <c r="G451" t="str">
        <f>INDEX(Rankings!C$2:'Rankings'!C$1149,MATCH(SMALL(Rankings!H$2:'Rankings'!H$1000,ROW()),Rankings!H$2:'Rankings'!H$1000,0))</f>
        <v>Juliana Korver</v>
      </c>
    </row>
    <row r="452" spans="2:7" hidden="1" outlineLevel="1" x14ac:dyDescent="0.25">
      <c r="B452" t="str">
        <f>INDEX(Rankings!C$2:'Rankings'!C$1149,MATCH(SMALL(Rankings!H$2:'Rankings'!H$1000,ROW()),Rankings!H$2:'Rankings'!H$1000,0))</f>
        <v>Juliana Korver</v>
      </c>
      <c r="C452" t="str">
        <f>INDEX(Rankings!C$2:'Rankings'!C$1149,MATCH(SMALL(Rankings!H$2:'Rankings'!H$1000,ROW()),Rankings!H$2:'Rankings'!H$1000,0))</f>
        <v>Juliana Korver</v>
      </c>
      <c r="D452" t="str">
        <f>INDEX(Rankings!C$2:'Rankings'!C$1149,MATCH(SMALL(Rankings!H$2:'Rankings'!H$1000,ROW()),Rankings!H$2:'Rankings'!H$1000,0))</f>
        <v>Juliana Korver</v>
      </c>
      <c r="G452" t="str">
        <f>INDEX(Rankings!C$2:'Rankings'!C$1149,MATCH(SMALL(Rankings!H$2:'Rankings'!H$1000,ROW()),Rankings!H$2:'Rankings'!H$1000,0))</f>
        <v>Juliana Korver</v>
      </c>
    </row>
    <row r="453" spans="2:7" hidden="1" outlineLevel="1" x14ac:dyDescent="0.25">
      <c r="B453" t="str">
        <f>INDEX(Rankings!C$2:'Rankings'!C$1149,MATCH(SMALL(Rankings!H$2:'Rankings'!H$1000,ROW()),Rankings!H$2:'Rankings'!H$1000,0))</f>
        <v>Julien Menetrat</v>
      </c>
      <c r="C453" t="str">
        <f>INDEX(Rankings!C$2:'Rankings'!C$1149,MATCH(SMALL(Rankings!H$2:'Rankings'!H$1000,ROW()),Rankings!H$2:'Rankings'!H$1000,0))</f>
        <v>Julien Menetrat</v>
      </c>
      <c r="D453" t="str">
        <f>INDEX(Rankings!C$2:'Rankings'!C$1149,MATCH(SMALL(Rankings!H$2:'Rankings'!H$1000,ROW()),Rankings!H$2:'Rankings'!H$1000,0))</f>
        <v>Julien Menetrat</v>
      </c>
      <c r="G453" t="str">
        <f>INDEX(Rankings!C$2:'Rankings'!C$1149,MATCH(SMALL(Rankings!H$2:'Rankings'!H$1000,ROW()),Rankings!H$2:'Rankings'!H$1000,0))</f>
        <v>Julien Menetrat</v>
      </c>
    </row>
    <row r="454" spans="2:7" hidden="1" outlineLevel="1" x14ac:dyDescent="0.25">
      <c r="B454" t="str">
        <f>INDEX(Rankings!C$2:'Rankings'!C$1149,MATCH(SMALL(Rankings!H$2:'Rankings'!H$1000,ROW()),Rankings!H$2:'Rankings'!H$1000,0))</f>
        <v>Juro Turan</v>
      </c>
      <c r="C454" t="str">
        <f>INDEX(Rankings!C$2:'Rankings'!C$1149,MATCH(SMALL(Rankings!H$2:'Rankings'!H$1000,ROW()),Rankings!H$2:'Rankings'!H$1000,0))</f>
        <v>Juro Turan</v>
      </c>
      <c r="D454" t="str">
        <f>INDEX(Rankings!C$2:'Rankings'!C$1149,MATCH(SMALL(Rankings!H$2:'Rankings'!H$1000,ROW()),Rankings!H$2:'Rankings'!H$1000,0))</f>
        <v>Juro Turan</v>
      </c>
      <c r="G454" t="str">
        <f>INDEX(Rankings!C$2:'Rankings'!C$1149,MATCH(SMALL(Rankings!H$2:'Rankings'!H$1000,ROW()),Rankings!H$2:'Rankings'!H$1000,0))</f>
        <v>Juro Turan</v>
      </c>
    </row>
    <row r="455" spans="2:7" hidden="1" outlineLevel="1" x14ac:dyDescent="0.25">
      <c r="B455" t="str">
        <f>INDEX(Rankings!C$2:'Rankings'!C$1149,MATCH(SMALL(Rankings!H$2:'Rankings'!H$1000,ROW()),Rankings!H$2:'Rankings'!H$1000,0))</f>
        <v>Justus Degener</v>
      </c>
      <c r="C455" t="str">
        <f>INDEX(Rankings!C$2:'Rankings'!C$1149,MATCH(SMALL(Rankings!H$2:'Rankings'!H$1000,ROW()),Rankings!H$2:'Rankings'!H$1000,0))</f>
        <v>Justus Degener</v>
      </c>
      <c r="D455" t="str">
        <f>INDEX(Rankings!C$2:'Rankings'!C$1149,MATCH(SMALL(Rankings!H$2:'Rankings'!H$1000,ROW()),Rankings!H$2:'Rankings'!H$1000,0))</f>
        <v>Justus Degener</v>
      </c>
      <c r="G455" t="str">
        <f>INDEX(Rankings!C$2:'Rankings'!C$1149,MATCH(SMALL(Rankings!H$2:'Rankings'!H$1000,ROW()),Rankings!H$2:'Rankings'!H$1000,0))</f>
        <v>Justus Degener</v>
      </c>
    </row>
    <row r="456" spans="2:7" hidden="1" outlineLevel="1" x14ac:dyDescent="0.25">
      <c r="B456" t="str">
        <f>INDEX(Rankings!C$2:'Rankings'!C$1149,MATCH(SMALL(Rankings!H$2:'Rankings'!H$1000,ROW()),Rankings!H$2:'Rankings'!H$1000,0))</f>
        <v>Josh Walton</v>
      </c>
      <c r="C456" t="str">
        <f>INDEX(Rankings!C$2:'Rankings'!C$1149,MATCH(SMALL(Rankings!H$2:'Rankings'!H$1000,ROW()),Rankings!H$2:'Rankings'!H$1000,0))</f>
        <v>Josh Walton</v>
      </c>
      <c r="D456" t="str">
        <f>INDEX(Rankings!C$2:'Rankings'!C$1149,MATCH(SMALL(Rankings!H$2:'Rankings'!H$1000,ROW()),Rankings!H$2:'Rankings'!H$1000,0))</f>
        <v>Josh Walton</v>
      </c>
      <c r="G456" t="str">
        <f>INDEX(Rankings!C$2:'Rankings'!C$1149,MATCH(SMALL(Rankings!H$2:'Rankings'!H$1000,ROW()),Rankings!H$2:'Rankings'!H$1000,0))</f>
        <v>Josh Walton</v>
      </c>
    </row>
    <row r="457" spans="2:7" hidden="1" outlineLevel="1" x14ac:dyDescent="0.25">
      <c r="B457" t="str">
        <f>INDEX(Rankings!C$2:'Rankings'!C$1149,MATCH(SMALL(Rankings!H$2:'Rankings'!H$1000,ROW()),Rankings!H$2:'Rankings'!H$1000,0))</f>
        <v>Kalina Kisiliewska</v>
      </c>
      <c r="C457" t="str">
        <f>INDEX(Rankings!C$2:'Rankings'!C$1149,MATCH(SMALL(Rankings!H$2:'Rankings'!H$1000,ROW()),Rankings!H$2:'Rankings'!H$1000,0))</f>
        <v>Kalina Kisiliewska</v>
      </c>
      <c r="D457" t="str">
        <f>INDEX(Rankings!C$2:'Rankings'!C$1149,MATCH(SMALL(Rankings!H$2:'Rankings'!H$1000,ROW()),Rankings!H$2:'Rankings'!H$1000,0))</f>
        <v>Kalina Kisiliewska</v>
      </c>
      <c r="G457" t="str">
        <f>INDEX(Rankings!C$2:'Rankings'!C$1149,MATCH(SMALL(Rankings!H$2:'Rankings'!H$1000,ROW()),Rankings!H$2:'Rankings'!H$1000,0))</f>
        <v>Kalina Kisiliewska</v>
      </c>
    </row>
    <row r="458" spans="2:7" hidden="1" outlineLevel="1" x14ac:dyDescent="0.25">
      <c r="B458" t="str">
        <f>INDEX(Rankings!C$2:'Rankings'!C$1149,MATCH(SMALL(Rankings!H$2:'Rankings'!H$1000,ROW()),Rankings!H$2:'Rankings'!H$1000,0))</f>
        <v>Kamil Calinski</v>
      </c>
      <c r="C458" t="str">
        <f>INDEX(Rankings!C$2:'Rankings'!C$1149,MATCH(SMALL(Rankings!H$2:'Rankings'!H$1000,ROW()),Rankings!H$2:'Rankings'!H$1000,0))</f>
        <v>Kamil Calinski</v>
      </c>
      <c r="D458" t="str">
        <f>INDEX(Rankings!C$2:'Rankings'!C$1149,MATCH(SMALL(Rankings!H$2:'Rankings'!H$1000,ROW()),Rankings!H$2:'Rankings'!H$1000,0))</f>
        <v>Kamil Calinski</v>
      </c>
      <c r="G458" t="str">
        <f>INDEX(Rankings!C$2:'Rankings'!C$1149,MATCH(SMALL(Rankings!H$2:'Rankings'!H$1000,ROW()),Rankings!H$2:'Rankings'!H$1000,0))</f>
        <v>Kamil Calinski</v>
      </c>
    </row>
    <row r="459" spans="2:7" hidden="1" outlineLevel="1" x14ac:dyDescent="0.25">
      <c r="B459" t="str">
        <f>INDEX(Rankings!C$2:'Rankings'!C$1149,MATCH(SMALL(Rankings!H$2:'Rankings'!H$1000,ROW()),Rankings!H$2:'Rankings'!H$1000,0))</f>
        <v>Diana Vrbic</v>
      </c>
      <c r="C459" t="str">
        <f>INDEX(Rankings!C$2:'Rankings'!C$1149,MATCH(SMALL(Rankings!H$2:'Rankings'!H$1000,ROW()),Rankings!H$2:'Rankings'!H$1000,0))</f>
        <v>Diana Vrbic</v>
      </c>
      <c r="D459" t="str">
        <f>INDEX(Rankings!C$2:'Rankings'!C$1149,MATCH(SMALL(Rankings!H$2:'Rankings'!H$1000,ROW()),Rankings!H$2:'Rankings'!H$1000,0))</f>
        <v>Diana Vrbic</v>
      </c>
      <c r="G459" t="str">
        <f>INDEX(Rankings!C$2:'Rankings'!C$1149,MATCH(SMALL(Rankings!H$2:'Rankings'!H$1000,ROW()),Rankings!H$2:'Rankings'!H$1000,0))</f>
        <v>Diana Vrbic</v>
      </c>
    </row>
    <row r="460" spans="2:7" hidden="1" outlineLevel="1" x14ac:dyDescent="0.25">
      <c r="B460" t="str">
        <f>INDEX(Rankings!C$2:'Rankings'!C$1149,MATCH(SMALL(Rankings!H$2:'Rankings'!H$1000,ROW()),Rankings!H$2:'Rankings'!H$1000,0))</f>
        <v>Karolina Hagenbjörk</v>
      </c>
      <c r="C460" t="str">
        <f>INDEX(Rankings!C$2:'Rankings'!C$1149,MATCH(SMALL(Rankings!H$2:'Rankings'!H$1000,ROW()),Rankings!H$2:'Rankings'!H$1000,0))</f>
        <v>Karolina Hagenbjörk</v>
      </c>
      <c r="D460" t="str">
        <f>INDEX(Rankings!C$2:'Rankings'!C$1149,MATCH(SMALL(Rankings!H$2:'Rankings'!H$1000,ROW()),Rankings!H$2:'Rankings'!H$1000,0))</f>
        <v>Karolina Hagenbjörk</v>
      </c>
      <c r="G460" t="str">
        <f>INDEX(Rankings!C$2:'Rankings'!C$1149,MATCH(SMALL(Rankings!H$2:'Rankings'!H$1000,ROW()),Rankings!H$2:'Rankings'!H$1000,0))</f>
        <v>Karolina Hagenbjörk</v>
      </c>
    </row>
    <row r="461" spans="2:7" hidden="1" outlineLevel="1" x14ac:dyDescent="0.25">
      <c r="B461" t="str">
        <f>INDEX(Rankings!C$2:'Rankings'!C$1149,MATCH(SMALL(Rankings!H$2:'Rankings'!H$1000,ROW()),Rankings!H$2:'Rankings'!H$1000,0))</f>
        <v>Kate Gester</v>
      </c>
      <c r="C461" t="str">
        <f>INDEX(Rankings!C$2:'Rankings'!C$1149,MATCH(SMALL(Rankings!H$2:'Rankings'!H$1000,ROW()),Rankings!H$2:'Rankings'!H$1000,0))</f>
        <v>Kate Gester</v>
      </c>
      <c r="D461" t="str">
        <f>INDEX(Rankings!C$2:'Rankings'!C$1149,MATCH(SMALL(Rankings!H$2:'Rankings'!H$1000,ROW()),Rankings!H$2:'Rankings'!H$1000,0))</f>
        <v>Kate Gester</v>
      </c>
      <c r="G461" t="str">
        <f>INDEX(Rankings!C$2:'Rankings'!C$1149,MATCH(SMALL(Rankings!H$2:'Rankings'!H$1000,ROW()),Rankings!H$2:'Rankings'!H$1000,0))</f>
        <v>Kate Gester</v>
      </c>
    </row>
    <row r="462" spans="2:7" hidden="1" outlineLevel="1" x14ac:dyDescent="0.25">
      <c r="B462" t="str">
        <f>INDEX(Rankings!C$2:'Rankings'!C$1149,MATCH(SMALL(Rankings!H$2:'Rankings'!H$1000,ROW()),Rankings!H$2:'Rankings'!H$1000,0))</f>
        <v>Katerina Pleskotova</v>
      </c>
      <c r="C462" t="str">
        <f>INDEX(Rankings!C$2:'Rankings'!C$1149,MATCH(SMALL(Rankings!H$2:'Rankings'!H$1000,ROW()),Rankings!H$2:'Rankings'!H$1000,0))</f>
        <v>Katerina Pleskotova</v>
      </c>
      <c r="D462" t="str">
        <f>INDEX(Rankings!C$2:'Rankings'!C$1149,MATCH(SMALL(Rankings!H$2:'Rankings'!H$1000,ROW()),Rankings!H$2:'Rankings'!H$1000,0))</f>
        <v>Katerina Pleskotova</v>
      </c>
      <c r="G462" t="str">
        <f>INDEX(Rankings!C$2:'Rankings'!C$1149,MATCH(SMALL(Rankings!H$2:'Rankings'!H$1000,ROW()),Rankings!H$2:'Rankings'!H$1000,0))</f>
        <v>Katerina Pleskotova</v>
      </c>
    </row>
    <row r="463" spans="2:7" hidden="1" outlineLevel="1" x14ac:dyDescent="0.25">
      <c r="B463" t="str">
        <f>INDEX(Rankings!C$2:'Rankings'!C$1149,MATCH(SMALL(Rankings!H$2:'Rankings'!H$1000,ROW()),Rankings!H$2:'Rankings'!H$1000,0))</f>
        <v>Katie Smith</v>
      </c>
      <c r="C463" t="str">
        <f>INDEX(Rankings!C$2:'Rankings'!C$1149,MATCH(SMALL(Rankings!H$2:'Rankings'!H$1000,ROW()),Rankings!H$2:'Rankings'!H$1000,0))</f>
        <v>Katie Smith</v>
      </c>
      <c r="D463" t="str">
        <f>INDEX(Rankings!C$2:'Rankings'!C$1149,MATCH(SMALL(Rankings!H$2:'Rankings'!H$1000,ROW()),Rankings!H$2:'Rankings'!H$1000,0))</f>
        <v>Katie Smith</v>
      </c>
      <c r="G463" t="str">
        <f>INDEX(Rankings!C$2:'Rankings'!C$1149,MATCH(SMALL(Rankings!H$2:'Rankings'!H$1000,ROW()),Rankings!H$2:'Rankings'!H$1000,0))</f>
        <v>Katie Smith</v>
      </c>
    </row>
    <row r="464" spans="2:7" hidden="1" outlineLevel="1" x14ac:dyDescent="0.25">
      <c r="B464" t="str">
        <f>INDEX(Rankings!C$2:'Rankings'!C$1149,MATCH(SMALL(Rankings!H$2:'Rankings'!H$1000,ROW()),Rankings!H$2:'Rankings'!H$1000,0))</f>
        <v>Katie Stauss</v>
      </c>
      <c r="C464" t="str">
        <f>INDEX(Rankings!C$2:'Rankings'!C$1149,MATCH(SMALL(Rankings!H$2:'Rankings'!H$1000,ROW()),Rankings!H$2:'Rankings'!H$1000,0))</f>
        <v>Katie Stauss</v>
      </c>
      <c r="D464" t="str">
        <f>INDEX(Rankings!C$2:'Rankings'!C$1149,MATCH(SMALL(Rankings!H$2:'Rankings'!H$1000,ROW()),Rankings!H$2:'Rankings'!H$1000,0))</f>
        <v>Katie Stauss</v>
      </c>
      <c r="G464" t="str">
        <f>INDEX(Rankings!C$2:'Rankings'!C$1149,MATCH(SMALL(Rankings!H$2:'Rankings'!H$1000,ROW()),Rankings!H$2:'Rankings'!H$1000,0))</f>
        <v>Katie Stauss</v>
      </c>
    </row>
    <row r="465" spans="2:7" hidden="1" outlineLevel="1" x14ac:dyDescent="0.25">
      <c r="B465" t="str">
        <f>INDEX(Rankings!C$2:'Rankings'!C$1149,MATCH(SMALL(Rankings!H$2:'Rankings'!H$1000,ROW()),Rankings!H$2:'Rankings'!H$1000,0))</f>
        <v>Katrin Schmeisser</v>
      </c>
      <c r="C465" t="str">
        <f>INDEX(Rankings!C$2:'Rankings'!C$1149,MATCH(SMALL(Rankings!H$2:'Rankings'!H$1000,ROW()),Rankings!H$2:'Rankings'!H$1000,0))</f>
        <v>Katrin Schmeisser</v>
      </c>
      <c r="D465" t="str">
        <f>INDEX(Rankings!C$2:'Rankings'!C$1149,MATCH(SMALL(Rankings!H$2:'Rankings'!H$1000,ROW()),Rankings!H$2:'Rankings'!H$1000,0))</f>
        <v>Katrin Schmeisser</v>
      </c>
      <c r="G465" t="str">
        <f>INDEX(Rankings!C$2:'Rankings'!C$1149,MATCH(SMALL(Rankings!H$2:'Rankings'!H$1000,ROW()),Rankings!H$2:'Rankings'!H$1000,0))</f>
        <v>Katrin Schmeisser</v>
      </c>
    </row>
    <row r="466" spans="2:7" hidden="1" outlineLevel="1" x14ac:dyDescent="0.25">
      <c r="B466" t="str">
        <f>INDEX(Rankings!C$2:'Rankings'!C$1149,MATCH(SMALL(Rankings!H$2:'Rankings'!H$1000,ROW()),Rankings!H$2:'Rankings'!H$1000,0))</f>
        <v>Kei Kotani</v>
      </c>
      <c r="C466" t="str">
        <f>INDEX(Rankings!C$2:'Rankings'!C$1149,MATCH(SMALL(Rankings!H$2:'Rankings'!H$1000,ROW()),Rankings!H$2:'Rankings'!H$1000,0))</f>
        <v>Kei Kotani</v>
      </c>
      <c r="D466" t="str">
        <f>INDEX(Rankings!C$2:'Rankings'!C$1149,MATCH(SMALL(Rankings!H$2:'Rankings'!H$1000,ROW()),Rankings!H$2:'Rankings'!H$1000,0))</f>
        <v>Kei Kotani</v>
      </c>
      <c r="G466" t="str">
        <f>INDEX(Rankings!C$2:'Rankings'!C$1149,MATCH(SMALL(Rankings!H$2:'Rankings'!H$1000,ROW()),Rankings!H$2:'Rankings'!H$1000,0))</f>
        <v>Kei Kotani</v>
      </c>
    </row>
    <row r="467" spans="2:7" hidden="1" outlineLevel="1" x14ac:dyDescent="0.25">
      <c r="B467" t="str">
        <f>INDEX(Rankings!C$2:'Rankings'!C$1149,MATCH(SMALL(Rankings!H$2:'Rankings'!H$1000,ROW()),Rankings!H$2:'Rankings'!H$1000,0))</f>
        <v>Keisuke Watanabe</v>
      </c>
      <c r="C467" t="str">
        <f>INDEX(Rankings!C$2:'Rankings'!C$1149,MATCH(SMALL(Rankings!H$2:'Rankings'!H$1000,ROW()),Rankings!H$2:'Rankings'!H$1000,0))</f>
        <v>Keisuke Watanabe</v>
      </c>
      <c r="D467" t="str">
        <f>INDEX(Rankings!C$2:'Rankings'!C$1149,MATCH(SMALL(Rankings!H$2:'Rankings'!H$1000,ROW()),Rankings!H$2:'Rankings'!H$1000,0))</f>
        <v>Keisuke Watanabe</v>
      </c>
      <c r="G467" t="str">
        <f>INDEX(Rankings!C$2:'Rankings'!C$1149,MATCH(SMALL(Rankings!H$2:'Rankings'!H$1000,ROW()),Rankings!H$2:'Rankings'!H$1000,0))</f>
        <v>Keisuke Watanabe</v>
      </c>
    </row>
    <row r="468" spans="2:7" hidden="1" outlineLevel="1" x14ac:dyDescent="0.25">
      <c r="B468" t="str">
        <f>INDEX(Rankings!C$2:'Rankings'!C$1149,MATCH(SMALL(Rankings!H$2:'Rankings'!H$1000,ROW()),Rankings!H$2:'Rankings'!H$1000,0))</f>
        <v>Keith Armstrong</v>
      </c>
      <c r="C468" t="str">
        <f>INDEX(Rankings!C$2:'Rankings'!C$1149,MATCH(SMALL(Rankings!H$2:'Rankings'!H$1000,ROW()),Rankings!H$2:'Rankings'!H$1000,0))</f>
        <v>Keith Armstrong</v>
      </c>
      <c r="D468" t="str">
        <f>INDEX(Rankings!C$2:'Rankings'!C$1149,MATCH(SMALL(Rankings!H$2:'Rankings'!H$1000,ROW()),Rankings!H$2:'Rankings'!H$1000,0))</f>
        <v>Keith Armstrong</v>
      </c>
      <c r="G468" t="str">
        <f>INDEX(Rankings!C$2:'Rankings'!C$1149,MATCH(SMALL(Rankings!H$2:'Rankings'!H$1000,ROW()),Rankings!H$2:'Rankings'!H$1000,0))</f>
        <v>Keith Armstrong</v>
      </c>
    </row>
    <row r="469" spans="2:7" hidden="1" outlineLevel="1" x14ac:dyDescent="0.25">
      <c r="B469" t="str">
        <f>INDEX(Rankings!C$2:'Rankings'!C$1149,MATCH(SMALL(Rankings!H$2:'Rankings'!H$1000,ROW()),Rankings!H$2:'Rankings'!H$1000,0))</f>
        <v>Keith Kleiner</v>
      </c>
      <c r="C469" t="str">
        <f>INDEX(Rankings!C$2:'Rankings'!C$1149,MATCH(SMALL(Rankings!H$2:'Rankings'!H$1000,ROW()),Rankings!H$2:'Rankings'!H$1000,0))</f>
        <v>Keith Kleiner</v>
      </c>
      <c r="D469" t="str">
        <f>INDEX(Rankings!C$2:'Rankings'!C$1149,MATCH(SMALL(Rankings!H$2:'Rankings'!H$1000,ROW()),Rankings!H$2:'Rankings'!H$1000,0))</f>
        <v>Keith Kleiner</v>
      </c>
      <c r="G469" t="str">
        <f>INDEX(Rankings!C$2:'Rankings'!C$1149,MATCH(SMALL(Rankings!H$2:'Rankings'!H$1000,ROW()),Rankings!H$2:'Rankings'!H$1000,0))</f>
        <v>Keith Kleiner</v>
      </c>
    </row>
    <row r="470" spans="2:7" hidden="1" outlineLevel="1" x14ac:dyDescent="0.25">
      <c r="B470" t="str">
        <f>INDEX(Rankings!C$2:'Rankings'!C$1149,MATCH(SMALL(Rankings!H$2:'Rankings'!H$1000,ROW()),Rankings!H$2:'Rankings'!H$1000,0))</f>
        <v>Ken Reynolds</v>
      </c>
      <c r="C470" t="str">
        <f>INDEX(Rankings!C$2:'Rankings'!C$1149,MATCH(SMALL(Rankings!H$2:'Rankings'!H$1000,ROW()),Rankings!H$2:'Rankings'!H$1000,0))</f>
        <v>Ken Reynolds</v>
      </c>
      <c r="D470" t="str">
        <f>INDEX(Rankings!C$2:'Rankings'!C$1149,MATCH(SMALL(Rankings!H$2:'Rankings'!H$1000,ROW()),Rankings!H$2:'Rankings'!H$1000,0))</f>
        <v>Ken Reynolds</v>
      </c>
      <c r="G470" t="str">
        <f>INDEX(Rankings!C$2:'Rankings'!C$1149,MATCH(SMALL(Rankings!H$2:'Rankings'!H$1000,ROW()),Rankings!H$2:'Rankings'!H$1000,0))</f>
        <v>Ken Reynolds</v>
      </c>
    </row>
    <row r="471" spans="2:7" hidden="1" outlineLevel="1" x14ac:dyDescent="0.25">
      <c r="B471" t="str">
        <f>INDEX(Rankings!C$2:'Rankings'!C$1149,MATCH(SMALL(Rankings!H$2:'Rankings'!H$1000,ROW()),Rankings!H$2:'Rankings'!H$1000,0))</f>
        <v>Kenshin Fujii</v>
      </c>
      <c r="C471" t="str">
        <f>INDEX(Rankings!C$2:'Rankings'!C$1149,MATCH(SMALL(Rankings!H$2:'Rankings'!H$1000,ROW()),Rankings!H$2:'Rankings'!H$1000,0))</f>
        <v>Kenshin Fujii</v>
      </c>
      <c r="D471" t="str">
        <f>INDEX(Rankings!C$2:'Rankings'!C$1149,MATCH(SMALL(Rankings!H$2:'Rankings'!H$1000,ROW()),Rankings!H$2:'Rankings'!H$1000,0))</f>
        <v>Kenshin Fujii</v>
      </c>
      <c r="G471" t="str">
        <f>INDEX(Rankings!C$2:'Rankings'!C$1149,MATCH(SMALL(Rankings!H$2:'Rankings'!H$1000,ROW()),Rankings!H$2:'Rankings'!H$1000,0))</f>
        <v>Kenshin Fujii</v>
      </c>
    </row>
    <row r="472" spans="2:7" hidden="1" outlineLevel="1" x14ac:dyDescent="0.25">
      <c r="B472" t="str">
        <f>INDEX(Rankings!C$2:'Rankings'!C$1149,MATCH(SMALL(Rankings!H$2:'Rankings'!H$1000,ROW()),Rankings!H$2:'Rankings'!H$1000,0))</f>
        <v>Kerstin Ulrich</v>
      </c>
      <c r="C472" t="str">
        <f>INDEX(Rankings!C$2:'Rankings'!C$1149,MATCH(SMALL(Rankings!H$2:'Rankings'!H$1000,ROW()),Rankings!H$2:'Rankings'!H$1000,0))</f>
        <v>Kerstin Ulrich</v>
      </c>
      <c r="D472" t="str">
        <f>INDEX(Rankings!C$2:'Rankings'!C$1149,MATCH(SMALL(Rankings!H$2:'Rankings'!H$1000,ROW()),Rankings!H$2:'Rankings'!H$1000,0))</f>
        <v>Kerstin Ulrich</v>
      </c>
      <c r="G472" t="str">
        <f>INDEX(Rankings!C$2:'Rankings'!C$1149,MATCH(SMALL(Rankings!H$2:'Rankings'!H$1000,ROW()),Rankings!H$2:'Rankings'!H$1000,0))</f>
        <v>Kerstin Ulrich</v>
      </c>
    </row>
    <row r="473" spans="2:7" hidden="1" outlineLevel="1" x14ac:dyDescent="0.25">
      <c r="B473" t="str">
        <f>INDEX(Rankings!C$2:'Rankings'!C$1149,MATCH(SMALL(Rankings!H$2:'Rankings'!H$1000,ROW()),Rankings!H$2:'Rankings'!H$1000,0))</f>
        <v>Kevin Konsorr</v>
      </c>
      <c r="C473" t="str">
        <f>INDEX(Rankings!C$2:'Rankings'!C$1149,MATCH(SMALL(Rankings!H$2:'Rankings'!H$1000,ROW()),Rankings!H$2:'Rankings'!H$1000,0))</f>
        <v>Kevin Konsorr</v>
      </c>
      <c r="D473" t="str">
        <f>INDEX(Rankings!C$2:'Rankings'!C$1149,MATCH(SMALL(Rankings!H$2:'Rankings'!H$1000,ROW()),Rankings!H$2:'Rankings'!H$1000,0))</f>
        <v>Kevin Konsorr</v>
      </c>
      <c r="G473" t="str">
        <f>INDEX(Rankings!C$2:'Rankings'!C$1149,MATCH(SMALL(Rankings!H$2:'Rankings'!H$1000,ROW()),Rankings!H$2:'Rankings'!H$1000,0))</f>
        <v>Kevin Konsorr</v>
      </c>
    </row>
    <row r="474" spans="2:7" hidden="1" outlineLevel="1" x14ac:dyDescent="0.25">
      <c r="B474" t="str">
        <f>INDEX(Rankings!C$2:'Rankings'!C$1149,MATCH(SMALL(Rankings!H$2:'Rankings'!H$1000,ROW()),Rankings!H$2:'Rankings'!H$1000,0))</f>
        <v>Kevin Palmieri</v>
      </c>
      <c r="C474" t="str">
        <f>INDEX(Rankings!C$2:'Rankings'!C$1149,MATCH(SMALL(Rankings!H$2:'Rankings'!H$1000,ROW()),Rankings!H$2:'Rankings'!H$1000,0))</f>
        <v>Kevin Palmieri</v>
      </c>
      <c r="D474" t="str">
        <f>INDEX(Rankings!C$2:'Rankings'!C$1149,MATCH(SMALL(Rankings!H$2:'Rankings'!H$1000,ROW()),Rankings!H$2:'Rankings'!H$1000,0))</f>
        <v>Kevin Palmieri</v>
      </c>
      <c r="G474" t="str">
        <f>INDEX(Rankings!C$2:'Rankings'!C$1149,MATCH(SMALL(Rankings!H$2:'Rankings'!H$1000,ROW()),Rankings!H$2:'Rankings'!H$1000,0))</f>
        <v>Kevin Palmieri</v>
      </c>
    </row>
    <row r="475" spans="2:7" hidden="1" outlineLevel="1" x14ac:dyDescent="0.25">
      <c r="B475" t="str">
        <f>INDEX(Rankings!C$2:'Rankings'!C$1149,MATCH(SMALL(Rankings!H$2:'Rankings'!H$1000,ROW()),Rankings!H$2:'Rankings'!H$1000,0))</f>
        <v>Kevin Traver</v>
      </c>
      <c r="C475" t="str">
        <f>INDEX(Rankings!C$2:'Rankings'!C$1149,MATCH(SMALL(Rankings!H$2:'Rankings'!H$1000,ROW()),Rankings!H$2:'Rankings'!H$1000,0))</f>
        <v>Kevin Traver</v>
      </c>
      <c r="D475" t="str">
        <f>INDEX(Rankings!C$2:'Rankings'!C$1149,MATCH(SMALL(Rankings!H$2:'Rankings'!H$1000,ROW()),Rankings!H$2:'Rankings'!H$1000,0))</f>
        <v>Kevin Traver</v>
      </c>
      <c r="G475" t="str">
        <f>INDEX(Rankings!C$2:'Rankings'!C$1149,MATCH(SMALL(Rankings!H$2:'Rankings'!H$1000,ROW()),Rankings!H$2:'Rankings'!H$1000,0))</f>
        <v>Kevin Traver</v>
      </c>
    </row>
    <row r="476" spans="2:7" hidden="1" outlineLevel="1" x14ac:dyDescent="0.25">
      <c r="B476" t="str">
        <f>INDEX(Rankings!C$2:'Rankings'!C$1149,MATCH(SMALL(Rankings!H$2:'Rankings'!H$1000,ROW()),Rankings!H$2:'Rankings'!H$1000,0))</f>
        <v>Mathias Wagner</v>
      </c>
      <c r="C476" t="str">
        <f>INDEX(Rankings!C$2:'Rankings'!C$1149,MATCH(SMALL(Rankings!H$2:'Rankings'!H$1000,ROW()),Rankings!H$2:'Rankings'!H$1000,0))</f>
        <v>Mathias Wagner</v>
      </c>
      <c r="D476" t="str">
        <f>INDEX(Rankings!C$2:'Rankings'!C$1149,MATCH(SMALL(Rankings!H$2:'Rankings'!H$1000,ROW()),Rankings!H$2:'Rankings'!H$1000,0))</f>
        <v>Mathias Wagner</v>
      </c>
      <c r="G476" t="str">
        <f>INDEX(Rankings!C$2:'Rankings'!C$1149,MATCH(SMALL(Rankings!H$2:'Rankings'!H$1000,ROW()),Rankings!H$2:'Rankings'!H$1000,0))</f>
        <v>Mathias Wagner</v>
      </c>
    </row>
    <row r="477" spans="2:7" hidden="1" outlineLevel="1" x14ac:dyDescent="0.25">
      <c r="B477" t="str">
        <f>INDEX(Rankings!C$2:'Rankings'!C$1149,MATCH(SMALL(Rankings!H$2:'Rankings'!H$1000,ROW()),Rankings!H$2:'Rankings'!H$1000,0))</f>
        <v>Kimitoshi Murakami</v>
      </c>
      <c r="C477" t="str">
        <f>INDEX(Rankings!C$2:'Rankings'!C$1149,MATCH(SMALL(Rankings!H$2:'Rankings'!H$1000,ROW()),Rankings!H$2:'Rankings'!H$1000,0))</f>
        <v>Kimitoshi Murakami</v>
      </c>
      <c r="D477" t="str">
        <f>INDEX(Rankings!C$2:'Rankings'!C$1149,MATCH(SMALL(Rankings!H$2:'Rankings'!H$1000,ROW()),Rankings!H$2:'Rankings'!H$1000,0))</f>
        <v>Kimitoshi Murakami</v>
      </c>
      <c r="G477" t="str">
        <f>INDEX(Rankings!C$2:'Rankings'!C$1149,MATCH(SMALL(Rankings!H$2:'Rankings'!H$1000,ROW()),Rankings!H$2:'Rankings'!H$1000,0))</f>
        <v>Kimitoshi Murakami</v>
      </c>
    </row>
    <row r="478" spans="2:7" hidden="1" outlineLevel="1" x14ac:dyDescent="0.25">
      <c r="B478" t="str">
        <f>INDEX(Rankings!C$2:'Rankings'!C$1149,MATCH(SMALL(Rankings!H$2:'Rankings'!H$1000,ROW()),Rankings!H$2:'Rankings'!H$1000,0))</f>
        <v>Koichi Hirano</v>
      </c>
      <c r="C478" t="str">
        <f>INDEX(Rankings!C$2:'Rankings'!C$1149,MATCH(SMALL(Rankings!H$2:'Rankings'!H$1000,ROW()),Rankings!H$2:'Rankings'!H$1000,0))</f>
        <v>Koichi Hirano</v>
      </c>
      <c r="D478" t="str">
        <f>INDEX(Rankings!C$2:'Rankings'!C$1149,MATCH(SMALL(Rankings!H$2:'Rankings'!H$1000,ROW()),Rankings!H$2:'Rankings'!H$1000,0))</f>
        <v>Koichi Hirano</v>
      </c>
      <c r="G478" t="str">
        <f>INDEX(Rankings!C$2:'Rankings'!C$1149,MATCH(SMALL(Rankings!H$2:'Rankings'!H$1000,ROW()),Rankings!H$2:'Rankings'!H$1000,0))</f>
        <v>Koichi Hirano</v>
      </c>
    </row>
    <row r="479" spans="2:7" hidden="1" outlineLevel="1" x14ac:dyDescent="0.25">
      <c r="B479" t="str">
        <f>INDEX(Rankings!C$2:'Rankings'!C$1149,MATCH(SMALL(Rankings!H$2:'Rankings'!H$1000,ROW()),Rankings!H$2:'Rankings'!H$1000,0))</f>
        <v>Kolja Hannemann</v>
      </c>
      <c r="C479" t="str">
        <f>INDEX(Rankings!C$2:'Rankings'!C$1149,MATCH(SMALL(Rankings!H$2:'Rankings'!H$1000,ROW()),Rankings!H$2:'Rankings'!H$1000,0))</f>
        <v>Kolja Hannemann</v>
      </c>
      <c r="D479" t="str">
        <f>INDEX(Rankings!C$2:'Rankings'!C$1149,MATCH(SMALL(Rankings!H$2:'Rankings'!H$1000,ROW()),Rankings!H$2:'Rankings'!H$1000,0))</f>
        <v>Kolja Hannemann</v>
      </c>
      <c r="G479" t="str">
        <f>INDEX(Rankings!C$2:'Rankings'!C$1149,MATCH(SMALL(Rankings!H$2:'Rankings'!H$1000,ROW()),Rankings!H$2:'Rankings'!H$1000,0))</f>
        <v>Kolja Hannemann</v>
      </c>
    </row>
    <row r="480" spans="2:7" hidden="1" outlineLevel="1" x14ac:dyDescent="0.25">
      <c r="B480" t="str">
        <f>INDEX(Rankings!C$2:'Rankings'!C$1149,MATCH(SMALL(Rankings!H$2:'Rankings'!H$1000,ROW()),Rankings!H$2:'Rankings'!H$1000,0))</f>
        <v>Konrad Patris</v>
      </c>
      <c r="C480" t="str">
        <f>INDEX(Rankings!C$2:'Rankings'!C$1149,MATCH(SMALL(Rankings!H$2:'Rankings'!H$1000,ROW()),Rankings!H$2:'Rankings'!H$1000,0))</f>
        <v>Konrad Patris</v>
      </c>
      <c r="D480" t="str">
        <f>INDEX(Rankings!C$2:'Rankings'!C$1149,MATCH(SMALL(Rankings!H$2:'Rankings'!H$1000,ROW()),Rankings!H$2:'Rankings'!H$1000,0))</f>
        <v>Konrad Patris</v>
      </c>
      <c r="G480" t="str">
        <f>INDEX(Rankings!C$2:'Rankings'!C$1149,MATCH(SMALL(Rankings!H$2:'Rankings'!H$1000,ROW()),Rankings!H$2:'Rankings'!H$1000,0))</f>
        <v>Konrad Patris</v>
      </c>
    </row>
    <row r="481" spans="2:7" hidden="1" outlineLevel="1" x14ac:dyDescent="0.25">
      <c r="B481" t="str">
        <f>INDEX(Rankings!C$2:'Rankings'!C$1149,MATCH(SMALL(Rankings!H$2:'Rankings'!H$1000,ROW()),Rankings!H$2:'Rankings'!H$1000,0))</f>
        <v>Konstantin Patsalides</v>
      </c>
      <c r="C481" t="str">
        <f>INDEX(Rankings!C$2:'Rankings'!C$1149,MATCH(SMALL(Rankings!H$2:'Rankings'!H$1000,ROW()),Rankings!H$2:'Rankings'!H$1000,0))</f>
        <v>Konstantin Patsalides</v>
      </c>
      <c r="D481" t="str">
        <f>INDEX(Rankings!C$2:'Rankings'!C$1149,MATCH(SMALL(Rankings!H$2:'Rankings'!H$1000,ROW()),Rankings!H$2:'Rankings'!H$1000,0))</f>
        <v>Konstantin Patsalides</v>
      </c>
      <c r="G481" t="str">
        <f>INDEX(Rankings!C$2:'Rankings'!C$1149,MATCH(SMALL(Rankings!H$2:'Rankings'!H$1000,ROW()),Rankings!H$2:'Rankings'!H$1000,0))</f>
        <v>Konstantin Patsalides</v>
      </c>
    </row>
    <row r="482" spans="2:7" hidden="1" outlineLevel="1" x14ac:dyDescent="0.25">
      <c r="B482" t="str">
        <f>INDEX(Rankings!C$2:'Rankings'!C$1149,MATCH(SMALL(Rankings!H$2:'Rankings'!H$1000,ROW()),Rankings!H$2:'Rankings'!H$1000,0))</f>
        <v>Korneliusz Zagórski</v>
      </c>
      <c r="C482" t="str">
        <f>INDEX(Rankings!C$2:'Rankings'!C$1149,MATCH(SMALL(Rankings!H$2:'Rankings'!H$1000,ROW()),Rankings!H$2:'Rankings'!H$1000,0))</f>
        <v>Korneliusz Zagórski</v>
      </c>
      <c r="D482" t="str">
        <f>INDEX(Rankings!C$2:'Rankings'!C$1149,MATCH(SMALL(Rankings!H$2:'Rankings'!H$1000,ROW()),Rankings!H$2:'Rankings'!H$1000,0))</f>
        <v>Korneliusz Zagórski</v>
      </c>
      <c r="G482" t="str">
        <f>INDEX(Rankings!C$2:'Rankings'!C$1149,MATCH(SMALL(Rankings!H$2:'Rankings'!H$1000,ROW()),Rankings!H$2:'Rankings'!H$1000,0))</f>
        <v>Korneliusz Zagórski</v>
      </c>
    </row>
    <row r="483" spans="2:7" hidden="1" outlineLevel="1" x14ac:dyDescent="0.25">
      <c r="B483" t="str">
        <f>INDEX(Rankings!C$2:'Rankings'!C$1149,MATCH(SMALL(Rankings!H$2:'Rankings'!H$1000,ROW()),Rankings!H$2:'Rankings'!H$1000,0))</f>
        <v>Kristina Cahojova</v>
      </c>
      <c r="C483" t="str">
        <f>INDEX(Rankings!C$2:'Rankings'!C$1149,MATCH(SMALL(Rankings!H$2:'Rankings'!H$1000,ROW()),Rankings!H$2:'Rankings'!H$1000,0))</f>
        <v>Kristina Cahojova</v>
      </c>
      <c r="D483" t="str">
        <f>INDEX(Rankings!C$2:'Rankings'!C$1149,MATCH(SMALL(Rankings!H$2:'Rankings'!H$1000,ROW()),Rankings!H$2:'Rankings'!H$1000,0))</f>
        <v>Kristina Cahojova</v>
      </c>
      <c r="G483" t="str">
        <f>INDEX(Rankings!C$2:'Rankings'!C$1149,MATCH(SMALL(Rankings!H$2:'Rankings'!H$1000,ROW()),Rankings!H$2:'Rankings'!H$1000,0))</f>
        <v>Kristina Cahojova</v>
      </c>
    </row>
    <row r="484" spans="2:7" hidden="1" outlineLevel="1" x14ac:dyDescent="0.25">
      <c r="B484" t="str">
        <f>INDEX(Rankings!C$2:'Rankings'!C$1149,MATCH(SMALL(Rankings!H$2:'Rankings'!H$1000,ROW()),Rankings!H$2:'Rankings'!H$1000,0))</f>
        <v>Krystian Krysinski</v>
      </c>
      <c r="C484" t="str">
        <f>INDEX(Rankings!C$2:'Rankings'!C$1149,MATCH(SMALL(Rankings!H$2:'Rankings'!H$1000,ROW()),Rankings!H$2:'Rankings'!H$1000,0))</f>
        <v>Krystian Krysinski</v>
      </c>
      <c r="D484" t="str">
        <f>INDEX(Rankings!C$2:'Rankings'!C$1149,MATCH(SMALL(Rankings!H$2:'Rankings'!H$1000,ROW()),Rankings!H$2:'Rankings'!H$1000,0))</f>
        <v>Krystian Krysinski</v>
      </c>
      <c r="G484" t="str">
        <f>INDEX(Rankings!C$2:'Rankings'!C$1149,MATCH(SMALL(Rankings!H$2:'Rankings'!H$1000,ROW()),Rankings!H$2:'Rankings'!H$1000,0))</f>
        <v>Krystian Krysinski</v>
      </c>
    </row>
    <row r="485" spans="2:7" hidden="1" outlineLevel="1" x14ac:dyDescent="0.25">
      <c r="B485" t="str">
        <f>INDEX(Rankings!C$2:'Rankings'!C$1149,MATCH(SMALL(Rankings!H$2:'Rankings'!H$1000,ROW()),Rankings!H$2:'Rankings'!H$1000,0))</f>
        <v>Kurt Walter</v>
      </c>
      <c r="C485" t="str">
        <f>INDEX(Rankings!C$2:'Rankings'!C$1149,MATCH(SMALL(Rankings!H$2:'Rankings'!H$1000,ROW()),Rankings!H$2:'Rankings'!H$1000,0))</f>
        <v>Kurt Walter</v>
      </c>
      <c r="D485" t="str">
        <f>INDEX(Rankings!C$2:'Rankings'!C$1149,MATCH(SMALL(Rankings!H$2:'Rankings'!H$1000,ROW()),Rankings!H$2:'Rankings'!H$1000,0))</f>
        <v>Kurt Walter</v>
      </c>
      <c r="G485" t="str">
        <f>INDEX(Rankings!C$2:'Rankings'!C$1149,MATCH(SMALL(Rankings!H$2:'Rankings'!H$1000,ROW()),Rankings!H$2:'Rankings'!H$1000,0))</f>
        <v>Kurt Walter</v>
      </c>
    </row>
    <row r="486" spans="2:7" hidden="1" outlineLevel="1" x14ac:dyDescent="0.25">
      <c r="B486" t="str">
        <f>INDEX(Rankings!C$2:'Rankings'!C$1149,MATCH(SMALL(Rankings!H$2:'Rankings'!H$1000,ROW()),Rankings!H$2:'Rankings'!H$1000,0))</f>
        <v>Larry Hinkle</v>
      </c>
      <c r="C486" t="str">
        <f>INDEX(Rankings!C$2:'Rankings'!C$1149,MATCH(SMALL(Rankings!H$2:'Rankings'!H$1000,ROW()),Rankings!H$2:'Rankings'!H$1000,0))</f>
        <v>Larry Hinkle</v>
      </c>
      <c r="D486" t="str">
        <f>INDEX(Rankings!C$2:'Rankings'!C$1149,MATCH(SMALL(Rankings!H$2:'Rankings'!H$1000,ROW()),Rankings!H$2:'Rankings'!H$1000,0))</f>
        <v>Larry Hinkle</v>
      </c>
      <c r="G486" t="str">
        <f>INDEX(Rankings!C$2:'Rankings'!C$1149,MATCH(SMALL(Rankings!H$2:'Rankings'!H$1000,ROW()),Rankings!H$2:'Rankings'!H$1000,0))</f>
        <v>Larry Hinkle</v>
      </c>
    </row>
    <row r="487" spans="2:7" hidden="1" outlineLevel="1" x14ac:dyDescent="0.25">
      <c r="B487" t="str">
        <f>INDEX(Rankings!C$2:'Rankings'!C$1149,MATCH(SMALL(Rankings!H$2:'Rankings'!H$1000,ROW()),Rankings!H$2:'Rankings'!H$1000,0))</f>
        <v>Larry Imperiale</v>
      </c>
      <c r="C487" t="str">
        <f>INDEX(Rankings!C$2:'Rankings'!C$1149,MATCH(SMALL(Rankings!H$2:'Rankings'!H$1000,ROW()),Rankings!H$2:'Rankings'!H$1000,0))</f>
        <v>Larry Imperiale</v>
      </c>
      <c r="D487" t="str">
        <f>INDEX(Rankings!C$2:'Rankings'!C$1149,MATCH(SMALL(Rankings!H$2:'Rankings'!H$1000,ROW()),Rankings!H$2:'Rankings'!H$1000,0))</f>
        <v>Larry Imperiale</v>
      </c>
      <c r="G487" t="str">
        <f>INDEX(Rankings!C$2:'Rankings'!C$1149,MATCH(SMALL(Rankings!H$2:'Rankings'!H$1000,ROW()),Rankings!H$2:'Rankings'!H$1000,0))</f>
        <v>Larry Imperiale</v>
      </c>
    </row>
    <row r="488" spans="2:7" hidden="1" outlineLevel="1" x14ac:dyDescent="0.25">
      <c r="B488" t="str">
        <f>INDEX(Rankings!C$2:'Rankings'!C$1149,MATCH(SMALL(Rankings!H$2:'Rankings'!H$1000,ROW()),Rankings!H$2:'Rankings'!H$1000,0))</f>
        <v>Lars Neumann</v>
      </c>
      <c r="C488" t="str">
        <f>INDEX(Rankings!C$2:'Rankings'!C$1149,MATCH(SMALL(Rankings!H$2:'Rankings'!H$1000,ROW()),Rankings!H$2:'Rankings'!H$1000,0))</f>
        <v>Lars Neumann</v>
      </c>
      <c r="D488" t="str">
        <f>INDEX(Rankings!C$2:'Rankings'!C$1149,MATCH(SMALL(Rankings!H$2:'Rankings'!H$1000,ROW()),Rankings!H$2:'Rankings'!H$1000,0))</f>
        <v>Lars Neumann</v>
      </c>
      <c r="G488" t="str">
        <f>INDEX(Rankings!C$2:'Rankings'!C$1149,MATCH(SMALL(Rankings!H$2:'Rankings'!H$1000,ROW()),Rankings!H$2:'Rankings'!H$1000,0))</f>
        <v>Lars Neumann</v>
      </c>
    </row>
    <row r="489" spans="2:7" hidden="1" outlineLevel="1" x14ac:dyDescent="0.25">
      <c r="B489" t="str">
        <f>INDEX(Rankings!C$2:'Rankings'!C$1149,MATCH(SMALL(Rankings!H$2:'Rankings'!H$1000,ROW()),Rankings!H$2:'Rankings'!H$1000,0))</f>
        <v>Lasse Schwarze</v>
      </c>
      <c r="C489" t="str">
        <f>INDEX(Rankings!C$2:'Rankings'!C$1149,MATCH(SMALL(Rankings!H$2:'Rankings'!H$1000,ROW()),Rankings!H$2:'Rankings'!H$1000,0))</f>
        <v>Lasse Schwarze</v>
      </c>
      <c r="D489" t="str">
        <f>INDEX(Rankings!C$2:'Rankings'!C$1149,MATCH(SMALL(Rankings!H$2:'Rankings'!H$1000,ROW()),Rankings!H$2:'Rankings'!H$1000,0))</f>
        <v>Lasse Schwarze</v>
      </c>
      <c r="G489" t="str">
        <f>INDEX(Rankings!C$2:'Rankings'!C$1149,MATCH(SMALL(Rankings!H$2:'Rankings'!H$1000,ROW()),Rankings!H$2:'Rankings'!H$1000,0))</f>
        <v>Lasse Schwarze</v>
      </c>
    </row>
    <row r="490" spans="2:7" hidden="1" outlineLevel="1" x14ac:dyDescent="0.25">
      <c r="B490" t="str">
        <f>INDEX(Rankings!C$2:'Rankings'!C$1149,MATCH(SMALL(Rankings!H$2:'Rankings'!H$1000,ROW()),Rankings!H$2:'Rankings'!H$1000,0))</f>
        <v>Lauren Braaksma</v>
      </c>
      <c r="C490" t="str">
        <f>INDEX(Rankings!C$2:'Rankings'!C$1149,MATCH(SMALL(Rankings!H$2:'Rankings'!H$1000,ROW()),Rankings!H$2:'Rankings'!H$1000,0))</f>
        <v>Lauren Braaksma</v>
      </c>
      <c r="D490" t="str">
        <f>INDEX(Rankings!C$2:'Rankings'!C$1149,MATCH(SMALL(Rankings!H$2:'Rankings'!H$1000,ROW()),Rankings!H$2:'Rankings'!H$1000,0))</f>
        <v>Lauren Braaksma</v>
      </c>
      <c r="G490" t="str">
        <f>INDEX(Rankings!C$2:'Rankings'!C$1149,MATCH(SMALL(Rankings!H$2:'Rankings'!H$1000,ROW()),Rankings!H$2:'Rankings'!H$1000,0))</f>
        <v>Lauren Braaksma</v>
      </c>
    </row>
    <row r="491" spans="2:7" hidden="1" outlineLevel="1" x14ac:dyDescent="0.25">
      <c r="B491" t="str">
        <f>INDEX(Rankings!C$2:'Rankings'!C$1149,MATCH(SMALL(Rankings!H$2:'Rankings'!H$1000,ROW()),Rankings!H$2:'Rankings'!H$1000,0))</f>
        <v>Laurent Mess</v>
      </c>
      <c r="C491" t="str">
        <f>INDEX(Rankings!C$2:'Rankings'!C$1149,MATCH(SMALL(Rankings!H$2:'Rankings'!H$1000,ROW()),Rankings!H$2:'Rankings'!H$1000,0))</f>
        <v>Laurent Mess</v>
      </c>
      <c r="D491" t="str">
        <f>INDEX(Rankings!C$2:'Rankings'!C$1149,MATCH(SMALL(Rankings!H$2:'Rankings'!H$1000,ROW()),Rankings!H$2:'Rankings'!H$1000,0))</f>
        <v>Laurent Mess</v>
      </c>
      <c r="G491" t="str">
        <f>INDEX(Rankings!C$2:'Rankings'!C$1149,MATCH(SMALL(Rankings!H$2:'Rankings'!H$1000,ROW()),Rankings!H$2:'Rankings'!H$1000,0))</f>
        <v>Laurent Mess</v>
      </c>
    </row>
    <row r="492" spans="2:7" hidden="1" outlineLevel="1" x14ac:dyDescent="0.25">
      <c r="B492" t="str">
        <f>INDEX(Rankings!C$2:'Rankings'!C$1149,MATCH(SMALL(Rankings!H$2:'Rankings'!H$1000,ROW()),Rankings!H$2:'Rankings'!H$1000,0))</f>
        <v>Willeye Williams</v>
      </c>
      <c r="C492" t="str">
        <f>INDEX(Rankings!C$2:'Rankings'!C$1149,MATCH(SMALL(Rankings!H$2:'Rankings'!H$1000,ROW()),Rankings!H$2:'Rankings'!H$1000,0))</f>
        <v>Willeye Williams</v>
      </c>
      <c r="D492" t="str">
        <f>INDEX(Rankings!C$2:'Rankings'!C$1149,MATCH(SMALL(Rankings!H$2:'Rankings'!H$1000,ROW()),Rankings!H$2:'Rankings'!H$1000,0))</f>
        <v>Willeye Williams</v>
      </c>
      <c r="G492" t="str">
        <f>INDEX(Rankings!C$2:'Rankings'!C$1149,MATCH(SMALL(Rankings!H$2:'Rankings'!H$1000,ROW()),Rankings!H$2:'Rankings'!H$1000,0))</f>
        <v>Willeye Williams</v>
      </c>
    </row>
    <row r="493" spans="2:7" hidden="1" outlineLevel="1" x14ac:dyDescent="0.25">
      <c r="B493" t="str">
        <f>INDEX(Rankings!C$2:'Rankings'!C$1149,MATCH(SMALL(Rankings!H$2:'Rankings'!H$1000,ROW()),Rankings!H$2:'Rankings'!H$1000,0))</f>
        <v>Liliana Cruz</v>
      </c>
      <c r="C493" t="str">
        <f>INDEX(Rankings!C$2:'Rankings'!C$1149,MATCH(SMALL(Rankings!H$2:'Rankings'!H$1000,ROW()),Rankings!H$2:'Rankings'!H$1000,0))</f>
        <v>Liliana Cruz</v>
      </c>
      <c r="D493" t="str">
        <f>INDEX(Rankings!C$2:'Rankings'!C$1149,MATCH(SMALL(Rankings!H$2:'Rankings'!H$1000,ROW()),Rankings!H$2:'Rankings'!H$1000,0))</f>
        <v>Liliana Cruz</v>
      </c>
      <c r="G493" t="str">
        <f>INDEX(Rankings!C$2:'Rankings'!C$1149,MATCH(SMALL(Rankings!H$2:'Rankings'!H$1000,ROW()),Rankings!H$2:'Rankings'!H$1000,0))</f>
        <v>Liliana Cruz</v>
      </c>
    </row>
    <row r="494" spans="2:7" hidden="1" outlineLevel="1" x14ac:dyDescent="0.25">
      <c r="B494" t="str">
        <f>INDEX(Rankings!C$2:'Rankings'!C$1149,MATCH(SMALL(Rankings!H$2:'Rankings'!H$1000,ROW()),Rankings!H$2:'Rankings'!H$1000,0))</f>
        <v>Lilla Major</v>
      </c>
      <c r="C494" t="str">
        <f>INDEX(Rankings!C$2:'Rankings'!C$1149,MATCH(SMALL(Rankings!H$2:'Rankings'!H$1000,ROW()),Rankings!H$2:'Rankings'!H$1000,0))</f>
        <v>Lilla Major</v>
      </c>
      <c r="D494" t="str">
        <f>INDEX(Rankings!C$2:'Rankings'!C$1149,MATCH(SMALL(Rankings!H$2:'Rankings'!H$1000,ROW()),Rankings!H$2:'Rankings'!H$1000,0))</f>
        <v>Lilla Major</v>
      </c>
      <c r="G494" t="str">
        <f>INDEX(Rankings!C$2:'Rankings'!C$1149,MATCH(SMALL(Rankings!H$2:'Rankings'!H$1000,ROW()),Rankings!H$2:'Rankings'!H$1000,0))</f>
        <v>Lilla Major</v>
      </c>
    </row>
    <row r="495" spans="2:7" hidden="1" outlineLevel="1" x14ac:dyDescent="0.25">
      <c r="B495" t="str">
        <f>INDEX(Rankings!C$2:'Rankings'!C$1149,MATCH(SMALL(Rankings!H$2:'Rankings'!H$1000,ROW()),Rankings!H$2:'Rankings'!H$1000,0))</f>
        <v>Lina Dittrich</v>
      </c>
      <c r="C495" t="str">
        <f>INDEX(Rankings!C$2:'Rankings'!C$1149,MATCH(SMALL(Rankings!H$2:'Rankings'!H$1000,ROW()),Rankings!H$2:'Rankings'!H$1000,0))</f>
        <v>Lina Dittrich</v>
      </c>
      <c r="D495" t="str">
        <f>INDEX(Rankings!C$2:'Rankings'!C$1149,MATCH(SMALL(Rankings!H$2:'Rankings'!H$1000,ROW()),Rankings!H$2:'Rankings'!H$1000,0))</f>
        <v>Lina Dittrich</v>
      </c>
      <c r="G495" t="str">
        <f>INDEX(Rankings!C$2:'Rankings'!C$1149,MATCH(SMALL(Rankings!H$2:'Rankings'!H$1000,ROW()),Rankings!H$2:'Rankings'!H$1000,0))</f>
        <v>Lina Dittrich</v>
      </c>
    </row>
    <row r="496" spans="2:7" hidden="1" outlineLevel="1" x14ac:dyDescent="0.25">
      <c r="B496" t="str">
        <f>INDEX(Rankings!C$2:'Rankings'!C$1149,MATCH(SMALL(Rankings!H$2:'Rankings'!H$1000,ROW()),Rankings!H$2:'Rankings'!H$1000,0))</f>
        <v>Linda Torngren</v>
      </c>
      <c r="C496" t="str">
        <f>INDEX(Rankings!C$2:'Rankings'!C$1149,MATCH(SMALL(Rankings!H$2:'Rankings'!H$1000,ROW()),Rankings!H$2:'Rankings'!H$1000,0))</f>
        <v>Linda Torngren</v>
      </c>
      <c r="D496" t="str">
        <f>INDEX(Rankings!C$2:'Rankings'!C$1149,MATCH(SMALL(Rankings!H$2:'Rankings'!H$1000,ROW()),Rankings!H$2:'Rankings'!H$1000,0))</f>
        <v>Linda Torngren</v>
      </c>
      <c r="G496" t="str">
        <f>INDEX(Rankings!C$2:'Rankings'!C$1149,MATCH(SMALL(Rankings!H$2:'Rankings'!H$1000,ROW()),Rankings!H$2:'Rankings'!H$1000,0))</f>
        <v>Linda Torngren</v>
      </c>
    </row>
    <row r="497" spans="2:7" hidden="1" outlineLevel="1" x14ac:dyDescent="0.25">
      <c r="B497" t="str">
        <f>INDEX(Rankings!C$2:'Rankings'!C$1149,MATCH(SMALL(Rankings!H$2:'Rankings'!H$1000,ROW()),Rankings!H$2:'Rankings'!H$1000,0))</f>
        <v>Lindsay Sweeten</v>
      </c>
      <c r="C497" t="str">
        <f>INDEX(Rankings!C$2:'Rankings'!C$1149,MATCH(SMALL(Rankings!H$2:'Rankings'!H$1000,ROW()),Rankings!H$2:'Rankings'!H$1000,0))</f>
        <v>Lindsay Sweeten</v>
      </c>
      <c r="D497" t="str">
        <f>INDEX(Rankings!C$2:'Rankings'!C$1149,MATCH(SMALL(Rankings!H$2:'Rankings'!H$1000,ROW()),Rankings!H$2:'Rankings'!H$1000,0))</f>
        <v>Lindsay Sweeten</v>
      </c>
      <c r="G497" t="str">
        <f>INDEX(Rankings!C$2:'Rankings'!C$1149,MATCH(SMALL(Rankings!H$2:'Rankings'!H$1000,ROW()),Rankings!H$2:'Rankings'!H$1000,0))</f>
        <v>Lindsay Sweeten</v>
      </c>
    </row>
    <row r="498" spans="2:7" hidden="1" outlineLevel="1" x14ac:dyDescent="0.25">
      <c r="B498" t="str">
        <f>INDEX(Rankings!C$2:'Rankings'!C$1149,MATCH(SMALL(Rankings!H$2:'Rankings'!H$1000,ROW()),Rankings!H$2:'Rankings'!H$1000,0))</f>
        <v>Lisa Hunrichs</v>
      </c>
      <c r="C498" t="str">
        <f>INDEX(Rankings!C$2:'Rankings'!C$1149,MATCH(SMALL(Rankings!H$2:'Rankings'!H$1000,ROW()),Rankings!H$2:'Rankings'!H$1000,0))</f>
        <v>Lisa Hunrichs</v>
      </c>
      <c r="D498" t="str">
        <f>INDEX(Rankings!C$2:'Rankings'!C$1149,MATCH(SMALL(Rankings!H$2:'Rankings'!H$1000,ROW()),Rankings!H$2:'Rankings'!H$1000,0))</f>
        <v>Lisa Hunrichs</v>
      </c>
      <c r="G498" t="str">
        <f>INDEX(Rankings!C$2:'Rankings'!C$1149,MATCH(SMALL(Rankings!H$2:'Rankings'!H$1000,ROW()),Rankings!H$2:'Rankings'!H$1000,0))</f>
        <v>Lisa Hunrichs</v>
      </c>
    </row>
    <row r="499" spans="2:7" hidden="1" outlineLevel="1" x14ac:dyDescent="0.25">
      <c r="B499" t="str">
        <f>INDEX(Rankings!C$2:'Rankings'!C$1149,MATCH(SMALL(Rankings!H$2:'Rankings'!H$1000,ROW()),Rankings!H$2:'Rankings'!H$1000,0))</f>
        <v>Lorenzo Apriani</v>
      </c>
      <c r="C499" t="str">
        <f>INDEX(Rankings!C$2:'Rankings'!C$1149,MATCH(SMALL(Rankings!H$2:'Rankings'!H$1000,ROW()),Rankings!H$2:'Rankings'!H$1000,0))</f>
        <v>Lorenzo Apriani</v>
      </c>
      <c r="D499" t="str">
        <f>INDEX(Rankings!C$2:'Rankings'!C$1149,MATCH(SMALL(Rankings!H$2:'Rankings'!H$1000,ROW()),Rankings!H$2:'Rankings'!H$1000,0))</f>
        <v>Lorenzo Apriani</v>
      </c>
      <c r="G499" t="str">
        <f>INDEX(Rankings!C$2:'Rankings'!C$1149,MATCH(SMALL(Rankings!H$2:'Rankings'!H$1000,ROW()),Rankings!H$2:'Rankings'!H$1000,0))</f>
        <v>Lorenzo Apriani</v>
      </c>
    </row>
    <row r="500" spans="2:7" hidden="1" outlineLevel="1" x14ac:dyDescent="0.25">
      <c r="B500" t="str">
        <f>INDEX(Rankings!C$2:'Rankings'!C$1149,MATCH(SMALL(Rankings!H$2:'Rankings'!H$1000,ROW()),Rankings!H$2:'Rankings'!H$1000,0))</f>
        <v>Lorenzo Modarelli</v>
      </c>
      <c r="C500" t="str">
        <f>INDEX(Rankings!C$2:'Rankings'!C$1149,MATCH(SMALL(Rankings!H$2:'Rankings'!H$1000,ROW()),Rankings!H$2:'Rankings'!H$1000,0))</f>
        <v>Lorenzo Modarelli</v>
      </c>
      <c r="D500" t="str">
        <f>INDEX(Rankings!C$2:'Rankings'!C$1149,MATCH(SMALL(Rankings!H$2:'Rankings'!H$1000,ROW()),Rankings!H$2:'Rankings'!H$1000,0))</f>
        <v>Lorenzo Modarelli</v>
      </c>
      <c r="G500" t="str">
        <f>INDEX(Rankings!C$2:'Rankings'!C$1149,MATCH(SMALL(Rankings!H$2:'Rankings'!H$1000,ROW()),Rankings!H$2:'Rankings'!H$1000,0))</f>
        <v>Lorenzo Modarelli</v>
      </c>
    </row>
    <row r="501" spans="2:7" hidden="1" outlineLevel="1" x14ac:dyDescent="0.25">
      <c r="B501" t="str">
        <f>INDEX(Rankings!C$2:'Rankings'!C$1149,MATCH(SMALL(Rankings!H$2:'Rankings'!H$1000,ROW()),Rankings!H$2:'Rankings'!H$1000,0))</f>
        <v>Lorenzo Sforza</v>
      </c>
      <c r="C501" t="str">
        <f>INDEX(Rankings!C$2:'Rankings'!C$1149,MATCH(SMALL(Rankings!H$2:'Rankings'!H$1000,ROW()),Rankings!H$2:'Rankings'!H$1000,0))</f>
        <v>Lorenzo Sforza</v>
      </c>
      <c r="D501" t="str">
        <f>INDEX(Rankings!C$2:'Rankings'!C$1149,MATCH(SMALL(Rankings!H$2:'Rankings'!H$1000,ROW()),Rankings!H$2:'Rankings'!H$1000,0))</f>
        <v>Lorenzo Sforza</v>
      </c>
      <c r="G501" t="str">
        <f>INDEX(Rankings!C$2:'Rankings'!C$1149,MATCH(SMALL(Rankings!H$2:'Rankings'!H$1000,ROW()),Rankings!H$2:'Rankings'!H$1000,0))</f>
        <v>Lorenzo Sforza</v>
      </c>
    </row>
    <row r="502" spans="2:7" hidden="1" outlineLevel="1" x14ac:dyDescent="0.25">
      <c r="B502" t="str">
        <f>INDEX(Rankings!C$2:'Rankings'!C$1149,MATCH(SMALL(Rankings!H$2:'Rankings'!H$1000,ROW()),Rankings!H$2:'Rankings'!H$1000,0))</f>
        <v>Lorenzo Telo</v>
      </c>
      <c r="C502" t="str">
        <f>INDEX(Rankings!C$2:'Rankings'!C$1149,MATCH(SMALL(Rankings!H$2:'Rankings'!H$1000,ROW()),Rankings!H$2:'Rankings'!H$1000,0))</f>
        <v>Lorenzo Telo</v>
      </c>
      <c r="D502" t="str">
        <f>INDEX(Rankings!C$2:'Rankings'!C$1149,MATCH(SMALL(Rankings!H$2:'Rankings'!H$1000,ROW()),Rankings!H$2:'Rankings'!H$1000,0))</f>
        <v>Lorenzo Telo</v>
      </c>
      <c r="G502" t="str">
        <f>INDEX(Rankings!C$2:'Rankings'!C$1149,MATCH(SMALL(Rankings!H$2:'Rankings'!H$1000,ROW()),Rankings!H$2:'Rankings'!H$1000,0))</f>
        <v>Lorenzo Telo</v>
      </c>
    </row>
    <row r="503" spans="2:7" hidden="1" outlineLevel="1" x14ac:dyDescent="0.25">
      <c r="B503" t="str">
        <f>INDEX(Rankings!C$2:'Rankings'!C$1149,MATCH(SMALL(Rankings!H$2:'Rankings'!H$1000,ROW()),Rankings!H$2:'Rankings'!H$1000,0))</f>
        <v>Lori Daniels</v>
      </c>
      <c r="C503" t="str">
        <f>INDEX(Rankings!C$2:'Rankings'!C$1149,MATCH(SMALL(Rankings!H$2:'Rankings'!H$1000,ROW()),Rankings!H$2:'Rankings'!H$1000,0))</f>
        <v>Lori Daniels</v>
      </c>
      <c r="D503" t="str">
        <f>INDEX(Rankings!C$2:'Rankings'!C$1149,MATCH(SMALL(Rankings!H$2:'Rankings'!H$1000,ROW()),Rankings!H$2:'Rankings'!H$1000,0))</f>
        <v>Lori Daniels</v>
      </c>
      <c r="G503" t="str">
        <f>INDEX(Rankings!C$2:'Rankings'!C$1149,MATCH(SMALL(Rankings!H$2:'Rankings'!H$1000,ROW()),Rankings!H$2:'Rankings'!H$1000,0))</f>
        <v>Lori Daniels</v>
      </c>
    </row>
    <row r="504" spans="2:7" hidden="1" outlineLevel="1" x14ac:dyDescent="0.25">
      <c r="B504" t="str">
        <f>INDEX(Rankings!C$2:'Rankings'!C$1149,MATCH(SMALL(Rankings!H$2:'Rankings'!H$1000,ROW()),Rankings!H$2:'Rankings'!H$1000,0))</f>
        <v>Lou Sumrall</v>
      </c>
      <c r="C504" t="str">
        <f>INDEX(Rankings!C$2:'Rankings'!C$1149,MATCH(SMALL(Rankings!H$2:'Rankings'!H$1000,ROW()),Rankings!H$2:'Rankings'!H$1000,0))</f>
        <v>Lou Sumrall</v>
      </c>
      <c r="D504" t="str">
        <f>INDEX(Rankings!C$2:'Rankings'!C$1149,MATCH(SMALL(Rankings!H$2:'Rankings'!H$1000,ROW()),Rankings!H$2:'Rankings'!H$1000,0))</f>
        <v>Lou Sumrall</v>
      </c>
      <c r="G504" t="str">
        <f>INDEX(Rankings!C$2:'Rankings'!C$1149,MATCH(SMALL(Rankings!H$2:'Rankings'!H$1000,ROW()),Rankings!H$2:'Rankings'!H$1000,0))</f>
        <v>Lou Sumrall</v>
      </c>
    </row>
    <row r="505" spans="2:7" hidden="1" outlineLevel="1" x14ac:dyDescent="0.25">
      <c r="B505" t="str">
        <f>INDEX(Rankings!C$2:'Rankings'!C$1149,MATCH(SMALL(Rankings!H$2:'Rankings'!H$1000,ROW()),Rankings!H$2:'Rankings'!H$1000,0))</f>
        <v>Kana Yamamoto</v>
      </c>
      <c r="C505" t="str">
        <f>INDEX(Rankings!C$2:'Rankings'!C$1149,MATCH(SMALL(Rankings!H$2:'Rankings'!H$1000,ROW()),Rankings!H$2:'Rankings'!H$1000,0))</f>
        <v>Kana Yamamoto</v>
      </c>
      <c r="D505" t="str">
        <f>INDEX(Rankings!C$2:'Rankings'!C$1149,MATCH(SMALL(Rankings!H$2:'Rankings'!H$1000,ROW()),Rankings!H$2:'Rankings'!H$1000,0))</f>
        <v>Kana Yamamoto</v>
      </c>
      <c r="G505" t="str">
        <f>INDEX(Rankings!C$2:'Rankings'!C$1149,MATCH(SMALL(Rankings!H$2:'Rankings'!H$1000,ROW()),Rankings!H$2:'Rankings'!H$1000,0))</f>
        <v>Kana Yamamoto</v>
      </c>
    </row>
    <row r="506" spans="2:7" hidden="1" outlineLevel="1" x14ac:dyDescent="0.25">
      <c r="B506" t="str">
        <f>INDEX(Rankings!C$2:'Rankings'!C$1149,MATCH(SMALL(Rankings!H$2:'Rankings'!H$1000,ROW()),Rankings!H$2:'Rankings'!H$1000,0))</f>
        <v>Luca Boehler</v>
      </c>
      <c r="C506" t="str">
        <f>INDEX(Rankings!C$2:'Rankings'!C$1149,MATCH(SMALL(Rankings!H$2:'Rankings'!H$1000,ROW()),Rankings!H$2:'Rankings'!H$1000,0))</f>
        <v>Luca Boehler</v>
      </c>
      <c r="D506" t="str">
        <f>INDEX(Rankings!C$2:'Rankings'!C$1149,MATCH(SMALL(Rankings!H$2:'Rankings'!H$1000,ROW()),Rankings!H$2:'Rankings'!H$1000,0))</f>
        <v>Luca Boehler</v>
      </c>
      <c r="G506" t="str">
        <f>INDEX(Rankings!C$2:'Rankings'!C$1149,MATCH(SMALL(Rankings!H$2:'Rankings'!H$1000,ROW()),Rankings!H$2:'Rankings'!H$1000,0))</f>
        <v>Luca Boehler</v>
      </c>
    </row>
    <row r="507" spans="2:7" hidden="1" outlineLevel="1" x14ac:dyDescent="0.25">
      <c r="B507" t="str">
        <f>INDEX(Rankings!C$2:'Rankings'!C$1149,MATCH(SMALL(Rankings!H$2:'Rankings'!H$1000,ROW()),Rankings!H$2:'Rankings'!H$1000,0))</f>
        <v>Luca Mazzucato</v>
      </c>
      <c r="C507" t="str">
        <f>INDEX(Rankings!C$2:'Rankings'!C$1149,MATCH(SMALL(Rankings!H$2:'Rankings'!H$1000,ROW()),Rankings!H$2:'Rankings'!H$1000,0))</f>
        <v>Luca Mazzucato</v>
      </c>
      <c r="D507" t="str">
        <f>INDEX(Rankings!C$2:'Rankings'!C$1149,MATCH(SMALL(Rankings!H$2:'Rankings'!H$1000,ROW()),Rankings!H$2:'Rankings'!H$1000,0))</f>
        <v>Luca Mazzucato</v>
      </c>
      <c r="G507" t="str">
        <f>INDEX(Rankings!C$2:'Rankings'!C$1149,MATCH(SMALL(Rankings!H$2:'Rankings'!H$1000,ROW()),Rankings!H$2:'Rankings'!H$1000,0))</f>
        <v>Luca Mazzucato</v>
      </c>
    </row>
    <row r="508" spans="2:7" hidden="1" outlineLevel="1" x14ac:dyDescent="0.25">
      <c r="B508" t="str">
        <f>INDEX(Rankings!C$2:'Rankings'!C$1149,MATCH(SMALL(Rankings!H$2:'Rankings'!H$1000,ROW()),Rankings!H$2:'Rankings'!H$1000,0))</f>
        <v>Luca Medri</v>
      </c>
      <c r="C508" t="str">
        <f>INDEX(Rankings!C$2:'Rankings'!C$1149,MATCH(SMALL(Rankings!H$2:'Rankings'!H$1000,ROW()),Rankings!H$2:'Rankings'!H$1000,0))</f>
        <v>Luca Medri</v>
      </c>
      <c r="D508" t="str">
        <f>INDEX(Rankings!C$2:'Rankings'!C$1149,MATCH(SMALL(Rankings!H$2:'Rankings'!H$1000,ROW()),Rankings!H$2:'Rankings'!H$1000,0))</f>
        <v>Luca Medri</v>
      </c>
      <c r="G508" t="str">
        <f>INDEX(Rankings!C$2:'Rankings'!C$1149,MATCH(SMALL(Rankings!H$2:'Rankings'!H$1000,ROW()),Rankings!H$2:'Rankings'!H$1000,0))</f>
        <v>Luca Medri</v>
      </c>
    </row>
    <row r="509" spans="2:7" hidden="1" outlineLevel="1" x14ac:dyDescent="0.25">
      <c r="B509" t="str">
        <f>INDEX(Rankings!C$2:'Rankings'!C$1149,MATCH(SMALL(Rankings!H$2:'Rankings'!H$1000,ROW()),Rankings!H$2:'Rankings'!H$1000,0))</f>
        <v>Luca Muntan</v>
      </c>
      <c r="C509" t="str">
        <f>INDEX(Rankings!C$2:'Rankings'!C$1149,MATCH(SMALL(Rankings!H$2:'Rankings'!H$1000,ROW()),Rankings!H$2:'Rankings'!H$1000,0))</f>
        <v>Luca Muntan</v>
      </c>
      <c r="D509" t="str">
        <f>INDEX(Rankings!C$2:'Rankings'!C$1149,MATCH(SMALL(Rankings!H$2:'Rankings'!H$1000,ROW()),Rankings!H$2:'Rankings'!H$1000,0))</f>
        <v>Luca Muntan</v>
      </c>
      <c r="G509" t="str">
        <f>INDEX(Rankings!C$2:'Rankings'!C$1149,MATCH(SMALL(Rankings!H$2:'Rankings'!H$1000,ROW()),Rankings!H$2:'Rankings'!H$1000,0))</f>
        <v>Luca Muntan</v>
      </c>
    </row>
    <row r="510" spans="2:7" hidden="1" outlineLevel="1" x14ac:dyDescent="0.25">
      <c r="B510" t="str">
        <f>INDEX(Rankings!C$2:'Rankings'!C$1149,MATCH(SMALL(Rankings!H$2:'Rankings'!H$1000,ROW()),Rankings!H$2:'Rankings'!H$1000,0))</f>
        <v>Luca Sanso</v>
      </c>
      <c r="C510" t="str">
        <f>INDEX(Rankings!C$2:'Rankings'!C$1149,MATCH(SMALL(Rankings!H$2:'Rankings'!H$1000,ROW()),Rankings!H$2:'Rankings'!H$1000,0))</f>
        <v>Luca Sanso</v>
      </c>
      <c r="D510" t="str">
        <f>INDEX(Rankings!C$2:'Rankings'!C$1149,MATCH(SMALL(Rankings!H$2:'Rankings'!H$1000,ROW()),Rankings!H$2:'Rankings'!H$1000,0))</f>
        <v>Luca Sanso</v>
      </c>
      <c r="G510" t="str">
        <f>INDEX(Rankings!C$2:'Rankings'!C$1149,MATCH(SMALL(Rankings!H$2:'Rankings'!H$1000,ROW()),Rankings!H$2:'Rankings'!H$1000,0))</f>
        <v>Luca Sanso</v>
      </c>
    </row>
    <row r="511" spans="2:7" hidden="1" outlineLevel="1" x14ac:dyDescent="0.25">
      <c r="B511" t="str">
        <f>INDEX(Rankings!C$2:'Rankings'!C$1149,MATCH(SMALL(Rankings!H$2:'Rankings'!H$1000,ROW()),Rankings!H$2:'Rankings'!H$1000,0))</f>
        <v>Luca Trotta</v>
      </c>
      <c r="C511" t="str">
        <f>INDEX(Rankings!C$2:'Rankings'!C$1149,MATCH(SMALL(Rankings!H$2:'Rankings'!H$1000,ROW()),Rankings!H$2:'Rankings'!H$1000,0))</f>
        <v>Luca Trotta</v>
      </c>
      <c r="D511" t="str">
        <f>INDEX(Rankings!C$2:'Rankings'!C$1149,MATCH(SMALL(Rankings!H$2:'Rankings'!H$1000,ROW()),Rankings!H$2:'Rankings'!H$1000,0))</f>
        <v>Luca Trotta</v>
      </c>
      <c r="G511" t="str">
        <f>INDEX(Rankings!C$2:'Rankings'!C$1149,MATCH(SMALL(Rankings!H$2:'Rankings'!H$1000,ROW()),Rankings!H$2:'Rankings'!H$1000,0))</f>
        <v>Luca Trotta</v>
      </c>
    </row>
    <row r="512" spans="2:7" hidden="1" outlineLevel="1" x14ac:dyDescent="0.25">
      <c r="B512" t="str">
        <f>INDEX(Rankings!C$2:'Rankings'!C$1149,MATCH(SMALL(Rankings!H$2:'Rankings'!H$1000,ROW()),Rankings!H$2:'Rankings'!H$1000,0))</f>
        <v>Lucie Plevova</v>
      </c>
      <c r="C512" t="str">
        <f>INDEX(Rankings!C$2:'Rankings'!C$1149,MATCH(SMALL(Rankings!H$2:'Rankings'!H$1000,ROW()),Rankings!H$2:'Rankings'!H$1000,0))</f>
        <v>Lucie Plevova</v>
      </c>
      <c r="D512" t="str">
        <f>INDEX(Rankings!C$2:'Rankings'!C$1149,MATCH(SMALL(Rankings!H$2:'Rankings'!H$1000,ROW()),Rankings!H$2:'Rankings'!H$1000,0))</f>
        <v>Lucie Plevova</v>
      </c>
      <c r="G512" t="str">
        <f>INDEX(Rankings!C$2:'Rankings'!C$1149,MATCH(SMALL(Rankings!H$2:'Rankings'!H$1000,ROW()),Rankings!H$2:'Rankings'!H$1000,0))</f>
        <v>Lucie Plevova</v>
      </c>
    </row>
    <row r="513" spans="2:7" hidden="1" outlineLevel="1" x14ac:dyDescent="0.25">
      <c r="B513" t="str">
        <f>INDEX(Rankings!C$2:'Rankings'!C$1149,MATCH(SMALL(Rankings!H$2:'Rankings'!H$1000,ROW()),Rankings!H$2:'Rankings'!H$1000,0))</f>
        <v>Luigina Tasini</v>
      </c>
      <c r="C513" t="str">
        <f>INDEX(Rankings!C$2:'Rankings'!C$1149,MATCH(SMALL(Rankings!H$2:'Rankings'!H$1000,ROW()),Rankings!H$2:'Rankings'!H$1000,0))</f>
        <v>Luigina Tasini</v>
      </c>
      <c r="D513" t="str">
        <f>INDEX(Rankings!C$2:'Rankings'!C$1149,MATCH(SMALL(Rankings!H$2:'Rankings'!H$1000,ROW()),Rankings!H$2:'Rankings'!H$1000,0))</f>
        <v>Luigina Tasini</v>
      </c>
      <c r="G513" t="str">
        <f>INDEX(Rankings!C$2:'Rankings'!C$1149,MATCH(SMALL(Rankings!H$2:'Rankings'!H$1000,ROW()),Rankings!H$2:'Rankings'!H$1000,0))</f>
        <v>Luigina Tasini</v>
      </c>
    </row>
    <row r="514" spans="2:7" hidden="1" outlineLevel="1" x14ac:dyDescent="0.25">
      <c r="B514" t="str">
        <f>INDEX(Rankings!C$2:'Rankings'!C$1149,MATCH(SMALL(Rankings!H$2:'Rankings'!H$1000,ROW()),Rankings!H$2:'Rankings'!H$1000,0))</f>
        <v>Lukas Lacina</v>
      </c>
      <c r="C514" t="str">
        <f>INDEX(Rankings!C$2:'Rankings'!C$1149,MATCH(SMALL(Rankings!H$2:'Rankings'!H$1000,ROW()),Rankings!H$2:'Rankings'!H$1000,0))</f>
        <v>Lukas Lacina</v>
      </c>
      <c r="D514" t="str">
        <f>INDEX(Rankings!C$2:'Rankings'!C$1149,MATCH(SMALL(Rankings!H$2:'Rankings'!H$1000,ROW()),Rankings!H$2:'Rankings'!H$1000,0))</f>
        <v>Lukas Lacina</v>
      </c>
      <c r="G514" t="str">
        <f>INDEX(Rankings!C$2:'Rankings'!C$1149,MATCH(SMALL(Rankings!H$2:'Rankings'!H$1000,ROW()),Rankings!H$2:'Rankings'!H$1000,0))</f>
        <v>Lukas Lacina</v>
      </c>
    </row>
    <row r="515" spans="2:7" hidden="1" outlineLevel="1" x14ac:dyDescent="0.25">
      <c r="B515" t="str">
        <f>INDEX(Rankings!C$2:'Rankings'!C$1149,MATCH(SMALL(Rankings!H$2:'Rankings'!H$1000,ROW()),Rankings!H$2:'Rankings'!H$1000,0))</f>
        <v>Lukas Prokop</v>
      </c>
      <c r="C515" t="str">
        <f>INDEX(Rankings!C$2:'Rankings'!C$1149,MATCH(SMALL(Rankings!H$2:'Rankings'!H$1000,ROW()),Rankings!H$2:'Rankings'!H$1000,0))</f>
        <v>Lukas Prokop</v>
      </c>
      <c r="D515" t="str">
        <f>INDEX(Rankings!C$2:'Rankings'!C$1149,MATCH(SMALL(Rankings!H$2:'Rankings'!H$1000,ROW()),Rankings!H$2:'Rankings'!H$1000,0))</f>
        <v>Lukas Prokop</v>
      </c>
      <c r="G515" t="str">
        <f>INDEX(Rankings!C$2:'Rankings'!C$1149,MATCH(SMALL(Rankings!H$2:'Rankings'!H$1000,ROW()),Rankings!H$2:'Rankings'!H$1000,0))</f>
        <v>Lukas Prokop</v>
      </c>
    </row>
    <row r="516" spans="2:7" hidden="1" outlineLevel="1" x14ac:dyDescent="0.25">
      <c r="B516" t="str">
        <f>INDEX(Rankings!C$2:'Rankings'!C$1149,MATCH(SMALL(Rankings!H$2:'Rankings'!H$1000,ROW()),Rankings!H$2:'Rankings'!H$1000,0))</f>
        <v>Lukas Zimovcak</v>
      </c>
      <c r="C516" t="str">
        <f>INDEX(Rankings!C$2:'Rankings'!C$1149,MATCH(SMALL(Rankings!H$2:'Rankings'!H$1000,ROW()),Rankings!H$2:'Rankings'!H$1000,0))</f>
        <v>Lukas Zimovcak</v>
      </c>
      <c r="D516" t="str">
        <f>INDEX(Rankings!C$2:'Rankings'!C$1149,MATCH(SMALL(Rankings!H$2:'Rankings'!H$1000,ROW()),Rankings!H$2:'Rankings'!H$1000,0))</f>
        <v>Lukas Zimovcak</v>
      </c>
      <c r="G516" t="str">
        <f>INDEX(Rankings!C$2:'Rankings'!C$1149,MATCH(SMALL(Rankings!H$2:'Rankings'!H$1000,ROW()),Rankings!H$2:'Rankings'!H$1000,0))</f>
        <v>Lukas Zimovcak</v>
      </c>
    </row>
    <row r="517" spans="2:7" hidden="1" outlineLevel="1" x14ac:dyDescent="0.25">
      <c r="B517" t="str">
        <f>INDEX(Rankings!C$2:'Rankings'!C$1149,MATCH(SMALL(Rankings!H$2:'Rankings'!H$1000,ROW()),Rankings!H$2:'Rankings'!H$1000,0))</f>
        <v>Luke Smalanskas</v>
      </c>
      <c r="C517" t="str">
        <f>INDEX(Rankings!C$2:'Rankings'!C$1149,MATCH(SMALL(Rankings!H$2:'Rankings'!H$1000,ROW()),Rankings!H$2:'Rankings'!H$1000,0))</f>
        <v>Luke Smalanskas</v>
      </c>
      <c r="D517" t="str">
        <f>INDEX(Rankings!C$2:'Rankings'!C$1149,MATCH(SMALL(Rankings!H$2:'Rankings'!H$1000,ROW()),Rankings!H$2:'Rankings'!H$1000,0))</f>
        <v>Luke Smalanskas</v>
      </c>
      <c r="G517" t="str">
        <f>INDEX(Rankings!C$2:'Rankings'!C$1149,MATCH(SMALL(Rankings!H$2:'Rankings'!H$1000,ROW()),Rankings!H$2:'Rankings'!H$1000,0))</f>
        <v>Luke Smalanskas</v>
      </c>
    </row>
    <row r="518" spans="2:7" hidden="1" outlineLevel="1" x14ac:dyDescent="0.25">
      <c r="B518" t="str">
        <f>INDEX(Rankings!C$2:'Rankings'!C$1149,MATCH(SMALL(Rankings!H$2:'Rankings'!H$1000,ROW()),Rankings!H$2:'Rankings'!H$1000,0))</f>
        <v>Lyle Jensen</v>
      </c>
      <c r="C518" t="str">
        <f>INDEX(Rankings!C$2:'Rankings'!C$1149,MATCH(SMALL(Rankings!H$2:'Rankings'!H$1000,ROW()),Rankings!H$2:'Rankings'!H$1000,0))</f>
        <v>Lyle Jensen</v>
      </c>
      <c r="D518" t="str">
        <f>INDEX(Rankings!C$2:'Rankings'!C$1149,MATCH(SMALL(Rankings!H$2:'Rankings'!H$1000,ROW()),Rankings!H$2:'Rankings'!H$1000,0))</f>
        <v>Lyle Jensen</v>
      </c>
      <c r="G518" t="str">
        <f>INDEX(Rankings!C$2:'Rankings'!C$1149,MATCH(SMALL(Rankings!H$2:'Rankings'!H$1000,ROW()),Rankings!H$2:'Rankings'!H$1000,0))</f>
        <v>Lyle Jensen</v>
      </c>
    </row>
    <row r="519" spans="2:7" hidden="1" outlineLevel="1" x14ac:dyDescent="0.25">
      <c r="B519" t="str">
        <f>INDEX(Rankings!C$2:'Rankings'!C$1149,MATCH(SMALL(Rankings!H$2:'Rankings'!H$1000,ROW()),Rankings!H$2:'Rankings'!H$1000,0))</f>
        <v>Maciek Grabowski</v>
      </c>
      <c r="C519" t="str">
        <f>INDEX(Rankings!C$2:'Rankings'!C$1149,MATCH(SMALL(Rankings!H$2:'Rankings'!H$1000,ROW()),Rankings!H$2:'Rankings'!H$1000,0))</f>
        <v>Maciek Grabowski</v>
      </c>
      <c r="D519" t="str">
        <f>INDEX(Rankings!C$2:'Rankings'!C$1149,MATCH(SMALL(Rankings!H$2:'Rankings'!H$1000,ROW()),Rankings!H$2:'Rankings'!H$1000,0))</f>
        <v>Maciek Grabowski</v>
      </c>
      <c r="G519" t="str">
        <f>INDEX(Rankings!C$2:'Rankings'!C$1149,MATCH(SMALL(Rankings!H$2:'Rankings'!H$1000,ROW()),Rankings!H$2:'Rankings'!H$1000,0))</f>
        <v>Maciek Grabowski</v>
      </c>
    </row>
    <row r="520" spans="2:7" hidden="1" outlineLevel="1" x14ac:dyDescent="0.25">
      <c r="B520" t="str">
        <f>INDEX(Rankings!C$2:'Rankings'!C$1149,MATCH(SMALL(Rankings!H$2:'Rankings'!H$1000,ROW()),Rankings!H$2:'Rankings'!H$1000,0))</f>
        <v>Magnus Gjerde Petersen</v>
      </c>
      <c r="C520" t="str">
        <f>INDEX(Rankings!C$2:'Rankings'!C$1149,MATCH(SMALL(Rankings!H$2:'Rankings'!H$1000,ROW()),Rankings!H$2:'Rankings'!H$1000,0))</f>
        <v>Magnus Gjerde Petersen</v>
      </c>
      <c r="D520" t="str">
        <f>INDEX(Rankings!C$2:'Rankings'!C$1149,MATCH(SMALL(Rankings!H$2:'Rankings'!H$1000,ROW()),Rankings!H$2:'Rankings'!H$1000,0))</f>
        <v>Magnus Gjerde Petersen</v>
      </c>
      <c r="G520" t="str">
        <f>INDEX(Rankings!C$2:'Rankings'!C$1149,MATCH(SMALL(Rankings!H$2:'Rankings'!H$1000,ROW()),Rankings!H$2:'Rankings'!H$1000,0))</f>
        <v>Magnus Gjerde Petersen</v>
      </c>
    </row>
    <row r="521" spans="2:7" hidden="1" outlineLevel="1" x14ac:dyDescent="0.25">
      <c r="B521" t="str">
        <f>INDEX(Rankings!C$2:'Rankings'!C$1149,MATCH(SMALL(Rankings!H$2:'Rankings'!H$1000,ROW()),Rankings!H$2:'Rankings'!H$1000,0))</f>
        <v>Manuel Cesari</v>
      </c>
      <c r="C521" t="str">
        <f>INDEX(Rankings!C$2:'Rankings'!C$1149,MATCH(SMALL(Rankings!H$2:'Rankings'!H$1000,ROW()),Rankings!H$2:'Rankings'!H$1000,0))</f>
        <v>Manuel Cesari</v>
      </c>
      <c r="D521" t="str">
        <f>INDEX(Rankings!C$2:'Rankings'!C$1149,MATCH(SMALL(Rankings!H$2:'Rankings'!H$1000,ROW()),Rankings!H$2:'Rankings'!H$1000,0))</f>
        <v>Manuel Cesari</v>
      </c>
      <c r="G521" t="str">
        <f>INDEX(Rankings!C$2:'Rankings'!C$1149,MATCH(SMALL(Rankings!H$2:'Rankings'!H$1000,ROW()),Rankings!H$2:'Rankings'!H$1000,0))</f>
        <v>Manuel Cesari</v>
      </c>
    </row>
    <row r="522" spans="2:7" ht="14.25" hidden="1" customHeight="1" outlineLevel="1" x14ac:dyDescent="0.25">
      <c r="B522" t="str">
        <f>INDEX(Rankings!C$2:'Rankings'!C$1149,MATCH(SMALL(Rankings!H$2:'Rankings'!H$1000,ROW()),Rankings!H$2:'Rankings'!H$1000,0))</f>
        <v>Manuel Enders</v>
      </c>
      <c r="C522" t="str">
        <f>INDEX(Rankings!C$2:'Rankings'!C$1149,MATCH(SMALL(Rankings!H$2:'Rankings'!H$1000,ROW()),Rankings!H$2:'Rankings'!H$1000,0))</f>
        <v>Manuel Enders</v>
      </c>
      <c r="D522" t="str">
        <f>INDEX(Rankings!C$2:'Rankings'!C$1149,MATCH(SMALL(Rankings!H$2:'Rankings'!H$1000,ROW()),Rankings!H$2:'Rankings'!H$1000,0))</f>
        <v>Manuel Enders</v>
      </c>
      <c r="G522" t="str">
        <f>INDEX(Rankings!C$2:'Rankings'!C$1149,MATCH(SMALL(Rankings!H$2:'Rankings'!H$1000,ROW()),Rankings!H$2:'Rankings'!H$1000,0))</f>
        <v>Manuel Enders</v>
      </c>
    </row>
    <row r="523" spans="2:7" hidden="1" outlineLevel="1" x14ac:dyDescent="0.25">
      <c r="B523" t="str">
        <f>INDEX(Rankings!C$2:'Rankings'!C$1149,MATCH(SMALL(Rankings!H$2:'Rankings'!H$1000,ROW()),Rankings!H$2:'Rankings'!H$1000,0))</f>
        <v>Manuel Viner</v>
      </c>
      <c r="C523" t="str">
        <f>INDEX(Rankings!C$2:'Rankings'!C$1149,MATCH(SMALL(Rankings!H$2:'Rankings'!H$1000,ROW()),Rankings!H$2:'Rankings'!H$1000,0))</f>
        <v>Manuel Viner</v>
      </c>
      <c r="D523" t="str">
        <f>INDEX(Rankings!C$2:'Rankings'!C$1149,MATCH(SMALL(Rankings!H$2:'Rankings'!H$1000,ROW()),Rankings!H$2:'Rankings'!H$1000,0))</f>
        <v>Manuel Viner</v>
      </c>
      <c r="G523" t="str">
        <f>INDEX(Rankings!C$2:'Rankings'!C$1149,MATCH(SMALL(Rankings!H$2:'Rankings'!H$1000,ROW()),Rankings!H$2:'Rankings'!H$1000,0))</f>
        <v>Manuel Viner</v>
      </c>
    </row>
    <row r="524" spans="2:7" hidden="1" outlineLevel="1" x14ac:dyDescent="0.25">
      <c r="B524" t="str">
        <f>INDEX(Rankings!C$2:'Rankings'!C$1149,MATCH(SMALL(Rankings!H$2:'Rankings'!H$1000,ROW()),Rankings!H$2:'Rankings'!H$1000,0))</f>
        <v>Matt Watenpoole</v>
      </c>
      <c r="C524" t="str">
        <f>INDEX(Rankings!C$2:'Rankings'!C$1149,MATCH(SMALL(Rankings!H$2:'Rankings'!H$1000,ROW()),Rankings!H$2:'Rankings'!H$1000,0))</f>
        <v>Matt Watenpoole</v>
      </c>
      <c r="D524" t="str">
        <f>INDEX(Rankings!C$2:'Rankings'!C$1149,MATCH(SMALL(Rankings!H$2:'Rankings'!H$1000,ROW()),Rankings!H$2:'Rankings'!H$1000,0))</f>
        <v>Matt Watenpoole</v>
      </c>
      <c r="G524" t="str">
        <f>INDEX(Rankings!C$2:'Rankings'!C$1149,MATCH(SMALL(Rankings!H$2:'Rankings'!H$1000,ROW()),Rankings!H$2:'Rankings'!H$1000,0))</f>
        <v>Matt Watenpoole</v>
      </c>
    </row>
    <row r="525" spans="2:7" hidden="1" outlineLevel="1" x14ac:dyDescent="0.25">
      <c r="B525" t="str">
        <f>INDEX(Rankings!C$2:'Rankings'!C$1149,MATCH(SMALL(Rankings!H$2:'Rankings'!H$1000,ROW()),Rankings!H$2:'Rankings'!H$1000,0))</f>
        <v>Marc Pestotnik</v>
      </c>
      <c r="C525" t="str">
        <f>INDEX(Rankings!C$2:'Rankings'!C$1149,MATCH(SMALL(Rankings!H$2:'Rankings'!H$1000,ROW()),Rankings!H$2:'Rankings'!H$1000,0))</f>
        <v>Marc Pestotnik</v>
      </c>
      <c r="D525" t="str">
        <f>INDEX(Rankings!C$2:'Rankings'!C$1149,MATCH(SMALL(Rankings!H$2:'Rankings'!H$1000,ROW()),Rankings!H$2:'Rankings'!H$1000,0))</f>
        <v>Marc Pestotnik</v>
      </c>
      <c r="G525" t="str">
        <f>INDEX(Rankings!C$2:'Rankings'!C$1149,MATCH(SMALL(Rankings!H$2:'Rankings'!H$1000,ROW()),Rankings!H$2:'Rankings'!H$1000,0))</f>
        <v>Marc Pestotnik</v>
      </c>
    </row>
    <row r="526" spans="2:7" hidden="1" outlineLevel="1" x14ac:dyDescent="0.25">
      <c r="B526" t="str">
        <f>INDEX(Rankings!C$2:'Rankings'!C$1149,MATCH(SMALL(Rankings!H$2:'Rankings'!H$1000,ROW()),Rankings!H$2:'Rankings'!H$1000,0))</f>
        <v>Marc Uhlig</v>
      </c>
      <c r="C526" t="str">
        <f>INDEX(Rankings!C$2:'Rankings'!C$1149,MATCH(SMALL(Rankings!H$2:'Rankings'!H$1000,ROW()),Rankings!H$2:'Rankings'!H$1000,0))</f>
        <v>Marc Uhlig</v>
      </c>
      <c r="D526" t="str">
        <f>INDEX(Rankings!C$2:'Rankings'!C$1149,MATCH(SMALL(Rankings!H$2:'Rankings'!H$1000,ROW()),Rankings!H$2:'Rankings'!H$1000,0))</f>
        <v>Marc Uhlig</v>
      </c>
      <c r="G526" t="str">
        <f>INDEX(Rankings!C$2:'Rankings'!C$1149,MATCH(SMALL(Rankings!H$2:'Rankings'!H$1000,ROW()),Rankings!H$2:'Rankings'!H$1000,0))</f>
        <v>Marc Uhlig</v>
      </c>
    </row>
    <row r="527" spans="2:7" hidden="1" outlineLevel="1" x14ac:dyDescent="0.25">
      <c r="B527" t="str">
        <f>INDEX(Rankings!C$2:'Rankings'!C$1149,MATCH(SMALL(Rankings!H$2:'Rankings'!H$1000,ROW()),Rankings!H$2:'Rankings'!H$1000,0))</f>
        <v>Marcin Dusowski</v>
      </c>
      <c r="C527" t="str">
        <f>INDEX(Rankings!C$2:'Rankings'!C$1149,MATCH(SMALL(Rankings!H$2:'Rankings'!H$1000,ROW()),Rankings!H$2:'Rankings'!H$1000,0))</f>
        <v>Marcin Dusowski</v>
      </c>
      <c r="D527" t="str">
        <f>INDEX(Rankings!C$2:'Rankings'!C$1149,MATCH(SMALL(Rankings!H$2:'Rankings'!H$1000,ROW()),Rankings!H$2:'Rankings'!H$1000,0))</f>
        <v>Marcin Dusowski</v>
      </c>
      <c r="G527" t="str">
        <f>INDEX(Rankings!C$2:'Rankings'!C$1149,MATCH(SMALL(Rankings!H$2:'Rankings'!H$1000,ROW()),Rankings!H$2:'Rankings'!H$1000,0))</f>
        <v>Marcin Dusowski</v>
      </c>
    </row>
    <row r="528" spans="2:7" hidden="1" outlineLevel="1" x14ac:dyDescent="0.25">
      <c r="B528" t="str">
        <f>INDEX(Rankings!C$2:'Rankings'!C$1149,MATCH(SMALL(Rankings!H$2:'Rankings'!H$1000,ROW()),Rankings!H$2:'Rankings'!H$1000,0))</f>
        <v>Marco Chessa</v>
      </c>
      <c r="C528" t="str">
        <f>INDEX(Rankings!C$2:'Rankings'!C$1149,MATCH(SMALL(Rankings!H$2:'Rankings'!H$1000,ROW()),Rankings!H$2:'Rankings'!H$1000,0))</f>
        <v>Marco Chessa</v>
      </c>
      <c r="D528" t="str">
        <f>INDEX(Rankings!C$2:'Rankings'!C$1149,MATCH(SMALL(Rankings!H$2:'Rankings'!H$1000,ROW()),Rankings!H$2:'Rankings'!H$1000,0))</f>
        <v>Marco Chessa</v>
      </c>
      <c r="G528" t="str">
        <f>INDEX(Rankings!C$2:'Rankings'!C$1149,MATCH(SMALL(Rankings!H$2:'Rankings'!H$1000,ROW()),Rankings!H$2:'Rankings'!H$1000,0))</f>
        <v>Marco Chessa</v>
      </c>
    </row>
    <row r="529" spans="2:7" hidden="1" outlineLevel="1" x14ac:dyDescent="0.25">
      <c r="B529" t="str">
        <f>INDEX(Rankings!C$2:'Rankings'!C$1149,MATCH(SMALL(Rankings!H$2:'Rankings'!H$1000,ROW()),Rankings!H$2:'Rankings'!H$1000,0))</f>
        <v>Marco De Lucia</v>
      </c>
      <c r="C529" t="str">
        <f>INDEX(Rankings!C$2:'Rankings'!C$1149,MATCH(SMALL(Rankings!H$2:'Rankings'!H$1000,ROW()),Rankings!H$2:'Rankings'!H$1000,0))</f>
        <v>Marco De Lucia</v>
      </c>
      <c r="D529" t="str">
        <f>INDEX(Rankings!C$2:'Rankings'!C$1149,MATCH(SMALL(Rankings!H$2:'Rankings'!H$1000,ROW()),Rankings!H$2:'Rankings'!H$1000,0))</f>
        <v>Marco De Lucia</v>
      </c>
      <c r="G529" t="str">
        <f>INDEX(Rankings!C$2:'Rankings'!C$1149,MATCH(SMALL(Rankings!H$2:'Rankings'!H$1000,ROW()),Rankings!H$2:'Rankings'!H$1000,0))</f>
        <v>Marco De Lucia</v>
      </c>
    </row>
    <row r="530" spans="2:7" hidden="1" outlineLevel="1" x14ac:dyDescent="0.25">
      <c r="B530" t="str">
        <f>INDEX(Rankings!C$2:'Rankings'!C$1149,MATCH(SMALL(Rankings!H$2:'Rankings'!H$1000,ROW()),Rankings!H$2:'Rankings'!H$1000,0))</f>
        <v>Marco Fera</v>
      </c>
      <c r="C530" t="str">
        <f>INDEX(Rankings!C$2:'Rankings'!C$1149,MATCH(SMALL(Rankings!H$2:'Rankings'!H$1000,ROW()),Rankings!H$2:'Rankings'!H$1000,0))</f>
        <v>Marco Fera</v>
      </c>
      <c r="D530" t="str">
        <f>INDEX(Rankings!C$2:'Rankings'!C$1149,MATCH(SMALL(Rankings!H$2:'Rankings'!H$1000,ROW()),Rankings!H$2:'Rankings'!H$1000,0))</f>
        <v>Marco Fera</v>
      </c>
      <c r="G530" t="str">
        <f>INDEX(Rankings!C$2:'Rankings'!C$1149,MATCH(SMALL(Rankings!H$2:'Rankings'!H$1000,ROW()),Rankings!H$2:'Rankings'!H$1000,0))</f>
        <v>Marco Fera</v>
      </c>
    </row>
    <row r="531" spans="2:7" hidden="1" outlineLevel="1" x14ac:dyDescent="0.25">
      <c r="B531" t="str">
        <f>INDEX(Rankings!C$2:'Rankings'!C$1149,MATCH(SMALL(Rankings!H$2:'Rankings'!H$1000,ROW()),Rankings!H$2:'Rankings'!H$1000,0))</f>
        <v>Marco Prati</v>
      </c>
      <c r="C531" t="str">
        <f>INDEX(Rankings!C$2:'Rankings'!C$1149,MATCH(SMALL(Rankings!H$2:'Rankings'!H$1000,ROW()),Rankings!H$2:'Rankings'!H$1000,0))</f>
        <v>Marco Prati</v>
      </c>
      <c r="D531" t="str">
        <f>INDEX(Rankings!C$2:'Rankings'!C$1149,MATCH(SMALL(Rankings!H$2:'Rankings'!H$1000,ROW()),Rankings!H$2:'Rankings'!H$1000,0))</f>
        <v>Marco Prati</v>
      </c>
      <c r="G531" t="str">
        <f>INDEX(Rankings!C$2:'Rankings'!C$1149,MATCH(SMALL(Rankings!H$2:'Rankings'!H$1000,ROW()),Rankings!H$2:'Rankings'!H$1000,0))</f>
        <v>Marco Prati</v>
      </c>
    </row>
    <row r="532" spans="2:7" hidden="1" outlineLevel="1" x14ac:dyDescent="0.25">
      <c r="B532" t="str">
        <f>INDEX(Rankings!C$2:'Rankings'!C$1149,MATCH(SMALL(Rankings!H$2:'Rankings'!H$1000,ROW()),Rankings!H$2:'Rankings'!H$1000,0))</f>
        <v>Marco Sanna</v>
      </c>
      <c r="C532" t="str">
        <f>INDEX(Rankings!C$2:'Rankings'!C$1149,MATCH(SMALL(Rankings!H$2:'Rankings'!H$1000,ROW()),Rankings!H$2:'Rankings'!H$1000,0))</f>
        <v>Marco Sanna</v>
      </c>
      <c r="D532" t="str">
        <f>INDEX(Rankings!C$2:'Rankings'!C$1149,MATCH(SMALL(Rankings!H$2:'Rankings'!H$1000,ROW()),Rankings!H$2:'Rankings'!H$1000,0))</f>
        <v>Marco Sanna</v>
      </c>
      <c r="G532" t="str">
        <f>INDEX(Rankings!C$2:'Rankings'!C$1149,MATCH(SMALL(Rankings!H$2:'Rankings'!H$1000,ROW()),Rankings!H$2:'Rankings'!H$1000,0))</f>
        <v>Marco Sanna</v>
      </c>
    </row>
    <row r="533" spans="2:7" hidden="1" outlineLevel="1" x14ac:dyDescent="0.25">
      <c r="B533" t="str">
        <f>INDEX(Rankings!C$2:'Rankings'!C$1149,MATCH(SMALL(Rankings!H$2:'Rankings'!H$1000,ROW()),Rankings!H$2:'Rankings'!H$1000,0))</f>
        <v>Marek Hroch</v>
      </c>
      <c r="C533" t="str">
        <f>INDEX(Rankings!C$2:'Rankings'!C$1149,MATCH(SMALL(Rankings!H$2:'Rankings'!H$1000,ROW()),Rankings!H$2:'Rankings'!H$1000,0))</f>
        <v>Marek Hroch</v>
      </c>
      <c r="D533" t="str">
        <f>INDEX(Rankings!C$2:'Rankings'!C$1149,MATCH(SMALL(Rankings!H$2:'Rankings'!H$1000,ROW()),Rankings!H$2:'Rankings'!H$1000,0))</f>
        <v>Marek Hroch</v>
      </c>
      <c r="G533" t="str">
        <f>INDEX(Rankings!C$2:'Rankings'!C$1149,MATCH(SMALL(Rankings!H$2:'Rankings'!H$1000,ROW()),Rankings!H$2:'Rankings'!H$1000,0))</f>
        <v>Marek Hroch</v>
      </c>
    </row>
    <row r="534" spans="2:7" hidden="1" outlineLevel="1" x14ac:dyDescent="0.25">
      <c r="B534" t="str">
        <f>INDEX(Rankings!C$2:'Rankings'!C$1149,MATCH(SMALL(Rankings!H$2:'Rankings'!H$1000,ROW()),Rankings!H$2:'Rankings'!H$1000,0))</f>
        <v>Marie Geare</v>
      </c>
      <c r="C534" t="str">
        <f>INDEX(Rankings!C$2:'Rankings'!C$1149,MATCH(SMALL(Rankings!H$2:'Rankings'!H$1000,ROW()),Rankings!H$2:'Rankings'!H$1000,0))</f>
        <v>Marie Geare</v>
      </c>
      <c r="D534" t="str">
        <f>INDEX(Rankings!C$2:'Rankings'!C$1149,MATCH(SMALL(Rankings!H$2:'Rankings'!H$1000,ROW()),Rankings!H$2:'Rankings'!H$1000,0))</f>
        <v>Marie Geare</v>
      </c>
      <c r="G534" t="str">
        <f>INDEX(Rankings!C$2:'Rankings'!C$1149,MATCH(SMALL(Rankings!H$2:'Rankings'!H$1000,ROW()),Rankings!H$2:'Rankings'!H$1000,0))</f>
        <v>Marie Geare</v>
      </c>
    </row>
    <row r="535" spans="2:7" hidden="1" outlineLevel="1" x14ac:dyDescent="0.25">
      <c r="B535" t="str">
        <f>INDEX(Rankings!C$2:'Rankings'!C$1149,MATCH(SMALL(Rankings!H$2:'Rankings'!H$1000,ROW()),Rankings!H$2:'Rankings'!H$1000,0))</f>
        <v>Marie Murphy</v>
      </c>
      <c r="C535" t="str">
        <f>INDEX(Rankings!C$2:'Rankings'!C$1149,MATCH(SMALL(Rankings!H$2:'Rankings'!H$1000,ROW()),Rankings!H$2:'Rankings'!H$1000,0))</f>
        <v>Marie Murphy</v>
      </c>
      <c r="D535" t="str">
        <f>INDEX(Rankings!C$2:'Rankings'!C$1149,MATCH(SMALL(Rankings!H$2:'Rankings'!H$1000,ROW()),Rankings!H$2:'Rankings'!H$1000,0))</f>
        <v>Marie Murphy</v>
      </c>
      <c r="G535" t="str">
        <f>INDEX(Rankings!C$2:'Rankings'!C$1149,MATCH(SMALL(Rankings!H$2:'Rankings'!H$1000,ROW()),Rankings!H$2:'Rankings'!H$1000,0))</f>
        <v>Marie Murphy</v>
      </c>
    </row>
    <row r="536" spans="2:7" hidden="1" outlineLevel="1" x14ac:dyDescent="0.25">
      <c r="B536" t="str">
        <f>INDEX(Rankings!C$2:'Rankings'!C$1149,MATCH(SMALL(Rankings!H$2:'Rankings'!H$1000,ROW()),Rankings!H$2:'Rankings'!H$1000,0))</f>
        <v>Mario Mayer</v>
      </c>
      <c r="C536" t="str">
        <f>INDEX(Rankings!C$2:'Rankings'!C$1149,MATCH(SMALL(Rankings!H$2:'Rankings'!H$1000,ROW()),Rankings!H$2:'Rankings'!H$1000,0))</f>
        <v>Mario Mayer</v>
      </c>
      <c r="D536" t="str">
        <f>INDEX(Rankings!C$2:'Rankings'!C$1149,MATCH(SMALL(Rankings!H$2:'Rankings'!H$1000,ROW()),Rankings!H$2:'Rankings'!H$1000,0))</f>
        <v>Mario Mayer</v>
      </c>
      <c r="G536" t="str">
        <f>INDEX(Rankings!C$2:'Rankings'!C$1149,MATCH(SMALL(Rankings!H$2:'Rankings'!H$1000,ROW()),Rankings!H$2:'Rankings'!H$1000,0))</f>
        <v>Mario Mayer</v>
      </c>
    </row>
    <row r="537" spans="2:7" hidden="1" outlineLevel="1" x14ac:dyDescent="0.25">
      <c r="B537" t="str">
        <f>INDEX(Rankings!C$2:'Rankings'!C$1149,MATCH(SMALL(Rankings!H$2:'Rankings'!H$1000,ROW()),Rankings!H$2:'Rankings'!H$1000,0))</f>
        <v>Mark Farrar</v>
      </c>
      <c r="C537" t="str">
        <f>INDEX(Rankings!C$2:'Rankings'!C$1149,MATCH(SMALL(Rankings!H$2:'Rankings'!H$1000,ROW()),Rankings!H$2:'Rankings'!H$1000,0))</f>
        <v>Mark Farrar</v>
      </c>
      <c r="D537" t="str">
        <f>INDEX(Rankings!C$2:'Rankings'!C$1149,MATCH(SMALL(Rankings!H$2:'Rankings'!H$1000,ROW()),Rankings!H$2:'Rankings'!H$1000,0))</f>
        <v>Mark Farrar</v>
      </c>
      <c r="G537" t="str">
        <f>INDEX(Rankings!C$2:'Rankings'!C$1149,MATCH(SMALL(Rankings!H$2:'Rankings'!H$1000,ROW()),Rankings!H$2:'Rankings'!H$1000,0))</f>
        <v>Mark Farrar</v>
      </c>
    </row>
    <row r="538" spans="2:7" hidden="1" outlineLevel="1" x14ac:dyDescent="0.25">
      <c r="B538" t="str">
        <f>INDEX(Rankings!C$2:'Rankings'!C$1149,MATCH(SMALL(Rankings!H$2:'Rankings'!H$1000,ROW()),Rankings!H$2:'Rankings'!H$1000,0))</f>
        <v>Mark Horn</v>
      </c>
      <c r="C538" t="str">
        <f>INDEX(Rankings!C$2:'Rankings'!C$1149,MATCH(SMALL(Rankings!H$2:'Rankings'!H$1000,ROW()),Rankings!H$2:'Rankings'!H$1000,0))</f>
        <v>Mark Horn</v>
      </c>
      <c r="D538" t="str">
        <f>INDEX(Rankings!C$2:'Rankings'!C$1149,MATCH(SMALL(Rankings!H$2:'Rankings'!H$1000,ROW()),Rankings!H$2:'Rankings'!H$1000,0))</f>
        <v>Mark Horn</v>
      </c>
      <c r="G538" t="str">
        <f>INDEX(Rankings!C$2:'Rankings'!C$1149,MATCH(SMALL(Rankings!H$2:'Rankings'!H$1000,ROW()),Rankings!H$2:'Rankings'!H$1000,0))</f>
        <v>Mark Horn</v>
      </c>
    </row>
    <row r="539" spans="2:7" hidden="1" outlineLevel="1" x14ac:dyDescent="0.25">
      <c r="B539" t="str">
        <f>INDEX(Rankings!C$2:'Rankings'!C$1149,MATCH(SMALL(Rankings!H$2:'Rankings'!H$1000,ROW()),Rankings!H$2:'Rankings'!H$1000,0))</f>
        <v>Mark Regalbuti</v>
      </c>
      <c r="C539" t="str">
        <f>INDEX(Rankings!C$2:'Rankings'!C$1149,MATCH(SMALL(Rankings!H$2:'Rankings'!H$1000,ROW()),Rankings!H$2:'Rankings'!H$1000,0))</f>
        <v>Mark Regalbuti</v>
      </c>
      <c r="D539" t="str">
        <f>INDEX(Rankings!C$2:'Rankings'!C$1149,MATCH(SMALL(Rankings!H$2:'Rankings'!H$1000,ROW()),Rankings!H$2:'Rankings'!H$1000,0))</f>
        <v>Mark Regalbuti</v>
      </c>
      <c r="G539" t="str">
        <f>INDEX(Rankings!C$2:'Rankings'!C$1149,MATCH(SMALL(Rankings!H$2:'Rankings'!H$1000,ROW()),Rankings!H$2:'Rankings'!H$1000,0))</f>
        <v>Mark Regalbuti</v>
      </c>
    </row>
    <row r="540" spans="2:7" hidden="1" outlineLevel="1" x14ac:dyDescent="0.25">
      <c r="B540" t="str">
        <f>INDEX(Rankings!C$2:'Rankings'!C$1149,MATCH(SMALL(Rankings!H$2:'Rankings'!H$1000,ROW()),Rankings!H$2:'Rankings'!H$1000,0))</f>
        <v>Mark Trout</v>
      </c>
      <c r="C540" t="str">
        <f>INDEX(Rankings!C$2:'Rankings'!C$1149,MATCH(SMALL(Rankings!H$2:'Rankings'!H$1000,ROW()),Rankings!H$2:'Rankings'!H$1000,0))</f>
        <v>Mark Trout</v>
      </c>
      <c r="D540" t="str">
        <f>INDEX(Rankings!C$2:'Rankings'!C$1149,MATCH(SMALL(Rankings!H$2:'Rankings'!H$1000,ROW()),Rankings!H$2:'Rankings'!H$1000,0))</f>
        <v>Mark Trout</v>
      </c>
      <c r="G540" t="str">
        <f>INDEX(Rankings!C$2:'Rankings'!C$1149,MATCH(SMALL(Rankings!H$2:'Rankings'!H$1000,ROW()),Rankings!H$2:'Rankings'!H$1000,0))</f>
        <v>Mark Trout</v>
      </c>
    </row>
    <row r="541" spans="2:7" hidden="1" outlineLevel="1" x14ac:dyDescent="0.25">
      <c r="B541" t="str">
        <f>INDEX(Rankings!C$2:'Rankings'!C$1149,MATCH(SMALL(Rankings!H$2:'Rankings'!H$1000,ROW()),Rankings!H$2:'Rankings'!H$1000,0))</f>
        <v>Markus Goetz</v>
      </c>
      <c r="C541" t="str">
        <f>INDEX(Rankings!C$2:'Rankings'!C$1149,MATCH(SMALL(Rankings!H$2:'Rankings'!H$1000,ROW()),Rankings!H$2:'Rankings'!H$1000,0))</f>
        <v>Markus Goetz</v>
      </c>
      <c r="D541" t="str">
        <f>INDEX(Rankings!C$2:'Rankings'!C$1149,MATCH(SMALL(Rankings!H$2:'Rankings'!H$1000,ROW()),Rankings!H$2:'Rankings'!H$1000,0))</f>
        <v>Markus Goetz</v>
      </c>
      <c r="G541" t="str">
        <f>INDEX(Rankings!C$2:'Rankings'!C$1149,MATCH(SMALL(Rankings!H$2:'Rankings'!H$1000,ROW()),Rankings!H$2:'Rankings'!H$1000,0))</f>
        <v>Markus Goetz</v>
      </c>
    </row>
    <row r="542" spans="2:7" hidden="1" outlineLevel="1" x14ac:dyDescent="0.25">
      <c r="B542" t="str">
        <f>INDEX(Rankings!C$2:'Rankings'!C$1149,MATCH(SMALL(Rankings!H$2:'Rankings'!H$1000,ROW()),Rankings!H$2:'Rankings'!H$1000,0))</f>
        <v>Markus Hein</v>
      </c>
      <c r="C542" t="str">
        <f>INDEX(Rankings!C$2:'Rankings'!C$1149,MATCH(SMALL(Rankings!H$2:'Rankings'!H$1000,ROW()),Rankings!H$2:'Rankings'!H$1000,0))</f>
        <v>Markus Hein</v>
      </c>
      <c r="D542" t="str">
        <f>INDEX(Rankings!C$2:'Rankings'!C$1149,MATCH(SMALL(Rankings!H$2:'Rankings'!H$1000,ROW()),Rankings!H$2:'Rankings'!H$1000,0))</f>
        <v>Markus Hein</v>
      </c>
      <c r="G542" t="str">
        <f>INDEX(Rankings!C$2:'Rankings'!C$1149,MATCH(SMALL(Rankings!H$2:'Rankings'!H$1000,ROW()),Rankings!H$2:'Rankings'!H$1000,0))</f>
        <v>Markus Hein</v>
      </c>
    </row>
    <row r="543" spans="2:7" hidden="1" outlineLevel="1" x14ac:dyDescent="0.25">
      <c r="B543" t="str">
        <f>INDEX(Rankings!C$2:'Rankings'!C$1149,MATCH(SMALL(Rankings!H$2:'Rankings'!H$1000,ROW()),Rankings!H$2:'Rankings'!H$1000,0))</f>
        <v>Martin Fransson</v>
      </c>
      <c r="C543" t="str">
        <f>INDEX(Rankings!C$2:'Rankings'!C$1149,MATCH(SMALL(Rankings!H$2:'Rankings'!H$1000,ROW()),Rankings!H$2:'Rankings'!H$1000,0))</f>
        <v>Martin Fransson</v>
      </c>
      <c r="D543" t="str">
        <f>INDEX(Rankings!C$2:'Rankings'!C$1149,MATCH(SMALL(Rankings!H$2:'Rankings'!H$1000,ROW()),Rankings!H$2:'Rankings'!H$1000,0))</f>
        <v>Martin Fransson</v>
      </c>
      <c r="G543" t="str">
        <f>INDEX(Rankings!C$2:'Rankings'!C$1149,MATCH(SMALL(Rankings!H$2:'Rankings'!H$1000,ROW()),Rankings!H$2:'Rankings'!H$1000,0))</f>
        <v>Martin Fransson</v>
      </c>
    </row>
    <row r="544" spans="2:7" hidden="1" outlineLevel="1" x14ac:dyDescent="0.25">
      <c r="B544" t="str">
        <f>INDEX(Rankings!C$2:'Rankings'!C$1149,MATCH(SMALL(Rankings!H$2:'Rankings'!H$1000,ROW()),Rankings!H$2:'Rankings'!H$1000,0))</f>
        <v>Martin Klopfer</v>
      </c>
      <c r="C544" t="str">
        <f>INDEX(Rankings!C$2:'Rankings'!C$1149,MATCH(SMALL(Rankings!H$2:'Rankings'!H$1000,ROW()),Rankings!H$2:'Rankings'!H$1000,0))</f>
        <v>Martin Klopfer</v>
      </c>
      <c r="D544" t="str">
        <f>INDEX(Rankings!C$2:'Rankings'!C$1149,MATCH(SMALL(Rankings!H$2:'Rankings'!H$1000,ROW()),Rankings!H$2:'Rankings'!H$1000,0))</f>
        <v>Martin Klopfer</v>
      </c>
      <c r="G544" t="str">
        <f>INDEX(Rankings!C$2:'Rankings'!C$1149,MATCH(SMALL(Rankings!H$2:'Rankings'!H$1000,ROW()),Rankings!H$2:'Rankings'!H$1000,0))</f>
        <v>Martin Klopfer</v>
      </c>
    </row>
    <row r="545" spans="2:7" hidden="1" outlineLevel="1" x14ac:dyDescent="0.25">
      <c r="B545" t="str">
        <f>INDEX(Rankings!C$2:'Rankings'!C$1149,MATCH(SMALL(Rankings!H$2:'Rankings'!H$1000,ROW()),Rankings!H$2:'Rankings'!H$1000,0))</f>
        <v>Martin Stadler</v>
      </c>
      <c r="C545" t="str">
        <f>INDEX(Rankings!C$2:'Rankings'!C$1149,MATCH(SMALL(Rankings!H$2:'Rankings'!H$1000,ROW()),Rankings!H$2:'Rankings'!H$1000,0))</f>
        <v>Martin Stadler</v>
      </c>
      <c r="D545" t="str">
        <f>INDEX(Rankings!C$2:'Rankings'!C$1149,MATCH(SMALL(Rankings!H$2:'Rankings'!H$1000,ROW()),Rankings!H$2:'Rankings'!H$1000,0))</f>
        <v>Martin Stadler</v>
      </c>
      <c r="G545" t="str">
        <f>INDEX(Rankings!C$2:'Rankings'!C$1149,MATCH(SMALL(Rankings!H$2:'Rankings'!H$1000,ROW()),Rankings!H$2:'Rankings'!H$1000,0))</f>
        <v>Martin Stadler</v>
      </c>
    </row>
    <row r="546" spans="2:7" hidden="1" outlineLevel="1" x14ac:dyDescent="0.25">
      <c r="B546" t="str">
        <f>INDEX(Rankings!C$2:'Rankings'!C$1149,MATCH(SMALL(Rankings!H$2:'Rankings'!H$1000,ROW()),Rankings!H$2:'Rankings'!H$1000,0))</f>
        <v>Martina Biaglioli</v>
      </c>
      <c r="C546" t="str">
        <f>INDEX(Rankings!C$2:'Rankings'!C$1149,MATCH(SMALL(Rankings!H$2:'Rankings'!H$1000,ROW()),Rankings!H$2:'Rankings'!H$1000,0))</f>
        <v>Martina Biaglioli</v>
      </c>
      <c r="D546" t="str">
        <f>INDEX(Rankings!C$2:'Rankings'!C$1149,MATCH(SMALL(Rankings!H$2:'Rankings'!H$1000,ROW()),Rankings!H$2:'Rankings'!H$1000,0))</f>
        <v>Martina Biaglioli</v>
      </c>
      <c r="G546" t="str">
        <f>INDEX(Rankings!C$2:'Rankings'!C$1149,MATCH(SMALL(Rankings!H$2:'Rankings'!H$1000,ROW()),Rankings!H$2:'Rankings'!H$1000,0))</f>
        <v>Martina Biaglioli</v>
      </c>
    </row>
    <row r="547" spans="2:7" hidden="1" outlineLevel="1" x14ac:dyDescent="0.25">
      <c r="B547" t="str">
        <f>INDEX(Rankings!C$2:'Rankings'!C$1149,MATCH(SMALL(Rankings!H$2:'Rankings'!H$1000,ROW()),Rankings!H$2:'Rankings'!H$1000,0))</f>
        <v>Martina Frosini</v>
      </c>
      <c r="C547" t="str">
        <f>INDEX(Rankings!C$2:'Rankings'!C$1149,MATCH(SMALL(Rankings!H$2:'Rankings'!H$1000,ROW()),Rankings!H$2:'Rankings'!H$1000,0))</f>
        <v>Martina Frosini</v>
      </c>
      <c r="D547" t="str">
        <f>INDEX(Rankings!C$2:'Rankings'!C$1149,MATCH(SMALL(Rankings!H$2:'Rankings'!H$1000,ROW()),Rankings!H$2:'Rankings'!H$1000,0))</f>
        <v>Martina Frosini</v>
      </c>
      <c r="G547" t="str">
        <f>INDEX(Rankings!C$2:'Rankings'!C$1149,MATCH(SMALL(Rankings!H$2:'Rankings'!H$1000,ROW()),Rankings!H$2:'Rankings'!H$1000,0))</f>
        <v>Martina Frosini</v>
      </c>
    </row>
    <row r="548" spans="2:7" hidden="1" outlineLevel="1" x14ac:dyDescent="0.25">
      <c r="B548" t="str">
        <f>INDEX(Rankings!C$2:'Rankings'!C$1149,MATCH(SMALL(Rankings!H$2:'Rankings'!H$1000,ROW()),Rankings!H$2:'Rankings'!H$1000,0))</f>
        <v>Martina Solarova</v>
      </c>
      <c r="C548" t="str">
        <f>INDEX(Rankings!C$2:'Rankings'!C$1149,MATCH(SMALL(Rankings!H$2:'Rankings'!H$1000,ROW()),Rankings!H$2:'Rankings'!H$1000,0))</f>
        <v>Martina Solarova</v>
      </c>
      <c r="D548" t="str">
        <f>INDEX(Rankings!C$2:'Rankings'!C$1149,MATCH(SMALL(Rankings!H$2:'Rankings'!H$1000,ROW()),Rankings!H$2:'Rankings'!H$1000,0))</f>
        <v>Martina Solarova</v>
      </c>
      <c r="G548" t="str">
        <f>INDEX(Rankings!C$2:'Rankings'!C$1149,MATCH(SMALL(Rankings!H$2:'Rankings'!H$1000,ROW()),Rankings!H$2:'Rankings'!H$1000,0))</f>
        <v>Martina Solarova</v>
      </c>
    </row>
    <row r="549" spans="2:7" hidden="1" outlineLevel="1" x14ac:dyDescent="0.25">
      <c r="B549" t="str">
        <f>INDEX(Rankings!C$2:'Rankings'!C$1149,MATCH(SMALL(Rankings!H$2:'Rankings'!H$1000,ROW()),Rankings!H$2:'Rankings'!H$1000,0))</f>
        <v>Marty Hapner</v>
      </c>
      <c r="C549" t="str">
        <f>INDEX(Rankings!C$2:'Rankings'!C$1149,MATCH(SMALL(Rankings!H$2:'Rankings'!H$1000,ROW()),Rankings!H$2:'Rankings'!H$1000,0))</f>
        <v>Marty Hapner</v>
      </c>
      <c r="D549" t="str">
        <f>INDEX(Rankings!C$2:'Rankings'!C$1149,MATCH(SMALL(Rankings!H$2:'Rankings'!H$1000,ROW()),Rankings!H$2:'Rankings'!H$1000,0))</f>
        <v>Marty Hapner</v>
      </c>
      <c r="G549" t="str">
        <f>INDEX(Rankings!C$2:'Rankings'!C$1149,MATCH(SMALL(Rankings!H$2:'Rankings'!H$1000,ROW()),Rankings!H$2:'Rankings'!H$1000,0))</f>
        <v>Marty Hapner</v>
      </c>
    </row>
    <row r="550" spans="2:7" hidden="1" outlineLevel="1" x14ac:dyDescent="0.25">
      <c r="B550" t="str">
        <f>INDEX(Rankings!C$2:'Rankings'!C$1149,MATCH(SMALL(Rankings!H$2:'Rankings'!H$1000,ROW()),Rankings!H$2:'Rankings'!H$1000,0))</f>
        <v>Mary Lowry</v>
      </c>
      <c r="C550" t="str">
        <f>INDEX(Rankings!C$2:'Rankings'!C$1149,MATCH(SMALL(Rankings!H$2:'Rankings'!H$1000,ROW()),Rankings!H$2:'Rankings'!H$1000,0))</f>
        <v>Mary Lowry</v>
      </c>
      <c r="D550" t="str">
        <f>INDEX(Rankings!C$2:'Rankings'!C$1149,MATCH(SMALL(Rankings!H$2:'Rankings'!H$1000,ROW()),Rankings!H$2:'Rankings'!H$1000,0))</f>
        <v>Mary Lowry</v>
      </c>
      <c r="G550" t="str">
        <f>INDEX(Rankings!C$2:'Rankings'!C$1149,MATCH(SMALL(Rankings!H$2:'Rankings'!H$1000,ROW()),Rankings!H$2:'Rankings'!H$1000,0))</f>
        <v>Mary Lowry</v>
      </c>
    </row>
    <row r="551" spans="2:7" hidden="1" outlineLevel="1" x14ac:dyDescent="0.25">
      <c r="B551" t="str">
        <f>INDEX(Rankings!C$2:'Rankings'!C$1149,MATCH(SMALL(Rankings!H$2:'Rankings'!H$1000,ROW()),Rankings!H$2:'Rankings'!H$1000,0))</f>
        <v>Tam Wolfe</v>
      </c>
      <c r="C551" t="str">
        <f>INDEX(Rankings!C$2:'Rankings'!C$1149,MATCH(SMALL(Rankings!H$2:'Rankings'!H$1000,ROW()),Rankings!H$2:'Rankings'!H$1000,0))</f>
        <v>Tam Wolfe</v>
      </c>
      <c r="D551" t="str">
        <f>INDEX(Rankings!C$2:'Rankings'!C$1149,MATCH(SMALL(Rankings!H$2:'Rankings'!H$1000,ROW()),Rankings!H$2:'Rankings'!H$1000,0))</f>
        <v>Tam Wolfe</v>
      </c>
      <c r="G551" t="str">
        <f>INDEX(Rankings!C$2:'Rankings'!C$1149,MATCH(SMALL(Rankings!H$2:'Rankings'!H$1000,ROW()),Rankings!H$2:'Rankings'!H$1000,0))</f>
        <v>Tam Wolfe</v>
      </c>
    </row>
    <row r="552" spans="2:7" hidden="1" outlineLevel="1" x14ac:dyDescent="0.25">
      <c r="B552" t="str">
        <f>INDEX(Rankings!C$2:'Rankings'!C$1149,MATCH(SMALL(Rankings!H$2:'Rankings'!H$1000,ROW()),Rankings!H$2:'Rankings'!H$1000,0))</f>
        <v>Marygrace Clark</v>
      </c>
      <c r="C552" t="str">
        <f>INDEX(Rankings!C$2:'Rankings'!C$1149,MATCH(SMALL(Rankings!H$2:'Rankings'!H$1000,ROW()),Rankings!H$2:'Rankings'!H$1000,0))</f>
        <v>Marygrace Clark</v>
      </c>
      <c r="D552" t="str">
        <f>INDEX(Rankings!C$2:'Rankings'!C$1149,MATCH(SMALL(Rankings!H$2:'Rankings'!H$1000,ROW()),Rankings!H$2:'Rankings'!H$1000,0))</f>
        <v>Marygrace Clark</v>
      </c>
      <c r="G552" t="str">
        <f>INDEX(Rankings!C$2:'Rankings'!C$1149,MATCH(SMALL(Rankings!H$2:'Rankings'!H$1000,ROW()),Rankings!H$2:'Rankings'!H$1000,0))</f>
        <v>Marygrace Clark</v>
      </c>
    </row>
    <row r="553" spans="2:7" hidden="1" outlineLevel="1" x14ac:dyDescent="0.25">
      <c r="B553" t="str">
        <f>INDEX(Rankings!C$2:'Rankings'!C$1149,MATCH(SMALL(Rankings!H$2:'Rankings'!H$1000,ROW()),Rankings!H$2:'Rankings'!H$1000,0))</f>
        <v>Marygrace Sorrentino</v>
      </c>
      <c r="C553" t="str">
        <f>INDEX(Rankings!C$2:'Rankings'!C$1149,MATCH(SMALL(Rankings!H$2:'Rankings'!H$1000,ROW()),Rankings!H$2:'Rankings'!H$1000,0))</f>
        <v>Marygrace Sorrentino</v>
      </c>
      <c r="D553" t="str">
        <f>INDEX(Rankings!C$2:'Rankings'!C$1149,MATCH(SMALL(Rankings!H$2:'Rankings'!H$1000,ROW()),Rankings!H$2:'Rankings'!H$1000,0))</f>
        <v>Marygrace Sorrentino</v>
      </c>
      <c r="G553" t="str">
        <f>INDEX(Rankings!C$2:'Rankings'!C$1149,MATCH(SMALL(Rankings!H$2:'Rankings'!H$1000,ROW()),Rankings!H$2:'Rankings'!H$1000,0))</f>
        <v>Marygrace Sorrentino</v>
      </c>
    </row>
    <row r="554" spans="2:7" hidden="1" outlineLevel="1" x14ac:dyDescent="0.25">
      <c r="B554" t="str">
        <f>INDEX(Rankings!C$2:'Rankings'!C$1149,MATCH(SMALL(Rankings!H$2:'Rankings'!H$1000,ROW()),Rankings!H$2:'Rankings'!H$1000,0))</f>
        <v>Masafumi Kanbe</v>
      </c>
      <c r="C554" t="str">
        <f>INDEX(Rankings!C$2:'Rankings'!C$1149,MATCH(SMALL(Rankings!H$2:'Rankings'!H$1000,ROW()),Rankings!H$2:'Rankings'!H$1000,0))</f>
        <v>Masafumi Kanbe</v>
      </c>
      <c r="D554" t="str">
        <f>INDEX(Rankings!C$2:'Rankings'!C$1149,MATCH(SMALL(Rankings!H$2:'Rankings'!H$1000,ROW()),Rankings!H$2:'Rankings'!H$1000,0))</f>
        <v>Masafumi Kanbe</v>
      </c>
      <c r="G554" t="str">
        <f>INDEX(Rankings!C$2:'Rankings'!C$1149,MATCH(SMALL(Rankings!H$2:'Rankings'!H$1000,ROW()),Rankings!H$2:'Rankings'!H$1000,0))</f>
        <v>Masafumi Kanbe</v>
      </c>
    </row>
    <row r="555" spans="2:7" hidden="1" outlineLevel="1" x14ac:dyDescent="0.25">
      <c r="B555" t="str">
        <f>INDEX(Rankings!C$2:'Rankings'!C$1149,MATCH(SMALL(Rankings!H$2:'Rankings'!H$1000,ROW()),Rankings!H$2:'Rankings'!H$1000,0))</f>
        <v>Masahiro Takayama</v>
      </c>
      <c r="C555" t="str">
        <f>INDEX(Rankings!C$2:'Rankings'!C$1149,MATCH(SMALL(Rankings!H$2:'Rankings'!H$1000,ROW()),Rankings!H$2:'Rankings'!H$1000,0))</f>
        <v>Masahiro Takayama</v>
      </c>
      <c r="D555" t="str">
        <f>INDEX(Rankings!C$2:'Rankings'!C$1149,MATCH(SMALL(Rankings!H$2:'Rankings'!H$1000,ROW()),Rankings!H$2:'Rankings'!H$1000,0))</f>
        <v>Masahiro Takayama</v>
      </c>
      <c r="G555" t="str">
        <f>INDEX(Rankings!C$2:'Rankings'!C$1149,MATCH(SMALL(Rankings!H$2:'Rankings'!H$1000,ROW()),Rankings!H$2:'Rankings'!H$1000,0))</f>
        <v>Masahiro Takayama</v>
      </c>
    </row>
    <row r="556" spans="2:7" hidden="1" outlineLevel="1" x14ac:dyDescent="0.25">
      <c r="B556" t="str">
        <f>INDEX(Rankings!C$2:'Rankings'!C$1149,MATCH(SMALL(Rankings!H$2:'Rankings'!H$1000,ROW()),Rankings!H$2:'Rankings'!H$1000,0))</f>
        <v>Masaki Hirashima</v>
      </c>
      <c r="C556" t="str">
        <f>INDEX(Rankings!C$2:'Rankings'!C$1149,MATCH(SMALL(Rankings!H$2:'Rankings'!H$1000,ROW()),Rankings!H$2:'Rankings'!H$1000,0))</f>
        <v>Masaki Hirashima</v>
      </c>
      <c r="D556" t="str">
        <f>INDEX(Rankings!C$2:'Rankings'!C$1149,MATCH(SMALL(Rankings!H$2:'Rankings'!H$1000,ROW()),Rankings!H$2:'Rankings'!H$1000,0))</f>
        <v>Masaki Hirashima</v>
      </c>
      <c r="G556" t="str">
        <f>INDEX(Rankings!C$2:'Rankings'!C$1149,MATCH(SMALL(Rankings!H$2:'Rankings'!H$1000,ROW()),Rankings!H$2:'Rankings'!H$1000,0))</f>
        <v>Masaki Hirashima</v>
      </c>
    </row>
    <row r="557" spans="2:7" hidden="1" outlineLevel="1" x14ac:dyDescent="0.25">
      <c r="B557" t="str">
        <f>INDEX(Rankings!C$2:'Rankings'!C$1149,MATCH(SMALL(Rankings!H$2:'Rankings'!H$1000,ROW()),Rankings!H$2:'Rankings'!H$1000,0))</f>
        <v>Masao Yamaji</v>
      </c>
      <c r="C557" t="str">
        <f>INDEX(Rankings!C$2:'Rankings'!C$1149,MATCH(SMALL(Rankings!H$2:'Rankings'!H$1000,ROW()),Rankings!H$2:'Rankings'!H$1000,0))</f>
        <v>Masao Yamaji</v>
      </c>
      <c r="D557" t="str">
        <f>INDEX(Rankings!C$2:'Rankings'!C$1149,MATCH(SMALL(Rankings!H$2:'Rankings'!H$1000,ROW()),Rankings!H$2:'Rankings'!H$1000,0))</f>
        <v>Masao Yamaji</v>
      </c>
      <c r="G557" t="str">
        <f>INDEX(Rankings!C$2:'Rankings'!C$1149,MATCH(SMALL(Rankings!H$2:'Rankings'!H$1000,ROW()),Rankings!H$2:'Rankings'!H$1000,0))</f>
        <v>Masao Yamaji</v>
      </c>
    </row>
    <row r="558" spans="2:7" hidden="1" outlineLevel="1" x14ac:dyDescent="0.25">
      <c r="B558" t="str">
        <f>INDEX(Rankings!C$2:'Rankings'!C$1149,MATCH(SMALL(Rankings!H$2:'Rankings'!H$1000,ROW()),Rankings!H$2:'Rankings'!H$1000,0))</f>
        <v>Masatoshi Ishihara</v>
      </c>
      <c r="C558" t="str">
        <f>INDEX(Rankings!C$2:'Rankings'!C$1149,MATCH(SMALL(Rankings!H$2:'Rankings'!H$1000,ROW()),Rankings!H$2:'Rankings'!H$1000,0))</f>
        <v>Masatoshi Ishihara</v>
      </c>
      <c r="D558" t="str">
        <f>INDEX(Rankings!C$2:'Rankings'!C$1149,MATCH(SMALL(Rankings!H$2:'Rankings'!H$1000,ROW()),Rankings!H$2:'Rankings'!H$1000,0))</f>
        <v>Masatoshi Ishihara</v>
      </c>
      <c r="G558" t="str">
        <f>INDEX(Rankings!C$2:'Rankings'!C$1149,MATCH(SMALL(Rankings!H$2:'Rankings'!H$1000,ROW()),Rankings!H$2:'Rankings'!H$1000,0))</f>
        <v>Masatoshi Ishihara</v>
      </c>
    </row>
    <row r="559" spans="2:7" hidden="1" outlineLevel="1" x14ac:dyDescent="0.25">
      <c r="B559" t="str">
        <f>INDEX(Rankings!C$2:'Rankings'!C$1149,MATCH(SMALL(Rankings!H$2:'Rankings'!H$1000,ROW()),Rankings!H$2:'Rankings'!H$1000,0))</f>
        <v>Massimo Possenti</v>
      </c>
      <c r="C559" t="str">
        <f>INDEX(Rankings!C$2:'Rankings'!C$1149,MATCH(SMALL(Rankings!H$2:'Rankings'!H$1000,ROW()),Rankings!H$2:'Rankings'!H$1000,0))</f>
        <v>Massimo Possenti</v>
      </c>
      <c r="D559" t="str">
        <f>INDEX(Rankings!C$2:'Rankings'!C$1149,MATCH(SMALL(Rankings!H$2:'Rankings'!H$1000,ROW()),Rankings!H$2:'Rankings'!H$1000,0))</f>
        <v>Massimo Possenti</v>
      </c>
      <c r="G559" t="str">
        <f>INDEX(Rankings!C$2:'Rankings'!C$1149,MATCH(SMALL(Rankings!H$2:'Rankings'!H$1000,ROW()),Rankings!H$2:'Rankings'!H$1000,0))</f>
        <v>Massimo Possenti</v>
      </c>
    </row>
    <row r="560" spans="2:7" hidden="1" outlineLevel="1" x14ac:dyDescent="0.25">
      <c r="B560" t="str">
        <f>INDEX(Rankings!C$2:'Rankings'!C$1149,MATCH(SMALL(Rankings!H$2:'Rankings'!H$1000,ROW()),Rankings!H$2:'Rankings'!H$1000,0))</f>
        <v>Massimo Segale</v>
      </c>
      <c r="C560" t="str">
        <f>INDEX(Rankings!C$2:'Rankings'!C$1149,MATCH(SMALL(Rankings!H$2:'Rankings'!H$1000,ROW()),Rankings!H$2:'Rankings'!H$1000,0))</f>
        <v>Massimo Segale</v>
      </c>
      <c r="D560" t="str">
        <f>INDEX(Rankings!C$2:'Rankings'!C$1149,MATCH(SMALL(Rankings!H$2:'Rankings'!H$1000,ROW()),Rankings!H$2:'Rankings'!H$1000,0))</f>
        <v>Massimo Segale</v>
      </c>
      <c r="G560" t="str">
        <f>INDEX(Rankings!C$2:'Rankings'!C$1149,MATCH(SMALL(Rankings!H$2:'Rankings'!H$1000,ROW()),Rankings!H$2:'Rankings'!H$1000,0))</f>
        <v>Massimo Segale</v>
      </c>
    </row>
    <row r="561" spans="2:7" hidden="1" outlineLevel="1" x14ac:dyDescent="0.25">
      <c r="B561" t="str">
        <f>INDEX(Rankings!C$2:'Rankings'!C$1149,MATCH(SMALL(Rankings!H$2:'Rankings'!H$1000,ROW()),Rankings!H$2:'Rankings'!H$1000,0))</f>
        <v>Massimo Zampieri</v>
      </c>
      <c r="C561" t="str">
        <f>INDEX(Rankings!C$2:'Rankings'!C$1149,MATCH(SMALL(Rankings!H$2:'Rankings'!H$1000,ROW()),Rankings!H$2:'Rankings'!H$1000,0))</f>
        <v>Massimo Zampieri</v>
      </c>
      <c r="D561" t="str">
        <f>INDEX(Rankings!C$2:'Rankings'!C$1149,MATCH(SMALL(Rankings!H$2:'Rankings'!H$1000,ROW()),Rankings!H$2:'Rankings'!H$1000,0))</f>
        <v>Massimo Zampieri</v>
      </c>
      <c r="G561" t="str">
        <f>INDEX(Rankings!C$2:'Rankings'!C$1149,MATCH(SMALL(Rankings!H$2:'Rankings'!H$1000,ROW()),Rankings!H$2:'Rankings'!H$1000,0))</f>
        <v>Massimo Zampieri</v>
      </c>
    </row>
    <row r="562" spans="2:7" hidden="1" outlineLevel="1" x14ac:dyDescent="0.25">
      <c r="B562" t="str">
        <f>INDEX(Rankings!C$2:'Rankings'!C$1149,MATCH(SMALL(Rankings!H$2:'Rankings'!H$1000,ROW()),Rankings!H$2:'Rankings'!H$1000,0))</f>
        <v>Matej Kostel</v>
      </c>
      <c r="C562" t="str">
        <f>INDEX(Rankings!C$2:'Rankings'!C$1149,MATCH(SMALL(Rankings!H$2:'Rankings'!H$1000,ROW()),Rankings!H$2:'Rankings'!H$1000,0))</f>
        <v>Matej Kostel</v>
      </c>
      <c r="D562" t="str">
        <f>INDEX(Rankings!C$2:'Rankings'!C$1149,MATCH(SMALL(Rankings!H$2:'Rankings'!H$1000,ROW()),Rankings!H$2:'Rankings'!H$1000,0))</f>
        <v>Matej Kostel</v>
      </c>
      <c r="G562" t="str">
        <f>INDEX(Rankings!C$2:'Rankings'!C$1149,MATCH(SMALL(Rankings!H$2:'Rankings'!H$1000,ROW()),Rankings!H$2:'Rankings'!H$1000,0))</f>
        <v>Matej Kostel</v>
      </c>
    </row>
    <row r="563" spans="2:7" hidden="1" outlineLevel="1" x14ac:dyDescent="0.25">
      <c r="B563" t="str">
        <f>INDEX(Rankings!C$2:'Rankings'!C$1149,MATCH(SMALL(Rankings!H$2:'Rankings'!H$1000,ROW()),Rankings!H$2:'Rankings'!H$1000,0))</f>
        <v>Mateusz Gajewski</v>
      </c>
      <c r="C563" t="str">
        <f>INDEX(Rankings!C$2:'Rankings'!C$1149,MATCH(SMALL(Rankings!H$2:'Rankings'!H$1000,ROW()),Rankings!H$2:'Rankings'!H$1000,0))</f>
        <v>Mateusz Gajewski</v>
      </c>
      <c r="D563" t="str">
        <f>INDEX(Rankings!C$2:'Rankings'!C$1149,MATCH(SMALL(Rankings!H$2:'Rankings'!H$1000,ROW()),Rankings!H$2:'Rankings'!H$1000,0))</f>
        <v>Mateusz Gajewski</v>
      </c>
      <c r="G563" t="str">
        <f>INDEX(Rankings!C$2:'Rankings'!C$1149,MATCH(SMALL(Rankings!H$2:'Rankings'!H$1000,ROW()),Rankings!H$2:'Rankings'!H$1000,0))</f>
        <v>Mateusz Gajewski</v>
      </c>
    </row>
    <row r="564" spans="2:7" hidden="1" outlineLevel="1" x14ac:dyDescent="0.25">
      <c r="B564" t="str">
        <f>INDEX(Rankings!C$2:'Rankings'!C$1149,MATCH(SMALL(Rankings!H$2:'Rankings'!H$1000,ROW()),Rankings!H$2:'Rankings'!H$1000,0))</f>
        <v>Mat'o Kalnik</v>
      </c>
      <c r="C564" t="str">
        <f>INDEX(Rankings!C$2:'Rankings'!C$1149,MATCH(SMALL(Rankings!H$2:'Rankings'!H$1000,ROW()),Rankings!H$2:'Rankings'!H$1000,0))</f>
        <v>Mat'o Kalnik</v>
      </c>
      <c r="D564" t="str">
        <f>INDEX(Rankings!C$2:'Rankings'!C$1149,MATCH(SMALL(Rankings!H$2:'Rankings'!H$1000,ROW()),Rankings!H$2:'Rankings'!H$1000,0))</f>
        <v>Mat'o Kalnik</v>
      </c>
      <c r="G564" t="str">
        <f>INDEX(Rankings!C$2:'Rankings'!C$1149,MATCH(SMALL(Rankings!H$2:'Rankings'!H$1000,ROW()),Rankings!H$2:'Rankings'!H$1000,0))</f>
        <v>Mat'o Kalnik</v>
      </c>
    </row>
    <row r="565" spans="2:7" hidden="1" outlineLevel="1" x14ac:dyDescent="0.25">
      <c r="B565" t="str">
        <f>INDEX(Rankings!C$2:'Rankings'!C$1149,MATCH(SMALL(Rankings!H$2:'Rankings'!H$1000,ROW()),Rankings!H$2:'Rankings'!H$1000,0))</f>
        <v>Matt Brock</v>
      </c>
      <c r="C565" t="str">
        <f>INDEX(Rankings!C$2:'Rankings'!C$1149,MATCH(SMALL(Rankings!H$2:'Rankings'!H$1000,ROW()),Rankings!H$2:'Rankings'!H$1000,0))</f>
        <v>Matt Brock</v>
      </c>
      <c r="D565" t="str">
        <f>INDEX(Rankings!C$2:'Rankings'!C$1149,MATCH(SMALL(Rankings!H$2:'Rankings'!H$1000,ROW()),Rankings!H$2:'Rankings'!H$1000,0))</f>
        <v>Matt Brock</v>
      </c>
      <c r="G565" t="str">
        <f>INDEX(Rankings!C$2:'Rankings'!C$1149,MATCH(SMALL(Rankings!H$2:'Rankings'!H$1000,ROW()),Rankings!H$2:'Rankings'!H$1000,0))</f>
        <v>Matt Brock</v>
      </c>
    </row>
    <row r="566" spans="2:7" hidden="1" outlineLevel="1" x14ac:dyDescent="0.25">
      <c r="B566" t="str">
        <f>INDEX(Rankings!C$2:'Rankings'!C$1149,MATCH(SMALL(Rankings!H$2:'Rankings'!H$1000,ROW()),Rankings!H$2:'Rankings'!H$1000,0))</f>
        <v>Matt Gauthier</v>
      </c>
      <c r="C566" t="str">
        <f>INDEX(Rankings!C$2:'Rankings'!C$1149,MATCH(SMALL(Rankings!H$2:'Rankings'!H$1000,ROW()),Rankings!H$2:'Rankings'!H$1000,0))</f>
        <v>Matt Gauthier</v>
      </c>
      <c r="D566" t="str">
        <f>INDEX(Rankings!C$2:'Rankings'!C$1149,MATCH(SMALL(Rankings!H$2:'Rankings'!H$1000,ROW()),Rankings!H$2:'Rankings'!H$1000,0))</f>
        <v>Matt Gauthier</v>
      </c>
      <c r="G566" t="str">
        <f>INDEX(Rankings!C$2:'Rankings'!C$1149,MATCH(SMALL(Rankings!H$2:'Rankings'!H$1000,ROW()),Rankings!H$2:'Rankings'!H$1000,0))</f>
        <v>Matt Gauthier</v>
      </c>
    </row>
    <row r="567" spans="2:7" hidden="1" outlineLevel="1" x14ac:dyDescent="0.25">
      <c r="B567" t="str">
        <f>INDEX(Rankings!C$2:'Rankings'!C$1149,MATCH(SMALL(Rankings!H$2:'Rankings'!H$1000,ROW()),Rankings!H$2:'Rankings'!H$1000,0))</f>
        <v>Matt Hull</v>
      </c>
      <c r="C567" t="str">
        <f>INDEX(Rankings!C$2:'Rankings'!C$1149,MATCH(SMALL(Rankings!H$2:'Rankings'!H$1000,ROW()),Rankings!H$2:'Rankings'!H$1000,0))</f>
        <v>Matt Hull</v>
      </c>
      <c r="D567" t="str">
        <f>INDEX(Rankings!C$2:'Rankings'!C$1149,MATCH(SMALL(Rankings!H$2:'Rankings'!H$1000,ROW()),Rankings!H$2:'Rankings'!H$1000,0))</f>
        <v>Matt Hull</v>
      </c>
      <c r="G567" t="str">
        <f>INDEX(Rankings!C$2:'Rankings'!C$1149,MATCH(SMALL(Rankings!H$2:'Rankings'!H$1000,ROW()),Rankings!H$2:'Rankings'!H$1000,0))</f>
        <v>Matt Hull</v>
      </c>
    </row>
    <row r="568" spans="2:7" hidden="1" outlineLevel="1" x14ac:dyDescent="0.25">
      <c r="B568" t="str">
        <f>INDEX(Rankings!C$2:'Rankings'!C$1149,MATCH(SMALL(Rankings!H$2:'Rankings'!H$1000,ROW()),Rankings!H$2:'Rankings'!H$1000,0))</f>
        <v>Matteo Ceresa</v>
      </c>
      <c r="C568" t="str">
        <f>INDEX(Rankings!C$2:'Rankings'!C$1149,MATCH(SMALL(Rankings!H$2:'Rankings'!H$1000,ROW()),Rankings!H$2:'Rankings'!H$1000,0))</f>
        <v>Matteo Ceresa</v>
      </c>
      <c r="D568" t="str">
        <f>INDEX(Rankings!C$2:'Rankings'!C$1149,MATCH(SMALL(Rankings!H$2:'Rankings'!H$1000,ROW()),Rankings!H$2:'Rankings'!H$1000,0))</f>
        <v>Matteo Ceresa</v>
      </c>
      <c r="G568" t="str">
        <f>INDEX(Rankings!C$2:'Rankings'!C$1149,MATCH(SMALL(Rankings!H$2:'Rankings'!H$1000,ROW()),Rankings!H$2:'Rankings'!H$1000,0))</f>
        <v>Matteo Ceresa</v>
      </c>
    </row>
    <row r="569" spans="2:7" hidden="1" outlineLevel="1" x14ac:dyDescent="0.25">
      <c r="B569" t="str">
        <f>INDEX(Rankings!C$2:'Rankings'!C$1149,MATCH(SMALL(Rankings!H$2:'Rankings'!H$1000,ROW()),Rankings!H$2:'Rankings'!H$1000,0))</f>
        <v>Matteo Feller</v>
      </c>
      <c r="C569" t="str">
        <f>INDEX(Rankings!C$2:'Rankings'!C$1149,MATCH(SMALL(Rankings!H$2:'Rankings'!H$1000,ROW()),Rankings!H$2:'Rankings'!H$1000,0))</f>
        <v>Matteo Feller</v>
      </c>
      <c r="D569" t="str">
        <f>INDEX(Rankings!C$2:'Rankings'!C$1149,MATCH(SMALL(Rankings!H$2:'Rankings'!H$1000,ROW()),Rankings!H$2:'Rankings'!H$1000,0))</f>
        <v>Matteo Feller</v>
      </c>
      <c r="G569" t="str">
        <f>INDEX(Rankings!C$2:'Rankings'!C$1149,MATCH(SMALL(Rankings!H$2:'Rankings'!H$1000,ROW()),Rankings!H$2:'Rankings'!H$1000,0))</f>
        <v>Matteo Feller</v>
      </c>
    </row>
    <row r="570" spans="2:7" hidden="1" outlineLevel="1" x14ac:dyDescent="0.25">
      <c r="B570" t="str">
        <f>INDEX(Rankings!C$2:'Rankings'!C$1149,MATCH(SMALL(Rankings!H$2:'Rankings'!H$1000,ROW()),Rankings!H$2:'Rankings'!H$1000,0))</f>
        <v>Matteo Gaddoni</v>
      </c>
      <c r="C570" t="str">
        <f>INDEX(Rankings!C$2:'Rankings'!C$1149,MATCH(SMALL(Rankings!H$2:'Rankings'!H$1000,ROW()),Rankings!H$2:'Rankings'!H$1000,0))</f>
        <v>Matteo Gaddoni</v>
      </c>
      <c r="D570" t="str">
        <f>INDEX(Rankings!C$2:'Rankings'!C$1149,MATCH(SMALL(Rankings!H$2:'Rankings'!H$1000,ROW()),Rankings!H$2:'Rankings'!H$1000,0))</f>
        <v>Matteo Gaddoni</v>
      </c>
      <c r="G570" t="str">
        <f>INDEX(Rankings!C$2:'Rankings'!C$1149,MATCH(SMALL(Rankings!H$2:'Rankings'!H$1000,ROW()),Rankings!H$2:'Rankings'!H$1000,0))</f>
        <v>Matteo Gaddoni</v>
      </c>
    </row>
    <row r="571" spans="2:7" hidden="1" outlineLevel="1" x14ac:dyDescent="0.25">
      <c r="B571" t="str">
        <f>INDEX(Rankings!C$2:'Rankings'!C$1149,MATCH(SMALL(Rankings!H$2:'Rankings'!H$1000,ROW()),Rankings!H$2:'Rankings'!H$1000,0))</f>
        <v>Mattia Lambertini</v>
      </c>
      <c r="C571" t="str">
        <f>INDEX(Rankings!C$2:'Rankings'!C$1149,MATCH(SMALL(Rankings!H$2:'Rankings'!H$1000,ROW()),Rankings!H$2:'Rankings'!H$1000,0))</f>
        <v>Mattia Lambertini</v>
      </c>
      <c r="D571" t="str">
        <f>INDEX(Rankings!C$2:'Rankings'!C$1149,MATCH(SMALL(Rankings!H$2:'Rankings'!H$1000,ROW()),Rankings!H$2:'Rankings'!H$1000,0))</f>
        <v>Mattia Lambertini</v>
      </c>
      <c r="G571" t="str">
        <f>INDEX(Rankings!C$2:'Rankings'!C$1149,MATCH(SMALL(Rankings!H$2:'Rankings'!H$1000,ROW()),Rankings!H$2:'Rankings'!H$1000,0))</f>
        <v>Mattia Lambertini</v>
      </c>
    </row>
    <row r="572" spans="2:7" hidden="1" outlineLevel="1" x14ac:dyDescent="0.25">
      <c r="B572" t="str">
        <f>INDEX(Rankings!C$2:'Rankings'!C$1149,MATCH(SMALL(Rankings!H$2:'Rankings'!H$1000,ROW()),Rankings!H$2:'Rankings'!H$1000,0))</f>
        <v>Mattias Nilsson</v>
      </c>
      <c r="C572" t="str">
        <f>INDEX(Rankings!C$2:'Rankings'!C$1149,MATCH(SMALL(Rankings!H$2:'Rankings'!H$1000,ROW()),Rankings!H$2:'Rankings'!H$1000,0))</f>
        <v>Mattias Nilsson</v>
      </c>
      <c r="D572" t="str">
        <f>INDEX(Rankings!C$2:'Rankings'!C$1149,MATCH(SMALL(Rankings!H$2:'Rankings'!H$1000,ROW()),Rankings!H$2:'Rankings'!H$1000,0))</f>
        <v>Mattias Nilsson</v>
      </c>
      <c r="G572" t="str">
        <f>INDEX(Rankings!C$2:'Rankings'!C$1149,MATCH(SMALL(Rankings!H$2:'Rankings'!H$1000,ROW()),Rankings!H$2:'Rankings'!H$1000,0))</f>
        <v>Mattias Nilsson</v>
      </c>
    </row>
    <row r="573" spans="2:7" hidden="1" outlineLevel="1" x14ac:dyDescent="0.25">
      <c r="B573" t="str">
        <f>INDEX(Rankings!C$2:'Rankings'!C$1149,MATCH(SMALL(Rankings!H$2:'Rankings'!H$1000,ROW()),Rankings!H$2:'Rankings'!H$1000,0))</f>
        <v>Mattias Sandkvist</v>
      </c>
      <c r="C573" t="str">
        <f>INDEX(Rankings!C$2:'Rankings'!C$1149,MATCH(SMALL(Rankings!H$2:'Rankings'!H$1000,ROW()),Rankings!H$2:'Rankings'!H$1000,0))</f>
        <v>Mattias Sandkvist</v>
      </c>
      <c r="D573" t="str">
        <f>INDEX(Rankings!C$2:'Rankings'!C$1149,MATCH(SMALL(Rankings!H$2:'Rankings'!H$1000,ROW()),Rankings!H$2:'Rankings'!H$1000,0))</f>
        <v>Mattias Sandkvist</v>
      </c>
      <c r="G573" t="str">
        <f>INDEX(Rankings!C$2:'Rankings'!C$1149,MATCH(SMALL(Rankings!H$2:'Rankings'!H$1000,ROW()),Rankings!H$2:'Rankings'!H$1000,0))</f>
        <v>Mattias Sandkvist</v>
      </c>
    </row>
    <row r="574" spans="2:7" hidden="1" outlineLevel="1" x14ac:dyDescent="0.25">
      <c r="B574" t="str">
        <f>INDEX(Rankings!C$2:'Rankings'!C$1149,MATCH(SMALL(Rankings!H$2:'Rankings'!H$1000,ROW()),Rankings!H$2:'Rankings'!H$1000,0))</f>
        <v>Mattie Shelton</v>
      </c>
      <c r="C574" t="str">
        <f>INDEX(Rankings!C$2:'Rankings'!C$1149,MATCH(SMALL(Rankings!H$2:'Rankings'!H$1000,ROW()),Rankings!H$2:'Rankings'!H$1000,0))</f>
        <v>Mattie Shelton</v>
      </c>
      <c r="D574" t="str">
        <f>INDEX(Rankings!C$2:'Rankings'!C$1149,MATCH(SMALL(Rankings!H$2:'Rankings'!H$1000,ROW()),Rankings!H$2:'Rankings'!H$1000,0))</f>
        <v>Mattie Shelton</v>
      </c>
      <c r="G574" t="str">
        <f>INDEX(Rankings!C$2:'Rankings'!C$1149,MATCH(SMALL(Rankings!H$2:'Rankings'!H$1000,ROW()),Rankings!H$2:'Rankings'!H$1000,0))</f>
        <v>Mattie Shelton</v>
      </c>
    </row>
    <row r="575" spans="2:7" hidden="1" outlineLevel="1" x14ac:dyDescent="0.25">
      <c r="B575" t="str">
        <f>INDEX(Rankings!C$2:'Rankings'!C$1149,MATCH(SMALL(Rankings!H$2:'Rankings'!H$1000,ROW()),Rankings!H$2:'Rankings'!H$1000,0))</f>
        <v>Maurice Eugene</v>
      </c>
      <c r="C575" t="str">
        <f>INDEX(Rankings!C$2:'Rankings'!C$1149,MATCH(SMALL(Rankings!H$2:'Rankings'!H$1000,ROW()),Rankings!H$2:'Rankings'!H$1000,0))</f>
        <v>Maurice Eugene</v>
      </c>
      <c r="D575" t="str">
        <f>INDEX(Rankings!C$2:'Rankings'!C$1149,MATCH(SMALL(Rankings!H$2:'Rankings'!H$1000,ROW()),Rankings!H$2:'Rankings'!H$1000,0))</f>
        <v>Maurice Eugene</v>
      </c>
      <c r="G575" t="str">
        <f>INDEX(Rankings!C$2:'Rankings'!C$1149,MATCH(SMALL(Rankings!H$2:'Rankings'!H$1000,ROW()),Rankings!H$2:'Rankings'!H$1000,0))</f>
        <v>Maurice Eugene</v>
      </c>
    </row>
    <row r="576" spans="2:7" hidden="1" outlineLevel="1" x14ac:dyDescent="0.25">
      <c r="B576" t="str">
        <f>INDEX(Rankings!C$2:'Rankings'!C$1149,MATCH(SMALL(Rankings!H$2:'Rankings'!H$1000,ROW()),Rankings!H$2:'Rankings'!H$1000,0))</f>
        <v>Mauricio Mesa</v>
      </c>
      <c r="C576" t="str">
        <f>INDEX(Rankings!C$2:'Rankings'!C$1149,MATCH(SMALL(Rankings!H$2:'Rankings'!H$1000,ROW()),Rankings!H$2:'Rankings'!H$1000,0))</f>
        <v>Mauricio Mesa</v>
      </c>
      <c r="D576" t="str">
        <f>INDEX(Rankings!C$2:'Rankings'!C$1149,MATCH(SMALL(Rankings!H$2:'Rankings'!H$1000,ROW()),Rankings!H$2:'Rankings'!H$1000,0))</f>
        <v>Mauricio Mesa</v>
      </c>
      <c r="G576" t="str">
        <f>INDEX(Rankings!C$2:'Rankings'!C$1149,MATCH(SMALL(Rankings!H$2:'Rankings'!H$1000,ROW()),Rankings!H$2:'Rankings'!H$1000,0))</f>
        <v>Mauricio Mesa</v>
      </c>
    </row>
    <row r="577" spans="2:7" hidden="1" outlineLevel="1" x14ac:dyDescent="0.25">
      <c r="B577" t="str">
        <f>INDEX(Rankings!C$2:'Rankings'!C$1149,MATCH(SMALL(Rankings!H$2:'Rankings'!H$1000,ROW()),Rankings!H$2:'Rankings'!H$1000,0))</f>
        <v>Mauro Mercuri</v>
      </c>
      <c r="C577" t="str">
        <f>INDEX(Rankings!C$2:'Rankings'!C$1149,MATCH(SMALL(Rankings!H$2:'Rankings'!H$1000,ROW()),Rankings!H$2:'Rankings'!H$1000,0))</f>
        <v>Mauro Mercuri</v>
      </c>
      <c r="D577" t="str">
        <f>INDEX(Rankings!C$2:'Rankings'!C$1149,MATCH(SMALL(Rankings!H$2:'Rankings'!H$1000,ROW()),Rankings!H$2:'Rankings'!H$1000,0))</f>
        <v>Mauro Mercuri</v>
      </c>
      <c r="G577" t="str">
        <f>INDEX(Rankings!C$2:'Rankings'!C$1149,MATCH(SMALL(Rankings!H$2:'Rankings'!H$1000,ROW()),Rankings!H$2:'Rankings'!H$1000,0))</f>
        <v>Mauro Mercuri</v>
      </c>
    </row>
    <row r="578" spans="2:7" hidden="1" outlineLevel="1" x14ac:dyDescent="0.25">
      <c r="B578" t="str">
        <f>INDEX(Rankings!C$2:'Rankings'!C$1149,MATCH(SMALL(Rankings!H$2:'Rankings'!H$1000,ROW()),Rankings!H$2:'Rankings'!H$1000,0))</f>
        <v>Max Schmidt</v>
      </c>
      <c r="C578" t="str">
        <f>INDEX(Rankings!C$2:'Rankings'!C$1149,MATCH(SMALL(Rankings!H$2:'Rankings'!H$1000,ROW()),Rankings!H$2:'Rankings'!H$1000,0))</f>
        <v>Max Schmidt</v>
      </c>
      <c r="D578" t="str">
        <f>INDEX(Rankings!C$2:'Rankings'!C$1149,MATCH(SMALL(Rankings!H$2:'Rankings'!H$1000,ROW()),Rankings!H$2:'Rankings'!H$1000,0))</f>
        <v>Max Schmidt</v>
      </c>
      <c r="G578" t="str">
        <f>INDEX(Rankings!C$2:'Rankings'!C$1149,MATCH(SMALL(Rankings!H$2:'Rankings'!H$1000,ROW()),Rankings!H$2:'Rankings'!H$1000,0))</f>
        <v>Max Schmidt</v>
      </c>
    </row>
    <row r="579" spans="2:7" hidden="1" outlineLevel="1" x14ac:dyDescent="0.25">
      <c r="B579" t="str">
        <f>INDEX(Rankings!C$2:'Rankings'!C$1149,MATCH(SMALL(Rankings!H$2:'Rankings'!H$1000,ROW()),Rankings!H$2:'Rankings'!H$1000,0))</f>
        <v>Mayumi Suzuki</v>
      </c>
      <c r="C579" t="str">
        <f>INDEX(Rankings!C$2:'Rankings'!C$1149,MATCH(SMALL(Rankings!H$2:'Rankings'!H$1000,ROW()),Rankings!H$2:'Rankings'!H$1000,0))</f>
        <v>Mayumi Suzuki</v>
      </c>
      <c r="D579" t="str">
        <f>INDEX(Rankings!C$2:'Rankings'!C$1149,MATCH(SMALL(Rankings!H$2:'Rankings'!H$1000,ROW()),Rankings!H$2:'Rankings'!H$1000,0))</f>
        <v>Mayumi Suzuki</v>
      </c>
      <c r="G579" t="str">
        <f>INDEX(Rankings!C$2:'Rankings'!C$1149,MATCH(SMALL(Rankings!H$2:'Rankings'!H$1000,ROW()),Rankings!H$2:'Rankings'!H$1000,0))</f>
        <v>Mayumi Suzuki</v>
      </c>
    </row>
    <row r="580" spans="2:7" hidden="1" outlineLevel="1" x14ac:dyDescent="0.25">
      <c r="B580" t="str">
        <f>INDEX(Rankings!C$2:'Rankings'!C$1149,MATCH(SMALL(Rankings!H$2:'Rankings'!H$1000,ROW()),Rankings!H$2:'Rankings'!H$1000,0))</f>
        <v>Megan Grilliot</v>
      </c>
      <c r="C580" t="str">
        <f>INDEX(Rankings!C$2:'Rankings'!C$1149,MATCH(SMALL(Rankings!H$2:'Rankings'!H$1000,ROW()),Rankings!H$2:'Rankings'!H$1000,0))</f>
        <v>Megan Grilliot</v>
      </c>
      <c r="D580" t="str">
        <f>INDEX(Rankings!C$2:'Rankings'!C$1149,MATCH(SMALL(Rankings!H$2:'Rankings'!H$1000,ROW()),Rankings!H$2:'Rankings'!H$1000,0))</f>
        <v>Megan Grilliot</v>
      </c>
      <c r="G580" t="str">
        <f>INDEX(Rankings!C$2:'Rankings'!C$1149,MATCH(SMALL(Rankings!H$2:'Rankings'!H$1000,ROW()),Rankings!H$2:'Rankings'!H$1000,0))</f>
        <v>Megan Grilliot</v>
      </c>
    </row>
    <row r="581" spans="2:7" hidden="1" outlineLevel="1" x14ac:dyDescent="0.25">
      <c r="B581" t="str">
        <f>INDEX(Rankings!C$2:'Rankings'!C$1149,MATCH(SMALL(Rankings!H$2:'Rankings'!H$1000,ROW()),Rankings!H$2:'Rankings'!H$1000,0))</f>
        <v>Mehrdad Hosseinian</v>
      </c>
      <c r="C581" t="str">
        <f>INDEX(Rankings!C$2:'Rankings'!C$1149,MATCH(SMALL(Rankings!H$2:'Rankings'!H$1000,ROW()),Rankings!H$2:'Rankings'!H$1000,0))</f>
        <v>Mehrdad Hosseinian</v>
      </c>
      <c r="D581" t="str">
        <f>INDEX(Rankings!C$2:'Rankings'!C$1149,MATCH(SMALL(Rankings!H$2:'Rankings'!H$1000,ROW()),Rankings!H$2:'Rankings'!H$1000,0))</f>
        <v>Mehrdad Hosseinian</v>
      </c>
      <c r="G581" t="str">
        <f>INDEX(Rankings!C$2:'Rankings'!C$1149,MATCH(SMALL(Rankings!H$2:'Rankings'!H$1000,ROW()),Rankings!H$2:'Rankings'!H$1000,0))</f>
        <v>Mehrdad Hosseinian</v>
      </c>
    </row>
    <row r="582" spans="2:7" hidden="1" outlineLevel="1" x14ac:dyDescent="0.25">
      <c r="B582" t="str">
        <f>INDEX(Rankings!C$2:'Rankings'!C$1149,MATCH(SMALL(Rankings!H$2:'Rankings'!H$1000,ROW()),Rankings!H$2:'Rankings'!H$1000,0))</f>
        <v>Melanie Kranz</v>
      </c>
      <c r="C582" t="str">
        <f>INDEX(Rankings!C$2:'Rankings'!C$1149,MATCH(SMALL(Rankings!H$2:'Rankings'!H$1000,ROW()),Rankings!H$2:'Rankings'!H$1000,0))</f>
        <v>Melanie Kranz</v>
      </c>
      <c r="D582" t="str">
        <f>INDEX(Rankings!C$2:'Rankings'!C$1149,MATCH(SMALL(Rankings!H$2:'Rankings'!H$1000,ROW()),Rankings!H$2:'Rankings'!H$1000,0))</f>
        <v>Melanie Kranz</v>
      </c>
      <c r="G582" t="str">
        <f>INDEX(Rankings!C$2:'Rankings'!C$1149,MATCH(SMALL(Rankings!H$2:'Rankings'!H$1000,ROW()),Rankings!H$2:'Rankings'!H$1000,0))</f>
        <v>Melanie Kranz</v>
      </c>
    </row>
    <row r="583" spans="2:7" hidden="1" outlineLevel="1" x14ac:dyDescent="0.25">
      <c r="B583" t="str">
        <f>INDEX(Rankings!C$2:'Rankings'!C$1149,MATCH(SMALL(Rankings!H$2:'Rankings'!H$1000,ROW()),Rankings!H$2:'Rankings'!H$1000,0))</f>
        <v>Melissa Trail</v>
      </c>
      <c r="C583" t="str">
        <f>INDEX(Rankings!C$2:'Rankings'!C$1149,MATCH(SMALL(Rankings!H$2:'Rankings'!H$1000,ROW()),Rankings!H$2:'Rankings'!H$1000,0))</f>
        <v>Melissa Trail</v>
      </c>
      <c r="D583" t="str">
        <f>INDEX(Rankings!C$2:'Rankings'!C$1149,MATCH(SMALL(Rankings!H$2:'Rankings'!H$1000,ROW()),Rankings!H$2:'Rankings'!H$1000,0))</f>
        <v>Melissa Trail</v>
      </c>
      <c r="G583" t="str">
        <f>INDEX(Rankings!C$2:'Rankings'!C$1149,MATCH(SMALL(Rankings!H$2:'Rankings'!H$1000,ROW()),Rankings!H$2:'Rankings'!H$1000,0))</f>
        <v>Melissa Trail</v>
      </c>
    </row>
    <row r="584" spans="2:7" hidden="1" outlineLevel="1" x14ac:dyDescent="0.25">
      <c r="B584" t="str">
        <f>INDEX(Rankings!C$2:'Rankings'!C$1149,MATCH(SMALL(Rankings!H$2:'Rankings'!H$1000,ROW()),Rankings!H$2:'Rankings'!H$1000,0))</f>
        <v>Merrill Detwiler</v>
      </c>
      <c r="C584" t="str">
        <f>INDEX(Rankings!C$2:'Rankings'!C$1149,MATCH(SMALL(Rankings!H$2:'Rankings'!H$1000,ROW()),Rankings!H$2:'Rankings'!H$1000,0))</f>
        <v>Merrill Detwiler</v>
      </c>
      <c r="D584" t="str">
        <f>INDEX(Rankings!C$2:'Rankings'!C$1149,MATCH(SMALL(Rankings!H$2:'Rankings'!H$1000,ROW()),Rankings!H$2:'Rankings'!H$1000,0))</f>
        <v>Merrill Detwiler</v>
      </c>
      <c r="G584" t="str">
        <f>INDEX(Rankings!C$2:'Rankings'!C$1149,MATCH(SMALL(Rankings!H$2:'Rankings'!H$1000,ROW()),Rankings!H$2:'Rankings'!H$1000,0))</f>
        <v>Merrill Detwiler</v>
      </c>
    </row>
    <row r="585" spans="2:7" hidden="1" outlineLevel="1" x14ac:dyDescent="0.25">
      <c r="B585" t="str">
        <f>INDEX(Rankings!C$2:'Rankings'!C$1149,MATCH(SMALL(Rankings!H$2:'Rankings'!H$1000,ROW()),Rankings!H$2:'Rankings'!H$1000,0))</f>
        <v>Mes Ardagna</v>
      </c>
      <c r="C585" t="str">
        <f>INDEX(Rankings!C$2:'Rankings'!C$1149,MATCH(SMALL(Rankings!H$2:'Rankings'!H$1000,ROW()),Rankings!H$2:'Rankings'!H$1000,0))</f>
        <v>Mes Ardagna</v>
      </c>
      <c r="D585" t="str">
        <f>INDEX(Rankings!C$2:'Rankings'!C$1149,MATCH(SMALL(Rankings!H$2:'Rankings'!H$1000,ROW()),Rankings!H$2:'Rankings'!H$1000,0))</f>
        <v>Mes Ardagna</v>
      </c>
      <c r="G585" t="str">
        <f>INDEX(Rankings!C$2:'Rankings'!C$1149,MATCH(SMALL(Rankings!H$2:'Rankings'!H$1000,ROW()),Rankings!H$2:'Rankings'!H$1000,0))</f>
        <v>Mes Ardagna</v>
      </c>
    </row>
    <row r="586" spans="2:7" hidden="1" outlineLevel="1" x14ac:dyDescent="0.25">
      <c r="B586" t="str">
        <f>INDEX(Rankings!C$2:'Rankings'!C$1149,MATCH(SMALL(Rankings!H$2:'Rankings'!H$1000,ROW()),Rankings!H$2:'Rankings'!H$1000,0))</f>
        <v>Micah Kiehl</v>
      </c>
      <c r="C586" t="str">
        <f>INDEX(Rankings!C$2:'Rankings'!C$1149,MATCH(SMALL(Rankings!H$2:'Rankings'!H$1000,ROW()),Rankings!H$2:'Rankings'!H$1000,0))</f>
        <v>Micah Kiehl</v>
      </c>
      <c r="D586" t="str">
        <f>INDEX(Rankings!C$2:'Rankings'!C$1149,MATCH(SMALL(Rankings!H$2:'Rankings'!H$1000,ROW()),Rankings!H$2:'Rankings'!H$1000,0))</f>
        <v>Micah Kiehl</v>
      </c>
      <c r="G586" t="str">
        <f>INDEX(Rankings!C$2:'Rankings'!C$1149,MATCH(SMALL(Rankings!H$2:'Rankings'!H$1000,ROW()),Rankings!H$2:'Rankings'!H$1000,0))</f>
        <v>Micah Kiehl</v>
      </c>
    </row>
    <row r="587" spans="2:7" hidden="1" outlineLevel="1" x14ac:dyDescent="0.25">
      <c r="B587" t="str">
        <f>INDEX(Rankings!C$2:'Rankings'!C$1149,MATCH(SMALL(Rankings!H$2:'Rankings'!H$1000,ROW()),Rankings!H$2:'Rankings'!H$1000,0))</f>
        <v>Michael Clarke</v>
      </c>
      <c r="C587" t="str">
        <f>INDEX(Rankings!C$2:'Rankings'!C$1149,MATCH(SMALL(Rankings!H$2:'Rankings'!H$1000,ROW()),Rankings!H$2:'Rankings'!H$1000,0))</f>
        <v>Michael Clarke</v>
      </c>
      <c r="D587" t="str">
        <f>INDEX(Rankings!C$2:'Rankings'!C$1149,MATCH(SMALL(Rankings!H$2:'Rankings'!H$1000,ROW()),Rankings!H$2:'Rankings'!H$1000,0))</f>
        <v>Michael Clarke</v>
      </c>
      <c r="G587" t="str">
        <f>INDEX(Rankings!C$2:'Rankings'!C$1149,MATCH(SMALL(Rankings!H$2:'Rankings'!H$1000,ROW()),Rankings!H$2:'Rankings'!H$1000,0))</f>
        <v>Michael Clarke</v>
      </c>
    </row>
    <row r="588" spans="2:7" hidden="1" outlineLevel="1" x14ac:dyDescent="0.25">
      <c r="B588" t="str">
        <f>INDEX(Rankings!C$2:'Rankings'!C$1149,MATCH(SMALL(Rankings!H$2:'Rankings'!H$1000,ROW()),Rankings!H$2:'Rankings'!H$1000,0))</f>
        <v>Michael Conger</v>
      </c>
      <c r="C588" t="str">
        <f>INDEX(Rankings!C$2:'Rankings'!C$1149,MATCH(SMALL(Rankings!H$2:'Rankings'!H$1000,ROW()),Rankings!H$2:'Rankings'!H$1000,0))</f>
        <v>Michael Conger</v>
      </c>
      <c r="D588" t="str">
        <f>INDEX(Rankings!C$2:'Rankings'!C$1149,MATCH(SMALL(Rankings!H$2:'Rankings'!H$1000,ROW()),Rankings!H$2:'Rankings'!H$1000,0))</f>
        <v>Michael Conger</v>
      </c>
      <c r="G588" t="str">
        <f>INDEX(Rankings!C$2:'Rankings'!C$1149,MATCH(SMALL(Rankings!H$2:'Rankings'!H$1000,ROW()),Rankings!H$2:'Rankings'!H$1000,0))</f>
        <v>Michael Conger</v>
      </c>
    </row>
    <row r="589" spans="2:7" hidden="1" outlineLevel="1" x14ac:dyDescent="0.25">
      <c r="B589" t="str">
        <f>INDEX(Rankings!C$2:'Rankings'!C$1149,MATCH(SMALL(Rankings!H$2:'Rankings'!H$1000,ROW()),Rankings!H$2:'Rankings'!H$1000,0))</f>
        <v>Michael Hu</v>
      </c>
      <c r="C589" t="str">
        <f>INDEX(Rankings!C$2:'Rankings'!C$1149,MATCH(SMALL(Rankings!H$2:'Rankings'!H$1000,ROW()),Rankings!H$2:'Rankings'!H$1000,0))</f>
        <v>Michael Hu</v>
      </c>
      <c r="D589" t="str">
        <f>INDEX(Rankings!C$2:'Rankings'!C$1149,MATCH(SMALL(Rankings!H$2:'Rankings'!H$1000,ROW()),Rankings!H$2:'Rankings'!H$1000,0))</f>
        <v>Michael Hu</v>
      </c>
      <c r="G589" t="str">
        <f>INDEX(Rankings!C$2:'Rankings'!C$1149,MATCH(SMALL(Rankings!H$2:'Rankings'!H$1000,ROW()),Rankings!H$2:'Rankings'!H$1000,0))</f>
        <v>Michael Hu</v>
      </c>
    </row>
    <row r="590" spans="2:7" hidden="1" outlineLevel="1" x14ac:dyDescent="0.25">
      <c r="B590" t="str">
        <f>INDEX(Rankings!C$2:'Rankings'!C$1149,MATCH(SMALL(Rankings!H$2:'Rankings'!H$1000,ROW()),Rankings!H$2:'Rankings'!H$1000,0))</f>
        <v>Michal Maciolek</v>
      </c>
      <c r="C590" t="str">
        <f>INDEX(Rankings!C$2:'Rankings'!C$1149,MATCH(SMALL(Rankings!H$2:'Rankings'!H$1000,ROW()),Rankings!H$2:'Rankings'!H$1000,0))</f>
        <v>Michal Maciolek</v>
      </c>
      <c r="D590" t="str">
        <f>INDEX(Rankings!C$2:'Rankings'!C$1149,MATCH(SMALL(Rankings!H$2:'Rankings'!H$1000,ROW()),Rankings!H$2:'Rankings'!H$1000,0))</f>
        <v>Michal Maciolek</v>
      </c>
      <c r="G590" t="str">
        <f>INDEX(Rankings!C$2:'Rankings'!C$1149,MATCH(SMALL(Rankings!H$2:'Rankings'!H$1000,ROW()),Rankings!H$2:'Rankings'!H$1000,0))</f>
        <v>Michal Maciolek</v>
      </c>
    </row>
    <row r="591" spans="2:7" hidden="1" outlineLevel="1" x14ac:dyDescent="0.25">
      <c r="B591" t="str">
        <f>INDEX(Rankings!C$2:'Rankings'!C$1149,MATCH(SMALL(Rankings!H$2:'Rankings'!H$1000,ROW()),Rankings!H$2:'Rankings'!H$1000,0))</f>
        <v>Michal Roginski</v>
      </c>
      <c r="C591" t="str">
        <f>INDEX(Rankings!C$2:'Rankings'!C$1149,MATCH(SMALL(Rankings!H$2:'Rankings'!H$1000,ROW()),Rankings!H$2:'Rankings'!H$1000,0))</f>
        <v>Michal Roginski</v>
      </c>
      <c r="D591" t="str">
        <f>INDEX(Rankings!C$2:'Rankings'!C$1149,MATCH(SMALL(Rankings!H$2:'Rankings'!H$1000,ROW()),Rankings!H$2:'Rankings'!H$1000,0))</f>
        <v>Michal Roginski</v>
      </c>
      <c r="G591" t="str">
        <f>INDEX(Rankings!C$2:'Rankings'!C$1149,MATCH(SMALL(Rankings!H$2:'Rankings'!H$1000,ROW()),Rankings!H$2:'Rankings'!H$1000,0))</f>
        <v>Michal Roginski</v>
      </c>
    </row>
    <row r="592" spans="2:7" hidden="1" outlineLevel="1" x14ac:dyDescent="0.25">
      <c r="B592" t="str">
        <f>INDEX(Rankings!C$2:'Rankings'!C$1149,MATCH(SMALL(Rankings!H$2:'Rankings'!H$1000,ROW()),Rankings!H$2:'Rankings'!H$1000,0))</f>
        <v>Michel Otte</v>
      </c>
      <c r="C592" t="str">
        <f>INDEX(Rankings!C$2:'Rankings'!C$1149,MATCH(SMALL(Rankings!H$2:'Rankings'!H$1000,ROW()),Rankings!H$2:'Rankings'!H$1000,0))</f>
        <v>Michel Otte</v>
      </c>
      <c r="D592" t="str">
        <f>INDEX(Rankings!C$2:'Rankings'!C$1149,MATCH(SMALL(Rankings!H$2:'Rankings'!H$1000,ROW()),Rankings!H$2:'Rankings'!H$1000,0))</f>
        <v>Michel Otte</v>
      </c>
      <c r="G592" t="str">
        <f>INDEX(Rankings!C$2:'Rankings'!C$1149,MATCH(SMALL(Rankings!H$2:'Rankings'!H$1000,ROW()),Rankings!H$2:'Rankings'!H$1000,0))</f>
        <v>Michel Otte</v>
      </c>
    </row>
    <row r="593" spans="2:7" hidden="1" outlineLevel="1" x14ac:dyDescent="0.25">
      <c r="B593" t="str">
        <f>INDEX(Rankings!C$2:'Rankings'!C$1149,MATCH(SMALL(Rankings!H$2:'Rankings'!H$1000,ROW()),Rankings!H$2:'Rankings'!H$1000,0))</f>
        <v>Michele Casadei</v>
      </c>
      <c r="C593" t="str">
        <f>INDEX(Rankings!C$2:'Rankings'!C$1149,MATCH(SMALL(Rankings!H$2:'Rankings'!H$1000,ROW()),Rankings!H$2:'Rankings'!H$1000,0))</f>
        <v>Michele Casadei</v>
      </c>
      <c r="D593" t="str">
        <f>INDEX(Rankings!C$2:'Rankings'!C$1149,MATCH(SMALL(Rankings!H$2:'Rankings'!H$1000,ROW()),Rankings!H$2:'Rankings'!H$1000,0))</f>
        <v>Michele Casadei</v>
      </c>
      <c r="G593" t="str">
        <f>INDEX(Rankings!C$2:'Rankings'!C$1149,MATCH(SMALL(Rankings!H$2:'Rankings'!H$1000,ROW()),Rankings!H$2:'Rankings'!H$1000,0))</f>
        <v>Michele Casadei</v>
      </c>
    </row>
    <row r="594" spans="2:7" hidden="1" outlineLevel="1" x14ac:dyDescent="0.25">
      <c r="B594" t="str">
        <f>INDEX(Rankings!C$2:'Rankings'!C$1149,MATCH(SMALL(Rankings!H$2:'Rankings'!H$1000,ROW()),Rankings!H$2:'Rankings'!H$1000,0))</f>
        <v>Mikael Zewgren</v>
      </c>
      <c r="C594" t="str">
        <f>INDEX(Rankings!C$2:'Rankings'!C$1149,MATCH(SMALL(Rankings!H$2:'Rankings'!H$1000,ROW()),Rankings!H$2:'Rankings'!H$1000,0))</f>
        <v>Mikael Zewgren</v>
      </c>
      <c r="D594" t="str">
        <f>INDEX(Rankings!C$2:'Rankings'!C$1149,MATCH(SMALL(Rankings!H$2:'Rankings'!H$1000,ROW()),Rankings!H$2:'Rankings'!H$1000,0))</f>
        <v>Mikael Zewgren</v>
      </c>
      <c r="G594" t="str">
        <f>INDEX(Rankings!C$2:'Rankings'!C$1149,MATCH(SMALL(Rankings!H$2:'Rankings'!H$1000,ROW()),Rankings!H$2:'Rankings'!H$1000,0))</f>
        <v>Mikael Zewgren</v>
      </c>
    </row>
    <row r="595" spans="2:7" hidden="1" outlineLevel="1" x14ac:dyDescent="0.25">
      <c r="B595" t="str">
        <f>INDEX(Rankings!C$2:'Rankings'!C$1149,MATCH(SMALL(Rankings!H$2:'Rankings'!H$1000,ROW()),Rankings!H$2:'Rankings'!H$1000,0))</f>
        <v>Mike Beckman</v>
      </c>
      <c r="C595" t="str">
        <f>INDEX(Rankings!C$2:'Rankings'!C$1149,MATCH(SMALL(Rankings!H$2:'Rankings'!H$1000,ROW()),Rankings!H$2:'Rankings'!H$1000,0))</f>
        <v>Mike Beckman</v>
      </c>
      <c r="D595" t="str">
        <f>INDEX(Rankings!C$2:'Rankings'!C$1149,MATCH(SMALL(Rankings!H$2:'Rankings'!H$1000,ROW()),Rankings!H$2:'Rankings'!H$1000,0))</f>
        <v>Mike Beckman</v>
      </c>
      <c r="G595" t="str">
        <f>INDEX(Rankings!C$2:'Rankings'!C$1149,MATCH(SMALL(Rankings!H$2:'Rankings'!H$1000,ROW()),Rankings!H$2:'Rankings'!H$1000,0))</f>
        <v>Mike Beckman</v>
      </c>
    </row>
    <row r="596" spans="2:7" hidden="1" outlineLevel="1" x14ac:dyDescent="0.25">
      <c r="B596" t="str">
        <f>INDEX(Rankings!C$2:'Rankings'!C$1149,MATCH(SMALL(Rankings!H$2:'Rankings'!H$1000,ROW()),Rankings!H$2:'Rankings'!H$1000,0))</f>
        <v>Mike Esterbrook</v>
      </c>
      <c r="C596" t="str">
        <f>INDEX(Rankings!C$2:'Rankings'!C$1149,MATCH(SMALL(Rankings!H$2:'Rankings'!H$1000,ROW()),Rankings!H$2:'Rankings'!H$1000,0))</f>
        <v>Mike Esterbrook</v>
      </c>
      <c r="D596" t="str">
        <f>INDEX(Rankings!C$2:'Rankings'!C$1149,MATCH(SMALL(Rankings!H$2:'Rankings'!H$1000,ROW()),Rankings!H$2:'Rankings'!H$1000,0))</f>
        <v>Mike Esterbrook</v>
      </c>
      <c r="G596" t="str">
        <f>INDEX(Rankings!C$2:'Rankings'!C$1149,MATCH(SMALL(Rankings!H$2:'Rankings'!H$1000,ROW()),Rankings!H$2:'Rankings'!H$1000,0))</f>
        <v>Mike Esterbrook</v>
      </c>
    </row>
    <row r="597" spans="2:7" hidden="1" outlineLevel="1" x14ac:dyDescent="0.25">
      <c r="B597" t="str">
        <f>INDEX(Rankings!C$2:'Rankings'!C$1149,MATCH(SMALL(Rankings!H$2:'Rankings'!H$1000,ROW()),Rankings!H$2:'Rankings'!H$1000,0))</f>
        <v>Mike Galloupe</v>
      </c>
      <c r="C597" t="str">
        <f>INDEX(Rankings!C$2:'Rankings'!C$1149,MATCH(SMALL(Rankings!H$2:'Rankings'!H$1000,ROW()),Rankings!H$2:'Rankings'!H$1000,0))</f>
        <v>Mike Galloupe</v>
      </c>
      <c r="D597" t="str">
        <f>INDEX(Rankings!C$2:'Rankings'!C$1149,MATCH(SMALL(Rankings!H$2:'Rankings'!H$1000,ROW()),Rankings!H$2:'Rankings'!H$1000,0))</f>
        <v>Mike Galloupe</v>
      </c>
      <c r="G597" t="str">
        <f>INDEX(Rankings!C$2:'Rankings'!C$1149,MATCH(SMALL(Rankings!H$2:'Rankings'!H$1000,ROW()),Rankings!H$2:'Rankings'!H$1000,0))</f>
        <v>Mike Galloupe</v>
      </c>
    </row>
    <row r="598" spans="2:7" hidden="1" outlineLevel="1" x14ac:dyDescent="0.25">
      <c r="B598" t="str">
        <f>INDEX(Rankings!C$2:'Rankings'!C$1149,MATCH(SMALL(Rankings!H$2:'Rankings'!H$1000,ROW()),Rankings!H$2:'Rankings'!H$1000,0))</f>
        <v>Mike Hettich</v>
      </c>
      <c r="C598" t="str">
        <f>INDEX(Rankings!C$2:'Rankings'!C$1149,MATCH(SMALL(Rankings!H$2:'Rankings'!H$1000,ROW()),Rankings!H$2:'Rankings'!H$1000,0))</f>
        <v>Mike Hettich</v>
      </c>
      <c r="D598" t="str">
        <f>INDEX(Rankings!C$2:'Rankings'!C$1149,MATCH(SMALL(Rankings!H$2:'Rankings'!H$1000,ROW()),Rankings!H$2:'Rankings'!H$1000,0))</f>
        <v>Mike Hettich</v>
      </c>
      <c r="G598" t="str">
        <f>INDEX(Rankings!C$2:'Rankings'!C$1149,MATCH(SMALL(Rankings!H$2:'Rankings'!H$1000,ROW()),Rankings!H$2:'Rankings'!H$1000,0))</f>
        <v>Mike Hettich</v>
      </c>
    </row>
    <row r="599" spans="2:7" hidden="1" outlineLevel="1" x14ac:dyDescent="0.25">
      <c r="B599" t="str">
        <f>INDEX(Rankings!C$2:'Rankings'!C$1149,MATCH(SMALL(Rankings!H$2:'Rankings'!H$1000,ROW()),Rankings!H$2:'Rankings'!H$1000,0))</f>
        <v>Mike Hughes</v>
      </c>
      <c r="C599" t="str">
        <f>INDEX(Rankings!C$2:'Rankings'!C$1149,MATCH(SMALL(Rankings!H$2:'Rankings'!H$1000,ROW()),Rankings!H$2:'Rankings'!H$1000,0))</f>
        <v>Mike Hughes</v>
      </c>
      <c r="D599" t="str">
        <f>INDEX(Rankings!C$2:'Rankings'!C$1149,MATCH(SMALL(Rankings!H$2:'Rankings'!H$1000,ROW()),Rankings!H$2:'Rankings'!H$1000,0))</f>
        <v>Mike Hughes</v>
      </c>
      <c r="G599" t="str">
        <f>INDEX(Rankings!C$2:'Rankings'!C$1149,MATCH(SMALL(Rankings!H$2:'Rankings'!H$1000,ROW()),Rankings!H$2:'Rankings'!H$1000,0))</f>
        <v>Mike Hughes</v>
      </c>
    </row>
    <row r="600" spans="2:7" hidden="1" outlineLevel="1" x14ac:dyDescent="0.25">
      <c r="B600" t="str">
        <f>INDEX(Rankings!C$2:'Rankings'!C$1149,MATCH(SMALL(Rankings!H$2:'Rankings'!H$1000,ROW()),Rankings!H$2:'Rankings'!H$1000,0))</f>
        <v>Mike Ruzicka</v>
      </c>
      <c r="C600" t="str">
        <f>INDEX(Rankings!C$2:'Rankings'!C$1149,MATCH(SMALL(Rankings!H$2:'Rankings'!H$1000,ROW()),Rankings!H$2:'Rankings'!H$1000,0))</f>
        <v>Mike Ruzicka</v>
      </c>
      <c r="D600" t="str">
        <f>INDEX(Rankings!C$2:'Rankings'!C$1149,MATCH(SMALL(Rankings!H$2:'Rankings'!H$1000,ROW()),Rankings!H$2:'Rankings'!H$1000,0))</f>
        <v>Mike Ruzicka</v>
      </c>
      <c r="G600" t="str">
        <f>INDEX(Rankings!C$2:'Rankings'!C$1149,MATCH(SMALL(Rankings!H$2:'Rankings'!H$1000,ROW()),Rankings!H$2:'Rankings'!H$1000,0))</f>
        <v>Mike Ruzicka</v>
      </c>
    </row>
    <row r="601" spans="2:7" hidden="1" outlineLevel="1" x14ac:dyDescent="0.25">
      <c r="B601" t="str">
        <f>INDEX(Rankings!C$2:'Rankings'!C$1149,MATCH(SMALL(Rankings!H$2:'Rankings'!H$1000,ROW()),Rankings!H$2:'Rankings'!H$1000,0))</f>
        <v>Mikey Callaghan</v>
      </c>
      <c r="C601" t="str">
        <f>INDEX(Rankings!C$2:'Rankings'!C$1149,MATCH(SMALL(Rankings!H$2:'Rankings'!H$1000,ROW()),Rankings!H$2:'Rankings'!H$1000,0))</f>
        <v>Mikey Callaghan</v>
      </c>
      <c r="D601" t="str">
        <f>INDEX(Rankings!C$2:'Rankings'!C$1149,MATCH(SMALL(Rankings!H$2:'Rankings'!H$1000,ROW()),Rankings!H$2:'Rankings'!H$1000,0))</f>
        <v>Mikey Callaghan</v>
      </c>
      <c r="G601" t="str">
        <f>INDEX(Rankings!C$2:'Rankings'!C$1149,MATCH(SMALL(Rankings!H$2:'Rankings'!H$1000,ROW()),Rankings!H$2:'Rankings'!H$1000,0))</f>
        <v>Mikey Callaghan</v>
      </c>
    </row>
    <row r="602" spans="2:7" hidden="1" outlineLevel="1" x14ac:dyDescent="0.25">
      <c r="B602" t="str">
        <f>INDEX(Rankings!C$2:'Rankings'!C$1149,MATCH(SMALL(Rankings!H$2:'Rankings'!H$1000,ROW()),Rankings!H$2:'Rankings'!H$1000,0))</f>
        <v>Mikey Reid</v>
      </c>
      <c r="C602" t="str">
        <f>INDEX(Rankings!C$2:'Rankings'!C$1149,MATCH(SMALL(Rankings!H$2:'Rankings'!H$1000,ROW()),Rankings!H$2:'Rankings'!H$1000,0))</f>
        <v>Mikey Reid</v>
      </c>
      <c r="D602" t="str">
        <f>INDEX(Rankings!C$2:'Rankings'!C$1149,MATCH(SMALL(Rankings!H$2:'Rankings'!H$1000,ROW()),Rankings!H$2:'Rankings'!H$1000,0))</f>
        <v>Mikey Reid</v>
      </c>
      <c r="G602" t="str">
        <f>INDEX(Rankings!C$2:'Rankings'!C$1149,MATCH(SMALL(Rankings!H$2:'Rankings'!H$1000,ROW()),Rankings!H$2:'Rankings'!H$1000,0))</f>
        <v>Mikey Reid</v>
      </c>
    </row>
    <row r="603" spans="2:7" hidden="1" outlineLevel="1" x14ac:dyDescent="0.25">
      <c r="B603" t="str">
        <f>INDEX(Rankings!C$2:'Rankings'!C$1149,MATCH(SMALL(Rankings!H$2:'Rankings'!H$1000,ROW()),Rankings!H$2:'Rankings'!H$1000,0))</f>
        <v>MIlan Durkovic</v>
      </c>
      <c r="C603" t="str">
        <f>INDEX(Rankings!C$2:'Rankings'!C$1149,MATCH(SMALL(Rankings!H$2:'Rankings'!H$1000,ROW()),Rankings!H$2:'Rankings'!H$1000,0))</f>
        <v>MIlan Durkovic</v>
      </c>
      <c r="D603" t="str">
        <f>INDEX(Rankings!C$2:'Rankings'!C$1149,MATCH(SMALL(Rankings!H$2:'Rankings'!H$1000,ROW()),Rankings!H$2:'Rankings'!H$1000,0))</f>
        <v>MIlan Durkovic</v>
      </c>
      <c r="G603" t="str">
        <f>INDEX(Rankings!C$2:'Rankings'!C$1149,MATCH(SMALL(Rankings!H$2:'Rankings'!H$1000,ROW()),Rankings!H$2:'Rankings'!H$1000,0))</f>
        <v>MIlan Durkovic</v>
      </c>
    </row>
    <row r="604" spans="2:7" hidden="1" outlineLevel="1" x14ac:dyDescent="0.25">
      <c r="B604" t="str">
        <f>INDEX(Rankings!C$2:'Rankings'!C$1149,MATCH(SMALL(Rankings!H$2:'Rankings'!H$1000,ROW()),Rankings!H$2:'Rankings'!H$1000,0))</f>
        <v>Jascha Wollman</v>
      </c>
      <c r="C604" t="str">
        <f>INDEX(Rankings!C$2:'Rankings'!C$1149,MATCH(SMALL(Rankings!H$2:'Rankings'!H$1000,ROW()),Rankings!H$2:'Rankings'!H$1000,0))</f>
        <v>Jascha Wollman</v>
      </c>
      <c r="D604" t="str">
        <f>INDEX(Rankings!C$2:'Rankings'!C$1149,MATCH(SMALL(Rankings!H$2:'Rankings'!H$1000,ROW()),Rankings!H$2:'Rankings'!H$1000,0))</f>
        <v>Jascha Wollman</v>
      </c>
      <c r="G604" t="str">
        <f>INDEX(Rankings!C$2:'Rankings'!C$1149,MATCH(SMALL(Rankings!H$2:'Rankings'!H$1000,ROW()),Rankings!H$2:'Rankings'!H$1000,0))</f>
        <v>Jascha Wollman</v>
      </c>
    </row>
    <row r="605" spans="2:7" hidden="1" outlineLevel="1" x14ac:dyDescent="0.25">
      <c r="B605" t="str">
        <f>INDEX(Rankings!C$2:'Rankings'!C$1149,MATCH(SMALL(Rankings!H$2:'Rankings'!H$1000,ROW()),Rankings!H$2:'Rankings'!H$1000,0))</f>
        <v>Mirco Zanchetta</v>
      </c>
      <c r="C605" t="str">
        <f>INDEX(Rankings!C$2:'Rankings'!C$1149,MATCH(SMALL(Rankings!H$2:'Rankings'!H$1000,ROW()),Rankings!H$2:'Rankings'!H$1000,0))</f>
        <v>Mirco Zanchetta</v>
      </c>
      <c r="D605" t="str">
        <f>INDEX(Rankings!C$2:'Rankings'!C$1149,MATCH(SMALL(Rankings!H$2:'Rankings'!H$1000,ROW()),Rankings!H$2:'Rankings'!H$1000,0))</f>
        <v>Mirco Zanchetta</v>
      </c>
      <c r="G605" t="str">
        <f>INDEX(Rankings!C$2:'Rankings'!C$1149,MATCH(SMALL(Rankings!H$2:'Rankings'!H$1000,ROW()),Rankings!H$2:'Rankings'!H$1000,0))</f>
        <v>Mirco Zanchetta</v>
      </c>
    </row>
    <row r="606" spans="2:7" hidden="1" outlineLevel="1" x14ac:dyDescent="0.25">
      <c r="B606" t="str">
        <f>INDEX(Rankings!C$2:'Rankings'!C$1149,MATCH(SMALL(Rankings!H$2:'Rankings'!H$1000,ROW()),Rankings!H$2:'Rankings'!H$1000,0))</f>
        <v>Mitsuru Udagawa</v>
      </c>
      <c r="C606" t="str">
        <f>INDEX(Rankings!C$2:'Rankings'!C$1149,MATCH(SMALL(Rankings!H$2:'Rankings'!H$1000,ROW()),Rankings!H$2:'Rankings'!H$1000,0))</f>
        <v>Mitsuru Udagawa</v>
      </c>
      <c r="D606" t="str">
        <f>INDEX(Rankings!C$2:'Rankings'!C$1149,MATCH(SMALL(Rankings!H$2:'Rankings'!H$1000,ROW()),Rankings!H$2:'Rankings'!H$1000,0))</f>
        <v>Mitsuru Udagawa</v>
      </c>
      <c r="G606" t="str">
        <f>INDEX(Rankings!C$2:'Rankings'!C$1149,MATCH(SMALL(Rankings!H$2:'Rankings'!H$1000,ROW()),Rankings!H$2:'Rankings'!H$1000,0))</f>
        <v>Mitsuru Udagawa</v>
      </c>
    </row>
    <row r="607" spans="2:7" hidden="1" outlineLevel="1" x14ac:dyDescent="0.25">
      <c r="B607" t="str">
        <f>INDEX(Rankings!C$2:'Rankings'!C$1149,MATCH(SMALL(Rankings!H$2:'Rankings'!H$1000,ROW()),Rankings!H$2:'Rankings'!H$1000,0))</f>
        <v>Monika Selecka</v>
      </c>
      <c r="C607" t="str">
        <f>INDEX(Rankings!C$2:'Rankings'!C$1149,MATCH(SMALL(Rankings!H$2:'Rankings'!H$1000,ROW()),Rankings!H$2:'Rankings'!H$1000,0))</f>
        <v>Monika Selecka</v>
      </c>
      <c r="D607" t="str">
        <f>INDEX(Rankings!C$2:'Rankings'!C$1149,MATCH(SMALL(Rankings!H$2:'Rankings'!H$1000,ROW()),Rankings!H$2:'Rankings'!H$1000,0))</f>
        <v>Monika Selecka</v>
      </c>
      <c r="G607" t="str">
        <f>INDEX(Rankings!C$2:'Rankings'!C$1149,MATCH(SMALL(Rankings!H$2:'Rankings'!H$1000,ROW()),Rankings!H$2:'Rankings'!H$1000,0))</f>
        <v>Monika Selecka</v>
      </c>
    </row>
    <row r="608" spans="2:7" hidden="1" outlineLevel="1" x14ac:dyDescent="0.25">
      <c r="B608" t="str">
        <f>INDEX(Rankings!C$2:'Rankings'!C$1149,MATCH(SMALL(Rankings!H$2:'Rankings'!H$1000,ROW()),Rankings!H$2:'Rankings'!H$1000,0))</f>
        <v>Motohiro Hirabayashi</v>
      </c>
      <c r="C608" t="str">
        <f>INDEX(Rankings!C$2:'Rankings'!C$1149,MATCH(SMALL(Rankings!H$2:'Rankings'!H$1000,ROW()),Rankings!H$2:'Rankings'!H$1000,0))</f>
        <v>Motohiro Hirabayashi</v>
      </c>
      <c r="D608" t="str">
        <f>INDEX(Rankings!C$2:'Rankings'!C$1149,MATCH(SMALL(Rankings!H$2:'Rankings'!H$1000,ROW()),Rankings!H$2:'Rankings'!H$1000,0))</f>
        <v>Motohiro Hirabayashi</v>
      </c>
      <c r="G608" t="str">
        <f>INDEX(Rankings!C$2:'Rankings'!C$1149,MATCH(SMALL(Rankings!H$2:'Rankings'!H$1000,ROW()),Rankings!H$2:'Rankings'!H$1000,0))</f>
        <v>Motohiro Hirabayashi</v>
      </c>
    </row>
    <row r="609" spans="2:7" hidden="1" outlineLevel="1" x14ac:dyDescent="0.25">
      <c r="B609" t="str">
        <f>INDEX(Rankings!C$2:'Rankings'!C$1149,MATCH(SMALL(Rankings!H$2:'Rankings'!H$1000,ROW()),Rankings!H$2:'Rankings'!H$1000,0))</f>
        <v>Nadine Klos</v>
      </c>
      <c r="C609" t="str">
        <f>INDEX(Rankings!C$2:'Rankings'!C$1149,MATCH(SMALL(Rankings!H$2:'Rankings'!H$1000,ROW()),Rankings!H$2:'Rankings'!H$1000,0))</f>
        <v>Nadine Klos</v>
      </c>
      <c r="D609" t="str">
        <f>INDEX(Rankings!C$2:'Rankings'!C$1149,MATCH(SMALL(Rankings!H$2:'Rankings'!H$1000,ROW()),Rankings!H$2:'Rankings'!H$1000,0))</f>
        <v>Nadine Klos</v>
      </c>
      <c r="G609" t="str">
        <f>INDEX(Rankings!C$2:'Rankings'!C$1149,MATCH(SMALL(Rankings!H$2:'Rankings'!H$1000,ROW()),Rankings!H$2:'Rankings'!H$1000,0))</f>
        <v>Nadine Klos</v>
      </c>
    </row>
    <row r="610" spans="2:7" hidden="1" outlineLevel="1" x14ac:dyDescent="0.25">
      <c r="B610" t="str">
        <f>INDEX(Rankings!C$2:'Rankings'!C$1149,MATCH(SMALL(Rankings!H$2:'Rankings'!H$1000,ROW()),Rankings!H$2:'Rankings'!H$1000,0))</f>
        <v>Naim Megassabi</v>
      </c>
      <c r="C610" t="str">
        <f>INDEX(Rankings!C$2:'Rankings'!C$1149,MATCH(SMALL(Rankings!H$2:'Rankings'!H$1000,ROW()),Rankings!H$2:'Rankings'!H$1000,0))</f>
        <v>Naim Megassabi</v>
      </c>
      <c r="D610" t="str">
        <f>INDEX(Rankings!C$2:'Rankings'!C$1149,MATCH(SMALL(Rankings!H$2:'Rankings'!H$1000,ROW()),Rankings!H$2:'Rankings'!H$1000,0))</f>
        <v>Naim Megassabi</v>
      </c>
      <c r="G610" t="str">
        <f>INDEX(Rankings!C$2:'Rankings'!C$1149,MATCH(SMALL(Rankings!H$2:'Rankings'!H$1000,ROW()),Rankings!H$2:'Rankings'!H$1000,0))</f>
        <v>Naim Megassabi</v>
      </c>
    </row>
    <row r="611" spans="2:7" hidden="1" outlineLevel="1" x14ac:dyDescent="0.25">
      <c r="B611" t="str">
        <f>INDEX(Rankings!C$2:'Rankings'!C$1149,MATCH(SMALL(Rankings!H$2:'Rankings'!H$1000,ROW()),Rankings!H$2:'Rankings'!H$1000,0))</f>
        <v>Naoki Maeda</v>
      </c>
      <c r="C611" t="str">
        <f>INDEX(Rankings!C$2:'Rankings'!C$1149,MATCH(SMALL(Rankings!H$2:'Rankings'!H$1000,ROW()),Rankings!H$2:'Rankings'!H$1000,0))</f>
        <v>Naoki Maeda</v>
      </c>
      <c r="D611" t="str">
        <f>INDEX(Rankings!C$2:'Rankings'!C$1149,MATCH(SMALL(Rankings!H$2:'Rankings'!H$1000,ROW()),Rankings!H$2:'Rankings'!H$1000,0))</f>
        <v>Naoki Maeda</v>
      </c>
      <c r="G611" t="str">
        <f>INDEX(Rankings!C$2:'Rankings'!C$1149,MATCH(SMALL(Rankings!H$2:'Rankings'!H$1000,ROW()),Rankings!H$2:'Rankings'!H$1000,0))</f>
        <v>Naoki Maeda</v>
      </c>
    </row>
    <row r="612" spans="2:7" hidden="1" outlineLevel="1" x14ac:dyDescent="0.25">
      <c r="B612" t="str">
        <f>INDEX(Rankings!C$2:'Rankings'!C$1149,MATCH(SMALL(Rankings!H$2:'Rankings'!H$1000,ROW()),Rankings!H$2:'Rankings'!H$1000,0))</f>
        <v>Nate Doss</v>
      </c>
      <c r="C612" t="str">
        <f>INDEX(Rankings!C$2:'Rankings'!C$1149,MATCH(SMALL(Rankings!H$2:'Rankings'!H$1000,ROW()),Rankings!H$2:'Rankings'!H$1000,0))</f>
        <v>Nate Doss</v>
      </c>
      <c r="D612" t="str">
        <f>INDEX(Rankings!C$2:'Rankings'!C$1149,MATCH(SMALL(Rankings!H$2:'Rankings'!H$1000,ROW()),Rankings!H$2:'Rankings'!H$1000,0))</f>
        <v>Nate Doss</v>
      </c>
      <c r="G612" t="str">
        <f>INDEX(Rankings!C$2:'Rankings'!C$1149,MATCH(SMALL(Rankings!H$2:'Rankings'!H$1000,ROW()),Rankings!H$2:'Rankings'!H$1000,0))</f>
        <v>Nate Doss</v>
      </c>
    </row>
    <row r="613" spans="2:7" hidden="1" outlineLevel="1" x14ac:dyDescent="0.25">
      <c r="B613" t="str">
        <f>INDEX(Rankings!C$2:'Rankings'!C$1149,MATCH(SMALL(Rankings!H$2:'Rankings'!H$1000,ROW()),Rankings!H$2:'Rankings'!H$1000,0))</f>
        <v>Neil Toland</v>
      </c>
      <c r="C613" t="str">
        <f>INDEX(Rankings!C$2:'Rankings'!C$1149,MATCH(SMALL(Rankings!H$2:'Rankings'!H$1000,ROW()),Rankings!H$2:'Rankings'!H$1000,0))</f>
        <v>Neil Toland</v>
      </c>
      <c r="D613" t="str">
        <f>INDEX(Rankings!C$2:'Rankings'!C$1149,MATCH(SMALL(Rankings!H$2:'Rankings'!H$1000,ROW()),Rankings!H$2:'Rankings'!H$1000,0))</f>
        <v>Neil Toland</v>
      </c>
      <c r="G613" t="str">
        <f>INDEX(Rankings!C$2:'Rankings'!C$1149,MATCH(SMALL(Rankings!H$2:'Rankings'!H$1000,ROW()),Rankings!H$2:'Rankings'!H$1000,0))</f>
        <v>Neil Toland</v>
      </c>
    </row>
    <row r="614" spans="2:7" hidden="1" outlineLevel="1" x14ac:dyDescent="0.25">
      <c r="B614" t="str">
        <f>INDEX(Rankings!C$2:'Rankings'!C$1149,MATCH(SMALL(Rankings!H$2:'Rankings'!H$1000,ROW()),Rankings!H$2:'Rankings'!H$1000,0))</f>
        <v>Nico Bernold</v>
      </c>
      <c r="C614" t="str">
        <f>INDEX(Rankings!C$2:'Rankings'!C$1149,MATCH(SMALL(Rankings!H$2:'Rankings'!H$1000,ROW()),Rankings!H$2:'Rankings'!H$1000,0))</f>
        <v>Nico Bernold</v>
      </c>
      <c r="D614" t="str">
        <f>INDEX(Rankings!C$2:'Rankings'!C$1149,MATCH(SMALL(Rankings!H$2:'Rankings'!H$1000,ROW()),Rankings!H$2:'Rankings'!H$1000,0))</f>
        <v>Nico Bernold</v>
      </c>
      <c r="G614" t="str">
        <f>INDEX(Rankings!C$2:'Rankings'!C$1149,MATCH(SMALL(Rankings!H$2:'Rankings'!H$1000,ROW()),Rankings!H$2:'Rankings'!H$1000,0))</f>
        <v>Nico Bernold</v>
      </c>
    </row>
    <row r="615" spans="2:7" hidden="1" outlineLevel="1" x14ac:dyDescent="0.25">
      <c r="B615" t="str">
        <f>INDEX(Rankings!C$2:'Rankings'!C$1149,MATCH(SMALL(Rankings!H$2:'Rankings'!H$1000,ROW()),Rankings!H$2:'Rankings'!H$1000,0))</f>
        <v>Nico Schwarz</v>
      </c>
      <c r="C615" t="str">
        <f>INDEX(Rankings!C$2:'Rankings'!C$1149,MATCH(SMALL(Rankings!H$2:'Rankings'!H$1000,ROW()),Rankings!H$2:'Rankings'!H$1000,0))</f>
        <v>Nico Schwarz</v>
      </c>
      <c r="D615" t="str">
        <f>INDEX(Rankings!C$2:'Rankings'!C$1149,MATCH(SMALL(Rankings!H$2:'Rankings'!H$1000,ROW()),Rankings!H$2:'Rankings'!H$1000,0))</f>
        <v>Nico Schwarz</v>
      </c>
      <c r="G615" t="str">
        <f>INDEX(Rankings!C$2:'Rankings'!C$1149,MATCH(SMALL(Rankings!H$2:'Rankings'!H$1000,ROW()),Rankings!H$2:'Rankings'!H$1000,0))</f>
        <v>Nico Schwarz</v>
      </c>
    </row>
    <row r="616" spans="2:7" hidden="1" outlineLevel="1" x14ac:dyDescent="0.25">
      <c r="B616" t="str">
        <f>INDEX(Rankings!C$2:'Rankings'!C$1149,MATCH(SMALL(Rankings!H$2:'Rankings'!H$1000,ROW()),Rankings!H$2:'Rankings'!H$1000,0))</f>
        <v>Nicoló D'Ardia</v>
      </c>
      <c r="C616" t="str">
        <f>INDEX(Rankings!C$2:'Rankings'!C$1149,MATCH(SMALL(Rankings!H$2:'Rankings'!H$1000,ROW()),Rankings!H$2:'Rankings'!H$1000,0))</f>
        <v>Nicoló D'Ardia</v>
      </c>
      <c r="D616" t="str">
        <f>INDEX(Rankings!C$2:'Rankings'!C$1149,MATCH(SMALL(Rankings!H$2:'Rankings'!H$1000,ROW()),Rankings!H$2:'Rankings'!H$1000,0))</f>
        <v>Nicoló D'Ardia</v>
      </c>
      <c r="G616" t="str">
        <f>INDEX(Rankings!C$2:'Rankings'!C$1149,MATCH(SMALL(Rankings!H$2:'Rankings'!H$1000,ROW()),Rankings!H$2:'Rankings'!H$1000,0))</f>
        <v>Nicoló D'Ardia</v>
      </c>
    </row>
    <row r="617" spans="2:7" hidden="1" outlineLevel="1" x14ac:dyDescent="0.25">
      <c r="B617" t="str">
        <f>INDEX(Rankings!C$2:'Rankings'!C$1149,MATCH(SMALL(Rankings!H$2:'Rankings'!H$1000,ROW()),Rankings!H$2:'Rankings'!H$1000,0))</f>
        <v>Niki Thoma</v>
      </c>
      <c r="C617" t="str">
        <f>INDEX(Rankings!C$2:'Rankings'!C$1149,MATCH(SMALL(Rankings!H$2:'Rankings'!H$1000,ROW()),Rankings!H$2:'Rankings'!H$1000,0))</f>
        <v>Niki Thoma</v>
      </c>
      <c r="D617" t="str">
        <f>INDEX(Rankings!C$2:'Rankings'!C$1149,MATCH(SMALL(Rankings!H$2:'Rankings'!H$1000,ROW()),Rankings!H$2:'Rankings'!H$1000,0))</f>
        <v>Niki Thoma</v>
      </c>
      <c r="G617" t="str">
        <f>INDEX(Rankings!C$2:'Rankings'!C$1149,MATCH(SMALL(Rankings!H$2:'Rankings'!H$1000,ROW()),Rankings!H$2:'Rankings'!H$1000,0))</f>
        <v>Niki Thoma</v>
      </c>
    </row>
    <row r="618" spans="2:7" hidden="1" outlineLevel="1" x14ac:dyDescent="0.25">
      <c r="B618" t="str">
        <f>INDEX(Rankings!C$2:'Rankings'!C$1149,MATCH(SMALL(Rankings!H$2:'Rankings'!H$1000,ROW()),Rankings!H$2:'Rankings'!H$1000,0))</f>
        <v>Niklas Bergehamn</v>
      </c>
      <c r="C618" t="str">
        <f>INDEX(Rankings!C$2:'Rankings'!C$1149,MATCH(SMALL(Rankings!H$2:'Rankings'!H$1000,ROW()),Rankings!H$2:'Rankings'!H$1000,0))</f>
        <v>Niklas Bergehamn</v>
      </c>
      <c r="D618" t="str">
        <f>INDEX(Rankings!C$2:'Rankings'!C$1149,MATCH(SMALL(Rankings!H$2:'Rankings'!H$1000,ROW()),Rankings!H$2:'Rankings'!H$1000,0))</f>
        <v>Niklas Bergehamn</v>
      </c>
      <c r="G618" t="str">
        <f>INDEX(Rankings!C$2:'Rankings'!C$1149,MATCH(SMALL(Rankings!H$2:'Rankings'!H$1000,ROW()),Rankings!H$2:'Rankings'!H$1000,0))</f>
        <v>Niklas Bergehamn</v>
      </c>
    </row>
    <row r="619" spans="2:7" hidden="1" outlineLevel="1" x14ac:dyDescent="0.25">
      <c r="B619" t="str">
        <f>INDEX(Rankings!C$2:'Rankings'!C$1149,MATCH(SMALL(Rankings!H$2:'Rankings'!H$1000,ROW()),Rankings!H$2:'Rankings'!H$1000,0))</f>
        <v>Manuel Zach</v>
      </c>
      <c r="C619" t="str">
        <f>INDEX(Rankings!C$2:'Rankings'!C$1149,MATCH(SMALL(Rankings!H$2:'Rankings'!H$1000,ROW()),Rankings!H$2:'Rankings'!H$1000,0))</f>
        <v>Manuel Zach</v>
      </c>
      <c r="D619" t="str">
        <f>INDEX(Rankings!C$2:'Rankings'!C$1149,MATCH(SMALL(Rankings!H$2:'Rankings'!H$1000,ROW()),Rankings!H$2:'Rankings'!H$1000,0))</f>
        <v>Manuel Zach</v>
      </c>
      <c r="G619" t="str">
        <f>INDEX(Rankings!C$2:'Rankings'!C$1149,MATCH(SMALL(Rankings!H$2:'Rankings'!H$1000,ROW()),Rankings!H$2:'Rankings'!H$1000,0))</f>
        <v>Manuel Zach</v>
      </c>
    </row>
    <row r="620" spans="2:7" hidden="1" outlineLevel="1" x14ac:dyDescent="0.25">
      <c r="B620" t="str">
        <f>INDEX(Rankings!C$2:'Rankings'!C$1149,MATCH(SMALL(Rankings!H$2:'Rankings'!H$1000,ROW()),Rankings!H$2:'Rankings'!H$1000,0))</f>
        <v>Noah Reckhard</v>
      </c>
      <c r="C620" t="str">
        <f>INDEX(Rankings!C$2:'Rankings'!C$1149,MATCH(SMALL(Rankings!H$2:'Rankings'!H$1000,ROW()),Rankings!H$2:'Rankings'!H$1000,0))</f>
        <v>Noah Reckhard</v>
      </c>
      <c r="D620" t="str">
        <f>INDEX(Rankings!C$2:'Rankings'!C$1149,MATCH(SMALL(Rankings!H$2:'Rankings'!H$1000,ROW()),Rankings!H$2:'Rankings'!H$1000,0))</f>
        <v>Noah Reckhard</v>
      </c>
      <c r="G620" t="str">
        <f>INDEX(Rankings!C$2:'Rankings'!C$1149,MATCH(SMALL(Rankings!H$2:'Rankings'!H$1000,ROW()),Rankings!H$2:'Rankings'!H$1000,0))</f>
        <v>Noah Reckhard</v>
      </c>
    </row>
    <row r="621" spans="2:7" hidden="1" outlineLevel="1" x14ac:dyDescent="0.25">
      <c r="B621" t="str">
        <f>INDEX(Rankings!C$2:'Rankings'!C$1149,MATCH(SMALL(Rankings!H$2:'Rankings'!H$1000,ROW()),Rankings!H$2:'Rankings'!H$1000,0))</f>
        <v>Ofek Agmon</v>
      </c>
      <c r="C621" t="str">
        <f>INDEX(Rankings!C$2:'Rankings'!C$1149,MATCH(SMALL(Rankings!H$2:'Rankings'!H$1000,ROW()),Rankings!H$2:'Rankings'!H$1000,0))</f>
        <v>Ofek Agmon</v>
      </c>
      <c r="D621" t="str">
        <f>INDEX(Rankings!C$2:'Rankings'!C$1149,MATCH(SMALL(Rankings!H$2:'Rankings'!H$1000,ROW()),Rankings!H$2:'Rankings'!H$1000,0))</f>
        <v>Ofek Agmon</v>
      </c>
      <c r="G621" t="str">
        <f>INDEX(Rankings!C$2:'Rankings'!C$1149,MATCH(SMALL(Rankings!H$2:'Rankings'!H$1000,ROW()),Rankings!H$2:'Rankings'!H$1000,0))</f>
        <v>Ofek Agmon</v>
      </c>
    </row>
    <row r="622" spans="2:7" hidden="1" outlineLevel="1" x14ac:dyDescent="0.25">
      <c r="B622" t="str">
        <f>INDEX(Rankings!C$2:'Rankings'!C$1149,MATCH(SMALL(Rankings!H$2:'Rankings'!H$1000,ROW()),Rankings!H$2:'Rankings'!H$1000,0))</f>
        <v>Oliver Baczko</v>
      </c>
      <c r="C622" t="str">
        <f>INDEX(Rankings!C$2:'Rankings'!C$1149,MATCH(SMALL(Rankings!H$2:'Rankings'!H$1000,ROW()),Rankings!H$2:'Rankings'!H$1000,0))</f>
        <v>Oliver Baczko</v>
      </c>
      <c r="D622" t="str">
        <f>INDEX(Rankings!C$2:'Rankings'!C$1149,MATCH(SMALL(Rankings!H$2:'Rankings'!H$1000,ROW()),Rankings!H$2:'Rankings'!H$1000,0))</f>
        <v>Oliver Baczko</v>
      </c>
      <c r="G622" t="str">
        <f>INDEX(Rankings!C$2:'Rankings'!C$1149,MATCH(SMALL(Rankings!H$2:'Rankings'!H$1000,ROW()),Rankings!H$2:'Rankings'!H$1000,0))</f>
        <v>Oliver Baczko</v>
      </c>
    </row>
    <row r="623" spans="2:7" hidden="1" outlineLevel="1" x14ac:dyDescent="0.25">
      <c r="B623" t="str">
        <f>INDEX(Rankings!C$2:'Rankings'!C$1149,MATCH(SMALL(Rankings!H$2:'Rankings'!H$1000,ROW()),Rankings!H$2:'Rankings'!H$1000,0))</f>
        <v>Oliver Hocker</v>
      </c>
      <c r="C623" t="str">
        <f>INDEX(Rankings!C$2:'Rankings'!C$1149,MATCH(SMALL(Rankings!H$2:'Rankings'!H$1000,ROW()),Rankings!H$2:'Rankings'!H$1000,0))</f>
        <v>Oliver Hocker</v>
      </c>
      <c r="D623" t="str">
        <f>INDEX(Rankings!C$2:'Rankings'!C$1149,MATCH(SMALL(Rankings!H$2:'Rankings'!H$1000,ROW()),Rankings!H$2:'Rankings'!H$1000,0))</f>
        <v>Oliver Hocker</v>
      </c>
      <c r="G623" t="str">
        <f>INDEX(Rankings!C$2:'Rankings'!C$1149,MATCH(SMALL(Rankings!H$2:'Rankings'!H$1000,ROW()),Rankings!H$2:'Rankings'!H$1000,0))</f>
        <v>Oliver Hocker</v>
      </c>
    </row>
    <row r="624" spans="2:7" hidden="1" outlineLevel="1" x14ac:dyDescent="0.25">
      <c r="B624" t="str">
        <f>INDEX(Rankings!C$2:'Rankings'!C$1149,MATCH(SMALL(Rankings!H$2:'Rankings'!H$1000,ROW()),Rankings!H$2:'Rankings'!H$1000,0))</f>
        <v>Oliver Peters</v>
      </c>
      <c r="C624" t="str">
        <f>INDEX(Rankings!C$2:'Rankings'!C$1149,MATCH(SMALL(Rankings!H$2:'Rankings'!H$1000,ROW()),Rankings!H$2:'Rankings'!H$1000,0))</f>
        <v>Oliver Peters</v>
      </c>
      <c r="D624" t="str">
        <f>INDEX(Rankings!C$2:'Rankings'!C$1149,MATCH(SMALL(Rankings!H$2:'Rankings'!H$1000,ROW()),Rankings!H$2:'Rankings'!H$1000,0))</f>
        <v>Oliver Peters</v>
      </c>
      <c r="G624" t="str">
        <f>INDEX(Rankings!C$2:'Rankings'!C$1149,MATCH(SMALL(Rankings!H$2:'Rankings'!H$1000,ROW()),Rankings!H$2:'Rankings'!H$1000,0))</f>
        <v>Oliver Peters</v>
      </c>
    </row>
    <row r="625" spans="2:7" hidden="1" outlineLevel="1" x14ac:dyDescent="0.25">
      <c r="B625" t="str">
        <f>INDEX(Rankings!C$2:'Rankings'!C$1149,MATCH(SMALL(Rankings!H$2:'Rankings'!H$1000,ROW()),Rankings!H$2:'Rankings'!H$1000,0))</f>
        <v>Olmo Camarda</v>
      </c>
      <c r="C625" t="str">
        <f>INDEX(Rankings!C$2:'Rankings'!C$1149,MATCH(SMALL(Rankings!H$2:'Rankings'!H$1000,ROW()),Rankings!H$2:'Rankings'!H$1000,0))</f>
        <v>Olmo Camarda</v>
      </c>
      <c r="D625" t="str">
        <f>INDEX(Rankings!C$2:'Rankings'!C$1149,MATCH(SMALL(Rankings!H$2:'Rankings'!H$1000,ROW()),Rankings!H$2:'Rankings'!H$1000,0))</f>
        <v>Olmo Camarda</v>
      </c>
      <c r="G625" t="str">
        <f>INDEX(Rankings!C$2:'Rankings'!C$1149,MATCH(SMALL(Rankings!H$2:'Rankings'!H$1000,ROW()),Rankings!H$2:'Rankings'!H$1000,0))</f>
        <v>Olmo Camarda</v>
      </c>
    </row>
    <row r="626" spans="2:7" hidden="1" outlineLevel="1" x14ac:dyDescent="0.25">
      <c r="B626" t="str">
        <f>INDEX(Rankings!C$2:'Rankings'!C$1149,MATCH(SMALL(Rankings!H$2:'Rankings'!H$1000,ROW()),Rankings!H$2:'Rankings'!H$1000,0))</f>
        <v>Omer Rosenbaum</v>
      </c>
      <c r="C626" t="str">
        <f>INDEX(Rankings!C$2:'Rankings'!C$1149,MATCH(SMALL(Rankings!H$2:'Rankings'!H$1000,ROW()),Rankings!H$2:'Rankings'!H$1000,0))</f>
        <v>Omer Rosenbaum</v>
      </c>
      <c r="D626" t="str">
        <f>INDEX(Rankings!C$2:'Rankings'!C$1149,MATCH(SMALL(Rankings!H$2:'Rankings'!H$1000,ROW()),Rankings!H$2:'Rankings'!H$1000,0))</f>
        <v>Omer Rosenbaum</v>
      </c>
      <c r="G626" t="str">
        <f>INDEX(Rankings!C$2:'Rankings'!C$1149,MATCH(SMALL(Rankings!H$2:'Rankings'!H$1000,ROW()),Rankings!H$2:'Rankings'!H$1000,0))</f>
        <v>Omer Rosenbaum</v>
      </c>
    </row>
    <row r="627" spans="2:7" hidden="1" outlineLevel="1" x14ac:dyDescent="0.25">
      <c r="B627" t="str">
        <f>INDEX(Rankings!C$2:'Rankings'!C$1149,MATCH(SMALL(Rankings!H$2:'Rankings'!H$1000,ROW()),Rankings!H$2:'Rankings'!H$1000,0))</f>
        <v>Ondrej Kolega</v>
      </c>
      <c r="C627" t="str">
        <f>INDEX(Rankings!C$2:'Rankings'!C$1149,MATCH(SMALL(Rankings!H$2:'Rankings'!H$1000,ROW()),Rankings!H$2:'Rankings'!H$1000,0))</f>
        <v>Ondrej Kolega</v>
      </c>
      <c r="D627" t="str">
        <f>INDEX(Rankings!C$2:'Rankings'!C$1149,MATCH(SMALL(Rankings!H$2:'Rankings'!H$1000,ROW()),Rankings!H$2:'Rankings'!H$1000,0))</f>
        <v>Ondrej Kolega</v>
      </c>
      <c r="G627" t="str">
        <f>INDEX(Rankings!C$2:'Rankings'!C$1149,MATCH(SMALL(Rankings!H$2:'Rankings'!H$1000,ROW()),Rankings!H$2:'Rankings'!H$1000,0))</f>
        <v>Ondrej Kolega</v>
      </c>
    </row>
    <row r="628" spans="2:7" hidden="1" outlineLevel="1" x14ac:dyDescent="0.25">
      <c r="B628" t="str">
        <f>INDEX(Rankings!C$2:'Rankings'!C$1149,MATCH(SMALL(Rankings!H$2:'Rankings'!H$1000,ROW()),Rankings!H$2:'Rankings'!H$1000,0))</f>
        <v>Oren Meron</v>
      </c>
      <c r="C628" t="str">
        <f>INDEX(Rankings!C$2:'Rankings'!C$1149,MATCH(SMALL(Rankings!H$2:'Rankings'!H$1000,ROW()),Rankings!H$2:'Rankings'!H$1000,0))</f>
        <v>Oren Meron</v>
      </c>
      <c r="D628" t="str">
        <f>INDEX(Rankings!C$2:'Rankings'!C$1149,MATCH(SMALL(Rankings!H$2:'Rankings'!H$1000,ROW()),Rankings!H$2:'Rankings'!H$1000,0))</f>
        <v>Oren Meron</v>
      </c>
      <c r="G628" t="str">
        <f>INDEX(Rankings!C$2:'Rankings'!C$1149,MATCH(SMALL(Rankings!H$2:'Rankings'!H$1000,ROW()),Rankings!H$2:'Rankings'!H$1000,0))</f>
        <v>Oren Meron</v>
      </c>
    </row>
    <row r="629" spans="2:7" hidden="1" outlineLevel="1" x14ac:dyDescent="0.25">
      <c r="B629" t="str">
        <f>INDEX(Rankings!C$2:'Rankings'!C$1149,MATCH(SMALL(Rankings!H$2:'Rankings'!H$1000,ROW()),Rankings!H$2:'Rankings'!H$1000,0))</f>
        <v>Oscar Grundström</v>
      </c>
      <c r="C629" t="str">
        <f>INDEX(Rankings!C$2:'Rankings'!C$1149,MATCH(SMALL(Rankings!H$2:'Rankings'!H$1000,ROW()),Rankings!H$2:'Rankings'!H$1000,0))</f>
        <v>Oscar Grundström</v>
      </c>
      <c r="D629" t="str">
        <f>INDEX(Rankings!C$2:'Rankings'!C$1149,MATCH(SMALL(Rankings!H$2:'Rankings'!H$1000,ROW()),Rankings!H$2:'Rankings'!H$1000,0))</f>
        <v>Oscar Grundström</v>
      </c>
      <c r="G629" t="str">
        <f>INDEX(Rankings!C$2:'Rankings'!C$1149,MATCH(SMALL(Rankings!H$2:'Rankings'!H$1000,ROW()),Rankings!H$2:'Rankings'!H$1000,0))</f>
        <v>Oscar Grundström</v>
      </c>
    </row>
    <row r="630" spans="2:7" hidden="1" outlineLevel="1" x14ac:dyDescent="0.25">
      <c r="B630" t="str">
        <f>INDEX(Rankings!C$2:'Rankings'!C$1149,MATCH(SMALL(Rankings!H$2:'Rankings'!H$1000,ROW()),Rankings!H$2:'Rankings'!H$1000,0))</f>
        <v>Ot Loetlam</v>
      </c>
      <c r="C630" t="str">
        <f>INDEX(Rankings!C$2:'Rankings'!C$1149,MATCH(SMALL(Rankings!H$2:'Rankings'!H$1000,ROW()),Rankings!H$2:'Rankings'!H$1000,0))</f>
        <v>Ot Loetlam</v>
      </c>
      <c r="D630" t="str">
        <f>INDEX(Rankings!C$2:'Rankings'!C$1149,MATCH(SMALL(Rankings!H$2:'Rankings'!H$1000,ROW()),Rankings!H$2:'Rankings'!H$1000,0))</f>
        <v>Ot Loetlam</v>
      </c>
      <c r="G630" t="str">
        <f>INDEX(Rankings!C$2:'Rankings'!C$1149,MATCH(SMALL(Rankings!H$2:'Rankings'!H$1000,ROW()),Rankings!H$2:'Rankings'!H$1000,0))</f>
        <v>Ot Loetlam</v>
      </c>
    </row>
    <row r="631" spans="2:7" hidden="1" outlineLevel="1" x14ac:dyDescent="0.25">
      <c r="B631" t="str">
        <f>INDEX(Rankings!C$2:'Rankings'!C$1149,MATCH(SMALL(Rankings!H$2:'Rankings'!H$1000,ROW()),Rankings!H$2:'Rankings'!H$1000,0))</f>
        <v>Otto Oehring</v>
      </c>
      <c r="C631" t="str">
        <f>INDEX(Rankings!C$2:'Rankings'!C$1149,MATCH(SMALL(Rankings!H$2:'Rankings'!H$1000,ROW()),Rankings!H$2:'Rankings'!H$1000,0))</f>
        <v>Otto Oehring</v>
      </c>
      <c r="D631" t="str">
        <f>INDEX(Rankings!C$2:'Rankings'!C$1149,MATCH(SMALL(Rankings!H$2:'Rankings'!H$1000,ROW()),Rankings!H$2:'Rankings'!H$1000,0))</f>
        <v>Otto Oehring</v>
      </c>
      <c r="G631" t="str">
        <f>INDEX(Rankings!C$2:'Rankings'!C$1149,MATCH(SMALL(Rankings!H$2:'Rankings'!H$1000,ROW()),Rankings!H$2:'Rankings'!H$1000,0))</f>
        <v>Otto Oehring</v>
      </c>
    </row>
    <row r="632" spans="2:7" hidden="1" outlineLevel="1" x14ac:dyDescent="0.25">
      <c r="B632" t="str">
        <f>INDEX(Rankings!C$2:'Rankings'!C$1149,MATCH(SMALL(Rankings!H$2:'Rankings'!H$1000,ROW()),Rankings!H$2:'Rankings'!H$1000,0))</f>
        <v>Pablo Andres Mosquer</v>
      </c>
      <c r="C632" t="str">
        <f>INDEX(Rankings!C$2:'Rankings'!C$1149,MATCH(SMALL(Rankings!H$2:'Rankings'!H$1000,ROW()),Rankings!H$2:'Rankings'!H$1000,0))</f>
        <v>Pablo Andres Mosquer</v>
      </c>
      <c r="D632" t="str">
        <f>INDEX(Rankings!C$2:'Rankings'!C$1149,MATCH(SMALL(Rankings!H$2:'Rankings'!H$1000,ROW()),Rankings!H$2:'Rankings'!H$1000,0))</f>
        <v>Pablo Andres Mosquer</v>
      </c>
      <c r="G632" t="str">
        <f>INDEX(Rankings!C$2:'Rankings'!C$1149,MATCH(SMALL(Rankings!H$2:'Rankings'!H$1000,ROW()),Rankings!H$2:'Rankings'!H$1000,0))</f>
        <v>Pablo Andres Mosquer</v>
      </c>
    </row>
    <row r="633" spans="2:7" hidden="1" outlineLevel="1" x14ac:dyDescent="0.25">
      <c r="B633" t="str">
        <f>INDEX(Rankings!C$2:'Rankings'!C$1149,MATCH(SMALL(Rankings!H$2:'Rankings'!H$1000,ROW()),Rankings!H$2:'Rankings'!H$1000,0))</f>
        <v>Pablo Azul</v>
      </c>
      <c r="C633" t="str">
        <f>INDEX(Rankings!C$2:'Rankings'!C$1149,MATCH(SMALL(Rankings!H$2:'Rankings'!H$1000,ROW()),Rankings!H$2:'Rankings'!H$1000,0))</f>
        <v>Pablo Azul</v>
      </c>
      <c r="D633" t="str">
        <f>INDEX(Rankings!C$2:'Rankings'!C$1149,MATCH(SMALL(Rankings!H$2:'Rankings'!H$1000,ROW()),Rankings!H$2:'Rankings'!H$1000,0))</f>
        <v>Pablo Azul</v>
      </c>
      <c r="G633" t="str">
        <f>INDEX(Rankings!C$2:'Rankings'!C$1149,MATCH(SMALL(Rankings!H$2:'Rankings'!H$1000,ROW()),Rankings!H$2:'Rankings'!H$1000,0))</f>
        <v>Pablo Azul</v>
      </c>
    </row>
    <row r="634" spans="2:7" hidden="1" outlineLevel="1" x14ac:dyDescent="0.25">
      <c r="B634" t="str">
        <f>INDEX(Rankings!C$2:'Rankings'!C$1149,MATCH(SMALL(Rankings!H$2:'Rankings'!H$1000,ROW()),Rankings!H$2:'Rankings'!H$1000,0))</f>
        <v>Paolo Braico</v>
      </c>
      <c r="C634" t="str">
        <f>INDEX(Rankings!C$2:'Rankings'!C$1149,MATCH(SMALL(Rankings!H$2:'Rankings'!H$1000,ROW()),Rankings!H$2:'Rankings'!H$1000,0))</f>
        <v>Paolo Braico</v>
      </c>
      <c r="D634" t="str">
        <f>INDEX(Rankings!C$2:'Rankings'!C$1149,MATCH(SMALL(Rankings!H$2:'Rankings'!H$1000,ROW()),Rankings!H$2:'Rankings'!H$1000,0))</f>
        <v>Paolo Braico</v>
      </c>
      <c r="G634" t="str">
        <f>INDEX(Rankings!C$2:'Rankings'!C$1149,MATCH(SMALL(Rankings!H$2:'Rankings'!H$1000,ROW()),Rankings!H$2:'Rankings'!H$1000,0))</f>
        <v>Paolo Braico</v>
      </c>
    </row>
    <row r="635" spans="2:7" hidden="1" outlineLevel="1" x14ac:dyDescent="0.25">
      <c r="B635" t="str">
        <f>INDEX(Rankings!C$2:'Rankings'!C$1149,MATCH(SMALL(Rankings!H$2:'Rankings'!H$1000,ROW()),Rankings!H$2:'Rankings'!H$1000,0))</f>
        <v>Paolo Cipolloni</v>
      </c>
      <c r="C635" t="str">
        <f>INDEX(Rankings!C$2:'Rankings'!C$1149,MATCH(SMALL(Rankings!H$2:'Rankings'!H$1000,ROW()),Rankings!H$2:'Rankings'!H$1000,0))</f>
        <v>Paolo Cipolloni</v>
      </c>
      <c r="D635" t="str">
        <f>INDEX(Rankings!C$2:'Rankings'!C$1149,MATCH(SMALL(Rankings!H$2:'Rankings'!H$1000,ROW()),Rankings!H$2:'Rankings'!H$1000,0))</f>
        <v>Paolo Cipolloni</v>
      </c>
      <c r="G635" t="str">
        <f>INDEX(Rankings!C$2:'Rankings'!C$1149,MATCH(SMALL(Rankings!H$2:'Rankings'!H$1000,ROW()),Rankings!H$2:'Rankings'!H$1000,0))</f>
        <v>Paolo Cipolloni</v>
      </c>
    </row>
    <row r="636" spans="2:7" hidden="1" outlineLevel="1" x14ac:dyDescent="0.25">
      <c r="B636" t="str">
        <f>INDEX(Rankings!C$2:'Rankings'!C$1149,MATCH(SMALL(Rankings!H$2:'Rankings'!H$1000,ROW()),Rankings!H$2:'Rankings'!H$1000,0))</f>
        <v>Paolo Magni</v>
      </c>
      <c r="C636" t="str">
        <f>INDEX(Rankings!C$2:'Rankings'!C$1149,MATCH(SMALL(Rankings!H$2:'Rankings'!H$1000,ROW()),Rankings!H$2:'Rankings'!H$1000,0))</f>
        <v>Paolo Magni</v>
      </c>
      <c r="D636" t="str">
        <f>INDEX(Rankings!C$2:'Rankings'!C$1149,MATCH(SMALL(Rankings!H$2:'Rankings'!H$1000,ROW()),Rankings!H$2:'Rankings'!H$1000,0))</f>
        <v>Paolo Magni</v>
      </c>
      <c r="G636" t="str">
        <f>INDEX(Rankings!C$2:'Rankings'!C$1149,MATCH(SMALL(Rankings!H$2:'Rankings'!H$1000,ROW()),Rankings!H$2:'Rankings'!H$1000,0))</f>
        <v>Paolo Magni</v>
      </c>
    </row>
    <row r="637" spans="2:7" hidden="1" outlineLevel="1" x14ac:dyDescent="0.25">
      <c r="B637" t="str">
        <f>INDEX(Rankings!C$2:'Rankings'!C$1149,MATCH(SMALL(Rankings!H$2:'Rankings'!H$1000,ROW()),Rankings!H$2:'Rankings'!H$1000,0))</f>
        <v>Paolo Mirabelli</v>
      </c>
      <c r="C637" t="str">
        <f>INDEX(Rankings!C$2:'Rankings'!C$1149,MATCH(SMALL(Rankings!H$2:'Rankings'!H$1000,ROW()),Rankings!H$2:'Rankings'!H$1000,0))</f>
        <v>Paolo Mirabelli</v>
      </c>
      <c r="D637" t="str">
        <f>INDEX(Rankings!C$2:'Rankings'!C$1149,MATCH(SMALL(Rankings!H$2:'Rankings'!H$1000,ROW()),Rankings!H$2:'Rankings'!H$1000,0))</f>
        <v>Paolo Mirabelli</v>
      </c>
      <c r="G637" t="str">
        <f>INDEX(Rankings!C$2:'Rankings'!C$1149,MATCH(SMALL(Rankings!H$2:'Rankings'!H$1000,ROW()),Rankings!H$2:'Rankings'!H$1000,0))</f>
        <v>Paolo Mirabelli</v>
      </c>
    </row>
    <row r="638" spans="2:7" hidden="1" outlineLevel="1" x14ac:dyDescent="0.25">
      <c r="B638" t="str">
        <f>INDEX(Rankings!C$2:'Rankings'!C$1149,MATCH(SMALL(Rankings!H$2:'Rankings'!H$1000,ROW()),Rankings!H$2:'Rankings'!H$1000,0))</f>
        <v>Paolo Papini</v>
      </c>
      <c r="C638" t="str">
        <f>INDEX(Rankings!C$2:'Rankings'!C$1149,MATCH(SMALL(Rankings!H$2:'Rankings'!H$1000,ROW()),Rankings!H$2:'Rankings'!H$1000,0))</f>
        <v>Paolo Papini</v>
      </c>
      <c r="D638" t="str">
        <f>INDEX(Rankings!C$2:'Rankings'!C$1149,MATCH(SMALL(Rankings!H$2:'Rankings'!H$1000,ROW()),Rankings!H$2:'Rankings'!H$1000,0))</f>
        <v>Paolo Papini</v>
      </c>
      <c r="G638" t="str">
        <f>INDEX(Rankings!C$2:'Rankings'!C$1149,MATCH(SMALL(Rankings!H$2:'Rankings'!H$1000,ROW()),Rankings!H$2:'Rankings'!H$1000,0))</f>
        <v>Paolo Papini</v>
      </c>
    </row>
    <row r="639" spans="2:7" hidden="1" outlineLevel="1" x14ac:dyDescent="0.25">
      <c r="B639" t="str">
        <f>INDEX(Rankings!C$2:'Rankings'!C$1149,MATCH(SMALL(Rankings!H$2:'Rankings'!H$1000,ROW()),Rankings!H$2:'Rankings'!H$1000,0))</f>
        <v>Pat Marron</v>
      </c>
      <c r="C639" t="str">
        <f>INDEX(Rankings!C$2:'Rankings'!C$1149,MATCH(SMALL(Rankings!H$2:'Rankings'!H$1000,ROW()),Rankings!H$2:'Rankings'!H$1000,0))</f>
        <v>Pat Marron</v>
      </c>
      <c r="D639" t="str">
        <f>INDEX(Rankings!C$2:'Rankings'!C$1149,MATCH(SMALL(Rankings!H$2:'Rankings'!H$1000,ROW()),Rankings!H$2:'Rankings'!H$1000,0))</f>
        <v>Pat Marron</v>
      </c>
      <c r="G639" t="str">
        <f>INDEX(Rankings!C$2:'Rankings'!C$1149,MATCH(SMALL(Rankings!H$2:'Rankings'!H$1000,ROW()),Rankings!H$2:'Rankings'!H$1000,0))</f>
        <v>Pat Marron</v>
      </c>
    </row>
    <row r="640" spans="2:7" hidden="1" outlineLevel="1" x14ac:dyDescent="0.25">
      <c r="B640" t="str">
        <f>INDEX(Rankings!C$2:'Rankings'!C$1149,MATCH(SMALL(Rankings!H$2:'Rankings'!H$1000,ROW()),Rankings!H$2:'Rankings'!H$1000,0))</f>
        <v>Pat Rabdau</v>
      </c>
      <c r="C640" t="str">
        <f>INDEX(Rankings!C$2:'Rankings'!C$1149,MATCH(SMALL(Rankings!H$2:'Rankings'!H$1000,ROW()),Rankings!H$2:'Rankings'!H$1000,0))</f>
        <v>Pat Rabdau</v>
      </c>
      <c r="D640" t="str">
        <f>INDEX(Rankings!C$2:'Rankings'!C$1149,MATCH(SMALL(Rankings!H$2:'Rankings'!H$1000,ROW()),Rankings!H$2:'Rankings'!H$1000,0))</f>
        <v>Pat Rabdau</v>
      </c>
      <c r="G640" t="str">
        <f>INDEX(Rankings!C$2:'Rankings'!C$1149,MATCH(SMALL(Rankings!H$2:'Rankings'!H$1000,ROW()),Rankings!H$2:'Rankings'!H$1000,0))</f>
        <v>Pat Rabdau</v>
      </c>
    </row>
    <row r="641" spans="2:7" hidden="1" outlineLevel="1" x14ac:dyDescent="0.25">
      <c r="B641" t="str">
        <f>INDEX(Rankings!C$2:'Rankings'!C$1149,MATCH(SMALL(Rankings!H$2:'Rankings'!H$1000,ROW()),Rankings!H$2:'Rankings'!H$1000,0))</f>
        <v>Paul Brenner</v>
      </c>
      <c r="C641" t="str">
        <f>INDEX(Rankings!C$2:'Rankings'!C$1149,MATCH(SMALL(Rankings!H$2:'Rankings'!H$1000,ROW()),Rankings!H$2:'Rankings'!H$1000,0))</f>
        <v>Paul Brenner</v>
      </c>
      <c r="D641" t="str">
        <f>INDEX(Rankings!C$2:'Rankings'!C$1149,MATCH(SMALL(Rankings!H$2:'Rankings'!H$1000,ROW()),Rankings!H$2:'Rankings'!H$1000,0))</f>
        <v>Paul Brenner</v>
      </c>
      <c r="G641" t="str">
        <f>INDEX(Rankings!C$2:'Rankings'!C$1149,MATCH(SMALL(Rankings!H$2:'Rankings'!H$1000,ROW()),Rankings!H$2:'Rankings'!H$1000,0))</f>
        <v>Paul Brenner</v>
      </c>
    </row>
    <row r="642" spans="2:7" hidden="1" outlineLevel="1" x14ac:dyDescent="0.25">
      <c r="B642" t="str">
        <f>INDEX(Rankings!C$2:'Rankings'!C$1149,MATCH(SMALL(Rankings!H$2:'Rankings'!H$1000,ROW()),Rankings!H$2:'Rankings'!H$1000,0))</f>
        <v>Paul Kenny</v>
      </c>
      <c r="C642" t="str">
        <f>INDEX(Rankings!C$2:'Rankings'!C$1149,MATCH(SMALL(Rankings!H$2:'Rankings'!H$1000,ROW()),Rankings!H$2:'Rankings'!H$1000,0))</f>
        <v>Paul Kenny</v>
      </c>
      <c r="D642" t="str">
        <f>INDEX(Rankings!C$2:'Rankings'!C$1149,MATCH(SMALL(Rankings!H$2:'Rankings'!H$1000,ROW()),Rankings!H$2:'Rankings'!H$1000,0))</f>
        <v>Paul Kenny</v>
      </c>
      <c r="G642" t="str">
        <f>INDEX(Rankings!C$2:'Rankings'!C$1149,MATCH(SMALL(Rankings!H$2:'Rankings'!H$1000,ROW()),Rankings!H$2:'Rankings'!H$1000,0))</f>
        <v>Paul Kenny</v>
      </c>
    </row>
    <row r="643" spans="2:7" hidden="1" outlineLevel="1" x14ac:dyDescent="0.25">
      <c r="B643" t="str">
        <f>INDEX(Rankings!C$2:'Rankings'!C$1149,MATCH(SMALL(Rankings!H$2:'Rankings'!H$1000,ROW()),Rankings!H$2:'Rankings'!H$1000,0))</f>
        <v>Paul Klimek</v>
      </c>
      <c r="C643" t="str">
        <f>INDEX(Rankings!C$2:'Rankings'!C$1149,MATCH(SMALL(Rankings!H$2:'Rankings'!H$1000,ROW()),Rankings!H$2:'Rankings'!H$1000,0))</f>
        <v>Paul Klimek</v>
      </c>
      <c r="D643" t="str">
        <f>INDEX(Rankings!C$2:'Rankings'!C$1149,MATCH(SMALL(Rankings!H$2:'Rankings'!H$1000,ROW()),Rankings!H$2:'Rankings'!H$1000,0))</f>
        <v>Paul Klimek</v>
      </c>
      <c r="G643" t="str">
        <f>INDEX(Rankings!C$2:'Rankings'!C$1149,MATCH(SMALL(Rankings!H$2:'Rankings'!H$1000,ROW()),Rankings!H$2:'Rankings'!H$1000,0))</f>
        <v>Paul Klimek</v>
      </c>
    </row>
    <row r="644" spans="2:7" hidden="1" outlineLevel="1" x14ac:dyDescent="0.25">
      <c r="B644" t="str">
        <f>INDEX(Rankings!C$2:'Rankings'!C$1149,MATCH(SMALL(Rankings!H$2:'Rankings'!H$1000,ROW()),Rankings!H$2:'Rankings'!H$1000,0))</f>
        <v>Paul Kuffel</v>
      </c>
      <c r="C644" t="str">
        <f>INDEX(Rankings!C$2:'Rankings'!C$1149,MATCH(SMALL(Rankings!H$2:'Rankings'!H$1000,ROW()),Rankings!H$2:'Rankings'!H$1000,0))</f>
        <v>Paul Kuffel</v>
      </c>
      <c r="D644" t="str">
        <f>INDEX(Rankings!C$2:'Rankings'!C$1149,MATCH(SMALL(Rankings!H$2:'Rankings'!H$1000,ROW()),Rankings!H$2:'Rankings'!H$1000,0))</f>
        <v>Paul Kuffel</v>
      </c>
      <c r="G644" t="str">
        <f>INDEX(Rankings!C$2:'Rankings'!C$1149,MATCH(SMALL(Rankings!H$2:'Rankings'!H$1000,ROW()),Rankings!H$2:'Rankings'!H$1000,0))</f>
        <v>Paul Kuffel</v>
      </c>
    </row>
    <row r="645" spans="2:7" hidden="1" outlineLevel="1" x14ac:dyDescent="0.25">
      <c r="B645" t="str">
        <f>INDEX(Rankings!C$2:'Rankings'!C$1149,MATCH(SMALL(Rankings!H$2:'Rankings'!H$1000,ROW()),Rankings!H$2:'Rankings'!H$1000,0))</f>
        <v>Paul Mondesire</v>
      </c>
      <c r="C645" t="str">
        <f>INDEX(Rankings!C$2:'Rankings'!C$1149,MATCH(SMALL(Rankings!H$2:'Rankings'!H$1000,ROW()),Rankings!H$2:'Rankings'!H$1000,0))</f>
        <v>Paul Mondesire</v>
      </c>
      <c r="D645" t="str">
        <f>INDEX(Rankings!C$2:'Rankings'!C$1149,MATCH(SMALL(Rankings!H$2:'Rankings'!H$1000,ROW()),Rankings!H$2:'Rankings'!H$1000,0))</f>
        <v>Paul Mondesire</v>
      </c>
      <c r="G645" t="str">
        <f>INDEX(Rankings!C$2:'Rankings'!C$1149,MATCH(SMALL(Rankings!H$2:'Rankings'!H$1000,ROW()),Rankings!H$2:'Rankings'!H$1000,0))</f>
        <v>Paul Mondesire</v>
      </c>
    </row>
    <row r="646" spans="2:7" hidden="1" outlineLevel="1" x14ac:dyDescent="0.25">
      <c r="B646" t="str">
        <f>INDEX(Rankings!C$2:'Rankings'!C$1149,MATCH(SMALL(Rankings!H$2:'Rankings'!H$1000,ROW()),Rankings!H$2:'Rankings'!H$1000,0))</f>
        <v>Paul Siefert</v>
      </c>
      <c r="C646" t="str">
        <f>INDEX(Rankings!C$2:'Rankings'!C$1149,MATCH(SMALL(Rankings!H$2:'Rankings'!H$1000,ROW()),Rankings!H$2:'Rankings'!H$1000,0))</f>
        <v>Paul Siefert</v>
      </c>
      <c r="D646" t="str">
        <f>INDEX(Rankings!C$2:'Rankings'!C$1149,MATCH(SMALL(Rankings!H$2:'Rankings'!H$1000,ROW()),Rankings!H$2:'Rankings'!H$1000,0))</f>
        <v>Paul Siefert</v>
      </c>
      <c r="G646" t="str">
        <f>INDEX(Rankings!C$2:'Rankings'!C$1149,MATCH(SMALL(Rankings!H$2:'Rankings'!H$1000,ROW()),Rankings!H$2:'Rankings'!H$1000,0))</f>
        <v>Paul Siefert</v>
      </c>
    </row>
    <row r="647" spans="2:7" hidden="1" outlineLevel="1" x14ac:dyDescent="0.25">
      <c r="B647" t="str">
        <f>INDEX(Rankings!C$2:'Rankings'!C$1149,MATCH(SMALL(Rankings!H$2:'Rankings'!H$1000,ROW()),Rankings!H$2:'Rankings'!H$1000,0))</f>
        <v>Paul Smith</v>
      </c>
      <c r="C647" t="str">
        <f>INDEX(Rankings!C$2:'Rankings'!C$1149,MATCH(SMALL(Rankings!H$2:'Rankings'!H$1000,ROW()),Rankings!H$2:'Rankings'!H$1000,0))</f>
        <v>Paul Smith</v>
      </c>
      <c r="D647" t="str">
        <f>INDEX(Rankings!C$2:'Rankings'!C$1149,MATCH(SMALL(Rankings!H$2:'Rankings'!H$1000,ROW()),Rankings!H$2:'Rankings'!H$1000,0))</f>
        <v>Paul Smith</v>
      </c>
      <c r="G647" t="str">
        <f>INDEX(Rankings!C$2:'Rankings'!C$1149,MATCH(SMALL(Rankings!H$2:'Rankings'!H$1000,ROW()),Rankings!H$2:'Rankings'!H$1000,0))</f>
        <v>Paul Smith</v>
      </c>
    </row>
    <row r="648" spans="2:7" hidden="1" outlineLevel="1" x14ac:dyDescent="0.25">
      <c r="B648" t="str">
        <f>INDEX(Rankings!C$2:'Rankings'!C$1149,MATCH(SMALL(Rankings!H$2:'Rankings'!H$1000,ROW()),Rankings!H$2:'Rankings'!H$1000,0))</f>
        <v>Paul Thompson</v>
      </c>
      <c r="C648" t="str">
        <f>INDEX(Rankings!C$2:'Rankings'!C$1149,MATCH(SMALL(Rankings!H$2:'Rankings'!H$1000,ROW()),Rankings!H$2:'Rankings'!H$1000,0))</f>
        <v>Paul Thompson</v>
      </c>
      <c r="D648" t="str">
        <f>INDEX(Rankings!C$2:'Rankings'!C$1149,MATCH(SMALL(Rankings!H$2:'Rankings'!H$1000,ROW()),Rankings!H$2:'Rankings'!H$1000,0))</f>
        <v>Paul Thompson</v>
      </c>
      <c r="G648" t="str">
        <f>INDEX(Rankings!C$2:'Rankings'!C$1149,MATCH(SMALL(Rankings!H$2:'Rankings'!H$1000,ROW()),Rankings!H$2:'Rankings'!H$1000,0))</f>
        <v>Paul Thompson</v>
      </c>
    </row>
    <row r="649" spans="2:7" hidden="1" outlineLevel="1" x14ac:dyDescent="0.25">
      <c r="B649" t="str">
        <f>INDEX(Rankings!C$2:'Rankings'!C$1149,MATCH(SMALL(Rankings!H$2:'Rankings'!H$1000,ROW()),Rankings!H$2:'Rankings'!H$1000,0))</f>
        <v>Paula Willin</v>
      </c>
      <c r="C649" t="str">
        <f>INDEX(Rankings!C$2:'Rankings'!C$1149,MATCH(SMALL(Rankings!H$2:'Rankings'!H$1000,ROW()),Rankings!H$2:'Rankings'!H$1000,0))</f>
        <v>Paula Willin</v>
      </c>
      <c r="D649" t="str">
        <f>INDEX(Rankings!C$2:'Rankings'!C$1149,MATCH(SMALL(Rankings!H$2:'Rankings'!H$1000,ROW()),Rankings!H$2:'Rankings'!H$1000,0))</f>
        <v>Paula Willin</v>
      </c>
      <c r="G649" t="str">
        <f>INDEX(Rankings!C$2:'Rankings'!C$1149,MATCH(SMALL(Rankings!H$2:'Rankings'!H$1000,ROW()),Rankings!H$2:'Rankings'!H$1000,0))</f>
        <v>Paula Willin</v>
      </c>
    </row>
    <row r="650" spans="2:7" hidden="1" outlineLevel="1" x14ac:dyDescent="0.25">
      <c r="B650" t="str">
        <f>INDEX(Rankings!C$2:'Rankings'!C$1149,MATCH(SMALL(Rankings!H$2:'Rankings'!H$1000,ROW()),Rankings!H$2:'Rankings'!H$1000,0))</f>
        <v>Pavel Baranyk</v>
      </c>
      <c r="C650" t="str">
        <f>INDEX(Rankings!C$2:'Rankings'!C$1149,MATCH(SMALL(Rankings!H$2:'Rankings'!H$1000,ROW()),Rankings!H$2:'Rankings'!H$1000,0))</f>
        <v>Pavel Baranyk</v>
      </c>
      <c r="D650" t="str">
        <f>INDEX(Rankings!C$2:'Rankings'!C$1149,MATCH(SMALL(Rankings!H$2:'Rankings'!H$1000,ROW()),Rankings!H$2:'Rankings'!H$1000,0))</f>
        <v>Pavel Baranyk</v>
      </c>
      <c r="G650" t="str">
        <f>INDEX(Rankings!C$2:'Rankings'!C$1149,MATCH(SMALL(Rankings!H$2:'Rankings'!H$1000,ROW()),Rankings!H$2:'Rankings'!H$1000,0))</f>
        <v>Pavel Baranyk</v>
      </c>
    </row>
    <row r="651" spans="2:7" hidden="1" outlineLevel="1" x14ac:dyDescent="0.25">
      <c r="B651" t="str">
        <f>INDEX(Rankings!C$2:'Rankings'!C$1149,MATCH(SMALL(Rankings!H$2:'Rankings'!H$1000,ROW()),Rankings!H$2:'Rankings'!H$1000,0))</f>
        <v>Pavel Safar</v>
      </c>
      <c r="C651" t="str">
        <f>INDEX(Rankings!C$2:'Rankings'!C$1149,MATCH(SMALL(Rankings!H$2:'Rankings'!H$1000,ROW()),Rankings!H$2:'Rankings'!H$1000,0))</f>
        <v>Pavel Safar</v>
      </c>
      <c r="D651" t="str">
        <f>INDEX(Rankings!C$2:'Rankings'!C$1149,MATCH(SMALL(Rankings!H$2:'Rankings'!H$1000,ROW()),Rankings!H$2:'Rankings'!H$1000,0))</f>
        <v>Pavel Safar</v>
      </c>
      <c r="G651" t="str">
        <f>INDEX(Rankings!C$2:'Rankings'!C$1149,MATCH(SMALL(Rankings!H$2:'Rankings'!H$1000,ROW()),Rankings!H$2:'Rankings'!H$1000,0))</f>
        <v>Pavel Safar</v>
      </c>
    </row>
    <row r="652" spans="2:7" hidden="1" outlineLevel="1" x14ac:dyDescent="0.25">
      <c r="B652" t="str">
        <f>INDEX(Rankings!C$2:'Rankings'!C$1149,MATCH(SMALL(Rankings!H$2:'Rankings'!H$1000,ROW()),Rankings!H$2:'Rankings'!H$1000,0))</f>
        <v>Pepyn Tavernier</v>
      </c>
      <c r="C652" t="str">
        <f>INDEX(Rankings!C$2:'Rankings'!C$1149,MATCH(SMALL(Rankings!H$2:'Rankings'!H$1000,ROW()),Rankings!H$2:'Rankings'!H$1000,0))</f>
        <v>Pepyn Tavernier</v>
      </c>
      <c r="D652" t="str">
        <f>INDEX(Rankings!C$2:'Rankings'!C$1149,MATCH(SMALL(Rankings!H$2:'Rankings'!H$1000,ROW()),Rankings!H$2:'Rankings'!H$1000,0))</f>
        <v>Pepyn Tavernier</v>
      </c>
      <c r="G652" t="str">
        <f>INDEX(Rankings!C$2:'Rankings'!C$1149,MATCH(SMALL(Rankings!H$2:'Rankings'!H$1000,ROW()),Rankings!H$2:'Rankings'!H$1000,0))</f>
        <v>Pepyn Tavernier</v>
      </c>
    </row>
    <row r="653" spans="2:7" hidden="1" outlineLevel="1" x14ac:dyDescent="0.25">
      <c r="B653" t="str">
        <f>INDEX(Rankings!C$2:'Rankings'!C$1149,MATCH(SMALL(Rankings!H$2:'Rankings'!H$1000,ROW()),Rankings!H$2:'Rankings'!H$1000,0))</f>
        <v>Per Persson</v>
      </c>
      <c r="C653" t="str">
        <f>INDEX(Rankings!C$2:'Rankings'!C$1149,MATCH(SMALL(Rankings!H$2:'Rankings'!H$1000,ROW()),Rankings!H$2:'Rankings'!H$1000,0))</f>
        <v>Per Persson</v>
      </c>
      <c r="D653" t="str">
        <f>INDEX(Rankings!C$2:'Rankings'!C$1149,MATCH(SMALL(Rankings!H$2:'Rankings'!H$1000,ROW()),Rankings!H$2:'Rankings'!H$1000,0))</f>
        <v>Per Persson</v>
      </c>
      <c r="G653" t="str">
        <f>INDEX(Rankings!C$2:'Rankings'!C$1149,MATCH(SMALL(Rankings!H$2:'Rankings'!H$1000,ROW()),Rankings!H$2:'Rankings'!H$1000,0))</f>
        <v>Per Persson</v>
      </c>
    </row>
    <row r="654" spans="2:7" hidden="1" outlineLevel="1" x14ac:dyDescent="0.25">
      <c r="B654" t="str">
        <f>INDEX(Rankings!C$2:'Rankings'!C$1149,MATCH(SMALL(Rankings!H$2:'Rankings'!H$1000,ROW()),Rankings!H$2:'Rankings'!H$1000,0))</f>
        <v>Pete Sontag</v>
      </c>
      <c r="C654" t="str">
        <f>INDEX(Rankings!C$2:'Rankings'!C$1149,MATCH(SMALL(Rankings!H$2:'Rankings'!H$1000,ROW()),Rankings!H$2:'Rankings'!H$1000,0))</f>
        <v>Pete Sontag</v>
      </c>
      <c r="D654" t="str">
        <f>INDEX(Rankings!C$2:'Rankings'!C$1149,MATCH(SMALL(Rankings!H$2:'Rankings'!H$1000,ROW()),Rankings!H$2:'Rankings'!H$1000,0))</f>
        <v>Pete Sontag</v>
      </c>
      <c r="G654" t="str">
        <f>INDEX(Rankings!C$2:'Rankings'!C$1149,MATCH(SMALL(Rankings!H$2:'Rankings'!H$1000,ROW()),Rankings!H$2:'Rankings'!H$1000,0))</f>
        <v>Pete Sontag</v>
      </c>
    </row>
    <row r="655" spans="2:7" hidden="1" outlineLevel="1" x14ac:dyDescent="0.25">
      <c r="B655" t="str">
        <f>INDEX(Rankings!C$2:'Rankings'!C$1149,MATCH(SMALL(Rankings!H$2:'Rankings'!H$1000,ROW()),Rankings!H$2:'Rankings'!H$1000,0))</f>
        <v>Peter Henriksson</v>
      </c>
      <c r="C655" t="str">
        <f>INDEX(Rankings!C$2:'Rankings'!C$1149,MATCH(SMALL(Rankings!H$2:'Rankings'!H$1000,ROW()),Rankings!H$2:'Rankings'!H$1000,0))</f>
        <v>Peter Henriksson</v>
      </c>
      <c r="D655" t="str">
        <f>INDEX(Rankings!C$2:'Rankings'!C$1149,MATCH(SMALL(Rankings!H$2:'Rankings'!H$1000,ROW()),Rankings!H$2:'Rankings'!H$1000,0))</f>
        <v>Peter Henriksson</v>
      </c>
      <c r="G655" t="str">
        <f>INDEX(Rankings!C$2:'Rankings'!C$1149,MATCH(SMALL(Rankings!H$2:'Rankings'!H$1000,ROW()),Rankings!H$2:'Rankings'!H$1000,0))</f>
        <v>Peter Henriksson</v>
      </c>
    </row>
    <row r="656" spans="2:7" hidden="1" outlineLevel="1" x14ac:dyDescent="0.25">
      <c r="B656" t="str">
        <f>INDEX(Rankings!C$2:'Rankings'!C$1149,MATCH(SMALL(Rankings!H$2:'Rankings'!H$1000,ROW()),Rankings!H$2:'Rankings'!H$1000,0))</f>
        <v>Peter Honzik</v>
      </c>
      <c r="C656" t="str">
        <f>INDEX(Rankings!C$2:'Rankings'!C$1149,MATCH(SMALL(Rankings!H$2:'Rankings'!H$1000,ROW()),Rankings!H$2:'Rankings'!H$1000,0))</f>
        <v>Peter Honzik</v>
      </c>
      <c r="D656" t="str">
        <f>INDEX(Rankings!C$2:'Rankings'!C$1149,MATCH(SMALL(Rankings!H$2:'Rankings'!H$1000,ROW()),Rankings!H$2:'Rankings'!H$1000,0))</f>
        <v>Peter Honzik</v>
      </c>
      <c r="G656" t="str">
        <f>INDEX(Rankings!C$2:'Rankings'!C$1149,MATCH(SMALL(Rankings!H$2:'Rankings'!H$1000,ROW()),Rankings!H$2:'Rankings'!H$1000,0))</f>
        <v>Peter Honzik</v>
      </c>
    </row>
    <row r="657" spans="2:7" hidden="1" outlineLevel="1" x14ac:dyDescent="0.25">
      <c r="B657" t="str">
        <f>INDEX(Rankings!C$2:'Rankings'!C$1149,MATCH(SMALL(Rankings!H$2:'Rankings'!H$1000,ROW()),Rankings!H$2:'Rankings'!H$1000,0))</f>
        <v>Peter Karlsson</v>
      </c>
      <c r="C657" t="str">
        <f>INDEX(Rankings!C$2:'Rankings'!C$1149,MATCH(SMALL(Rankings!H$2:'Rankings'!H$1000,ROW()),Rankings!H$2:'Rankings'!H$1000,0))</f>
        <v>Peter Karlsson</v>
      </c>
      <c r="D657" t="str">
        <f>INDEX(Rankings!C$2:'Rankings'!C$1149,MATCH(SMALL(Rankings!H$2:'Rankings'!H$1000,ROW()),Rankings!H$2:'Rankings'!H$1000,0))</f>
        <v>Peter Karlsson</v>
      </c>
      <c r="G657" t="str">
        <f>INDEX(Rankings!C$2:'Rankings'!C$1149,MATCH(SMALL(Rankings!H$2:'Rankings'!H$1000,ROW()),Rankings!H$2:'Rankings'!H$1000,0))</f>
        <v>Peter Karlsson</v>
      </c>
    </row>
    <row r="658" spans="2:7" hidden="1" outlineLevel="1" x14ac:dyDescent="0.25">
      <c r="B658" t="str">
        <f>INDEX(Rankings!C$2:'Rankings'!C$1149,MATCH(SMALL(Rankings!H$2:'Rankings'!H$1000,ROW()),Rankings!H$2:'Rankings'!H$1000,0))</f>
        <v>Peter Laubert</v>
      </c>
      <c r="C658" t="str">
        <f>INDEX(Rankings!C$2:'Rankings'!C$1149,MATCH(SMALL(Rankings!H$2:'Rankings'!H$1000,ROW()),Rankings!H$2:'Rankings'!H$1000,0))</f>
        <v>Peter Laubert</v>
      </c>
      <c r="D658" t="str">
        <f>INDEX(Rankings!C$2:'Rankings'!C$1149,MATCH(SMALL(Rankings!H$2:'Rankings'!H$1000,ROW()),Rankings!H$2:'Rankings'!H$1000,0))</f>
        <v>Peter Laubert</v>
      </c>
      <c r="G658" t="str">
        <f>INDEX(Rankings!C$2:'Rankings'!C$1149,MATCH(SMALL(Rankings!H$2:'Rankings'!H$1000,ROW()),Rankings!H$2:'Rankings'!H$1000,0))</f>
        <v>Peter Laubert</v>
      </c>
    </row>
    <row r="659" spans="2:7" hidden="1" outlineLevel="1" x14ac:dyDescent="0.25">
      <c r="B659" t="str">
        <f>INDEX(Rankings!C$2:'Rankings'!C$1149,MATCH(SMALL(Rankings!H$2:'Rankings'!H$1000,ROW()),Rankings!H$2:'Rankings'!H$1000,0))</f>
        <v>Peter Rujan</v>
      </c>
      <c r="C659" t="str">
        <f>INDEX(Rankings!C$2:'Rankings'!C$1149,MATCH(SMALL(Rankings!H$2:'Rankings'!H$1000,ROW()),Rankings!H$2:'Rankings'!H$1000,0))</f>
        <v>Peter Rujan</v>
      </c>
      <c r="D659" t="str">
        <f>INDEX(Rankings!C$2:'Rankings'!C$1149,MATCH(SMALL(Rankings!H$2:'Rankings'!H$1000,ROW()),Rankings!H$2:'Rankings'!H$1000,0))</f>
        <v>Peter Rujan</v>
      </c>
      <c r="G659" t="str">
        <f>INDEX(Rankings!C$2:'Rankings'!C$1149,MATCH(SMALL(Rankings!H$2:'Rankings'!H$1000,ROW()),Rankings!H$2:'Rankings'!H$1000,0))</f>
        <v>Peter Rujan</v>
      </c>
    </row>
    <row r="660" spans="2:7" hidden="1" outlineLevel="1" x14ac:dyDescent="0.25">
      <c r="B660" t="str">
        <f>INDEX(Rankings!C$2:'Rankings'!C$1149,MATCH(SMALL(Rankings!H$2:'Rankings'!H$1000,ROW()),Rankings!H$2:'Rankings'!H$1000,0))</f>
        <v>Peter Ryan</v>
      </c>
      <c r="C660" t="str">
        <f>INDEX(Rankings!C$2:'Rankings'!C$1149,MATCH(SMALL(Rankings!H$2:'Rankings'!H$1000,ROW()),Rankings!H$2:'Rankings'!H$1000,0))</f>
        <v>Peter Ryan</v>
      </c>
      <c r="D660" t="str">
        <f>INDEX(Rankings!C$2:'Rankings'!C$1149,MATCH(SMALL(Rankings!H$2:'Rankings'!H$1000,ROW()),Rankings!H$2:'Rankings'!H$1000,0))</f>
        <v>Peter Ryan</v>
      </c>
      <c r="G660" t="str">
        <f>INDEX(Rankings!C$2:'Rankings'!C$1149,MATCH(SMALL(Rankings!H$2:'Rankings'!H$1000,ROW()),Rankings!H$2:'Rankings'!H$1000,0))</f>
        <v>Peter Ryan</v>
      </c>
    </row>
    <row r="661" spans="2:7" hidden="1" outlineLevel="1" x14ac:dyDescent="0.25">
      <c r="B661" t="str">
        <f>INDEX(Rankings!C$2:'Rankings'!C$1149,MATCH(SMALL(Rankings!H$2:'Rankings'!H$1000,ROW()),Rankings!H$2:'Rankings'!H$1000,0))</f>
        <v>Peter Van Gool</v>
      </c>
      <c r="C661" t="str">
        <f>INDEX(Rankings!C$2:'Rankings'!C$1149,MATCH(SMALL(Rankings!H$2:'Rankings'!H$1000,ROW()),Rankings!H$2:'Rankings'!H$1000,0))</f>
        <v>Peter Van Gool</v>
      </c>
      <c r="D661" t="str">
        <f>INDEX(Rankings!C$2:'Rankings'!C$1149,MATCH(SMALL(Rankings!H$2:'Rankings'!H$1000,ROW()),Rankings!H$2:'Rankings'!H$1000,0))</f>
        <v>Peter Van Gool</v>
      </c>
      <c r="G661" t="str">
        <f>INDEX(Rankings!C$2:'Rankings'!C$1149,MATCH(SMALL(Rankings!H$2:'Rankings'!H$1000,ROW()),Rankings!H$2:'Rankings'!H$1000,0))</f>
        <v>Peter Van Gool</v>
      </c>
    </row>
    <row r="662" spans="2:7" hidden="1" outlineLevel="1" x14ac:dyDescent="0.25">
      <c r="B662" t="str">
        <f>INDEX(Rankings!C$2:'Rankings'!C$1149,MATCH(SMALL(Rankings!H$2:'Rankings'!H$1000,ROW()),Rankings!H$2:'Rankings'!H$1000,0))</f>
        <v>Petri Isola</v>
      </c>
      <c r="C662" t="str">
        <f>INDEX(Rankings!C$2:'Rankings'!C$1149,MATCH(SMALL(Rankings!H$2:'Rankings'!H$1000,ROW()),Rankings!H$2:'Rankings'!H$1000,0))</f>
        <v>Petri Isola</v>
      </c>
      <c r="D662" t="str">
        <f>INDEX(Rankings!C$2:'Rankings'!C$1149,MATCH(SMALL(Rankings!H$2:'Rankings'!H$1000,ROW()),Rankings!H$2:'Rankings'!H$1000,0))</f>
        <v>Petri Isola</v>
      </c>
      <c r="G662" t="str">
        <f>INDEX(Rankings!C$2:'Rankings'!C$1149,MATCH(SMALL(Rankings!H$2:'Rankings'!H$1000,ROW()),Rankings!H$2:'Rankings'!H$1000,0))</f>
        <v>Petri Isola</v>
      </c>
    </row>
    <row r="663" spans="2:7" hidden="1" outlineLevel="1" x14ac:dyDescent="0.25">
      <c r="B663" t="str">
        <f>INDEX(Rankings!C$2:'Rankings'!C$1149,MATCH(SMALL(Rankings!H$2:'Rankings'!H$1000,ROW()),Rankings!H$2:'Rankings'!H$1000,0))</f>
        <v>Phil Cappa</v>
      </c>
      <c r="C663" t="str">
        <f>INDEX(Rankings!C$2:'Rankings'!C$1149,MATCH(SMALL(Rankings!H$2:'Rankings'!H$1000,ROW()),Rankings!H$2:'Rankings'!H$1000,0))</f>
        <v>Phil Cappa</v>
      </c>
      <c r="D663" t="str">
        <f>INDEX(Rankings!C$2:'Rankings'!C$1149,MATCH(SMALL(Rankings!H$2:'Rankings'!H$1000,ROW()),Rankings!H$2:'Rankings'!H$1000,0))</f>
        <v>Phil Cappa</v>
      </c>
      <c r="G663" t="str">
        <f>INDEX(Rankings!C$2:'Rankings'!C$1149,MATCH(SMALL(Rankings!H$2:'Rankings'!H$1000,ROW()),Rankings!H$2:'Rankings'!H$1000,0))</f>
        <v>Phil Cappa</v>
      </c>
    </row>
    <row r="664" spans="2:7" hidden="1" outlineLevel="1" x14ac:dyDescent="0.25">
      <c r="B664" t="str">
        <f>INDEX(Rankings!C$2:'Rankings'!C$1149,MATCH(SMALL(Rankings!H$2:'Rankings'!H$1000,ROW()),Rankings!H$2:'Rankings'!H$1000,0))</f>
        <v>Philipp Krüger</v>
      </c>
      <c r="C664" t="str">
        <f>INDEX(Rankings!C$2:'Rankings'!C$1149,MATCH(SMALL(Rankings!H$2:'Rankings'!H$1000,ROW()),Rankings!H$2:'Rankings'!H$1000,0))</f>
        <v>Philipp Krüger</v>
      </c>
      <c r="D664" t="str">
        <f>INDEX(Rankings!C$2:'Rankings'!C$1149,MATCH(SMALL(Rankings!H$2:'Rankings'!H$1000,ROW()),Rankings!H$2:'Rankings'!H$1000,0))</f>
        <v>Philipp Krüger</v>
      </c>
      <c r="G664" t="str">
        <f>INDEX(Rankings!C$2:'Rankings'!C$1149,MATCH(SMALL(Rankings!H$2:'Rankings'!H$1000,ROW()),Rankings!H$2:'Rankings'!H$1000,0))</f>
        <v>Philipp Krüger</v>
      </c>
    </row>
    <row r="665" spans="2:7" hidden="1" outlineLevel="1" x14ac:dyDescent="0.25">
      <c r="B665" t="str">
        <f>INDEX(Rankings!C$2:'Rankings'!C$1149,MATCH(SMALL(Rankings!H$2:'Rankings'!H$1000,ROW()),Rankings!H$2:'Rankings'!H$1000,0))</f>
        <v>Philipp Ludwig</v>
      </c>
      <c r="C665" t="str">
        <f>INDEX(Rankings!C$2:'Rankings'!C$1149,MATCH(SMALL(Rankings!H$2:'Rankings'!H$1000,ROW()),Rankings!H$2:'Rankings'!H$1000,0))</f>
        <v>Philipp Ludwig</v>
      </c>
      <c r="D665" t="str">
        <f>INDEX(Rankings!C$2:'Rankings'!C$1149,MATCH(SMALL(Rankings!H$2:'Rankings'!H$1000,ROW()),Rankings!H$2:'Rankings'!H$1000,0))</f>
        <v>Philipp Ludwig</v>
      </c>
      <c r="G665" t="str">
        <f>INDEX(Rankings!C$2:'Rankings'!C$1149,MATCH(SMALL(Rankings!H$2:'Rankings'!H$1000,ROW()),Rankings!H$2:'Rankings'!H$1000,0))</f>
        <v>Philipp Ludwig</v>
      </c>
    </row>
    <row r="666" spans="2:7" hidden="1" outlineLevel="1" x14ac:dyDescent="0.25">
      <c r="B666" t="str">
        <f>INDEX(Rankings!C$2:'Rankings'!C$1149,MATCH(SMALL(Rankings!H$2:'Rankings'!H$1000,ROW()),Rankings!H$2:'Rankings'!H$1000,0))</f>
        <v>Philipp Luniak</v>
      </c>
      <c r="C666" t="str">
        <f>INDEX(Rankings!C$2:'Rankings'!C$1149,MATCH(SMALL(Rankings!H$2:'Rankings'!H$1000,ROW()),Rankings!H$2:'Rankings'!H$1000,0))</f>
        <v>Philipp Luniak</v>
      </c>
      <c r="D666" t="str">
        <f>INDEX(Rankings!C$2:'Rankings'!C$1149,MATCH(SMALL(Rankings!H$2:'Rankings'!H$1000,ROW()),Rankings!H$2:'Rankings'!H$1000,0))</f>
        <v>Philipp Luniak</v>
      </c>
      <c r="G666" t="str">
        <f>INDEX(Rankings!C$2:'Rankings'!C$1149,MATCH(SMALL(Rankings!H$2:'Rankings'!H$1000,ROW()),Rankings!H$2:'Rankings'!H$1000,0))</f>
        <v>Philipp Luniak</v>
      </c>
    </row>
    <row r="667" spans="2:7" hidden="1" outlineLevel="1" x14ac:dyDescent="0.25">
      <c r="B667" t="str">
        <f>INDEX(Rankings!C$2:'Rankings'!C$1149,MATCH(SMALL(Rankings!H$2:'Rankings'!H$1000,ROW()),Rankings!H$2:'Rankings'!H$1000,0))</f>
        <v>Philipp Maubach</v>
      </c>
      <c r="C667" t="str">
        <f>INDEX(Rankings!C$2:'Rankings'!C$1149,MATCH(SMALL(Rankings!H$2:'Rankings'!H$1000,ROW()),Rankings!H$2:'Rankings'!H$1000,0))</f>
        <v>Philipp Maubach</v>
      </c>
      <c r="D667" t="str">
        <f>INDEX(Rankings!C$2:'Rankings'!C$1149,MATCH(SMALL(Rankings!H$2:'Rankings'!H$1000,ROW()),Rankings!H$2:'Rankings'!H$1000,0))</f>
        <v>Philipp Maubach</v>
      </c>
      <c r="G667" t="str">
        <f>INDEX(Rankings!C$2:'Rankings'!C$1149,MATCH(SMALL(Rankings!H$2:'Rankings'!H$1000,ROW()),Rankings!H$2:'Rankings'!H$1000,0))</f>
        <v>Philipp Maubach</v>
      </c>
    </row>
    <row r="668" spans="2:7" hidden="1" outlineLevel="1" x14ac:dyDescent="0.25">
      <c r="B668" t="str">
        <f>INDEX(Rankings!C$2:'Rankings'!C$1149,MATCH(SMALL(Rankings!H$2:'Rankings'!H$1000,ROW()),Rankings!H$2:'Rankings'!H$1000,0))</f>
        <v>Philipp Schellworth</v>
      </c>
      <c r="C668" t="str">
        <f>INDEX(Rankings!C$2:'Rankings'!C$1149,MATCH(SMALL(Rankings!H$2:'Rankings'!H$1000,ROW()),Rankings!H$2:'Rankings'!H$1000,0))</f>
        <v>Philipp Schellworth</v>
      </c>
      <c r="D668" t="str">
        <f>INDEX(Rankings!C$2:'Rankings'!C$1149,MATCH(SMALL(Rankings!H$2:'Rankings'!H$1000,ROW()),Rankings!H$2:'Rankings'!H$1000,0))</f>
        <v>Philipp Schellworth</v>
      </c>
      <c r="G668" t="str">
        <f>INDEX(Rankings!C$2:'Rankings'!C$1149,MATCH(SMALL(Rankings!H$2:'Rankings'!H$1000,ROW()),Rankings!H$2:'Rankings'!H$1000,0))</f>
        <v>Philipp Schellworth</v>
      </c>
    </row>
    <row r="669" spans="2:7" hidden="1" outlineLevel="1" x14ac:dyDescent="0.25">
      <c r="B669" t="str">
        <f>INDEX(Rankings!C$2:'Rankings'!C$1149,MATCH(SMALL(Rankings!H$2:'Rankings'!H$1000,ROW()),Rankings!H$2:'Rankings'!H$1000,0))</f>
        <v>Philipp Stahl</v>
      </c>
      <c r="C669" t="str">
        <f>INDEX(Rankings!C$2:'Rankings'!C$1149,MATCH(SMALL(Rankings!H$2:'Rankings'!H$1000,ROW()),Rankings!H$2:'Rankings'!H$1000,0))</f>
        <v>Philipp Stahl</v>
      </c>
      <c r="D669" t="str">
        <f>INDEX(Rankings!C$2:'Rankings'!C$1149,MATCH(SMALL(Rankings!H$2:'Rankings'!H$1000,ROW()),Rankings!H$2:'Rankings'!H$1000,0))</f>
        <v>Philipp Stahl</v>
      </c>
      <c r="G669" t="str">
        <f>INDEX(Rankings!C$2:'Rankings'!C$1149,MATCH(SMALL(Rankings!H$2:'Rankings'!H$1000,ROW()),Rankings!H$2:'Rankings'!H$1000,0))</f>
        <v>Philipp Stahl</v>
      </c>
    </row>
    <row r="670" spans="2:7" hidden="1" outlineLevel="1" x14ac:dyDescent="0.25">
      <c r="B670" t="str">
        <f>INDEX(Rankings!C$2:'Rankings'!C$1149,MATCH(SMALL(Rankings!H$2:'Rankings'!H$1000,ROW()),Rankings!H$2:'Rankings'!H$1000,0))</f>
        <v>Phillip Jahnke</v>
      </c>
      <c r="C670" t="str">
        <f>INDEX(Rankings!C$2:'Rankings'!C$1149,MATCH(SMALL(Rankings!H$2:'Rankings'!H$1000,ROW()),Rankings!H$2:'Rankings'!H$1000,0))</f>
        <v>Phillip Jahnke</v>
      </c>
      <c r="D670" t="str">
        <f>INDEX(Rankings!C$2:'Rankings'!C$1149,MATCH(SMALL(Rankings!H$2:'Rankings'!H$1000,ROW()),Rankings!H$2:'Rankings'!H$1000,0))</f>
        <v>Phillip Jahnke</v>
      </c>
      <c r="G670" t="str">
        <f>INDEX(Rankings!C$2:'Rankings'!C$1149,MATCH(SMALL(Rankings!H$2:'Rankings'!H$1000,ROW()),Rankings!H$2:'Rankings'!H$1000,0))</f>
        <v>Phillip Jahnke</v>
      </c>
    </row>
    <row r="671" spans="2:7" hidden="1" outlineLevel="1" x14ac:dyDescent="0.25">
      <c r="B671" t="str">
        <f>INDEX(Rankings!C$2:'Rankings'!C$1149,MATCH(SMALL(Rankings!H$2:'Rankings'!H$1000,ROW()),Rankings!H$2:'Rankings'!H$1000,0))</f>
        <v>Phoebe Lett</v>
      </c>
      <c r="C671" t="str">
        <f>INDEX(Rankings!C$2:'Rankings'!C$1149,MATCH(SMALL(Rankings!H$2:'Rankings'!H$1000,ROW()),Rankings!H$2:'Rankings'!H$1000,0))</f>
        <v>Phoebe Lett</v>
      </c>
      <c r="D671" t="str">
        <f>INDEX(Rankings!C$2:'Rankings'!C$1149,MATCH(SMALL(Rankings!H$2:'Rankings'!H$1000,ROW()),Rankings!H$2:'Rankings'!H$1000,0))</f>
        <v>Phoebe Lett</v>
      </c>
      <c r="G671" t="str">
        <f>INDEX(Rankings!C$2:'Rankings'!C$1149,MATCH(SMALL(Rankings!H$2:'Rankings'!H$1000,ROW()),Rankings!H$2:'Rankings'!H$1000,0))</f>
        <v>Phoebe Lett</v>
      </c>
    </row>
    <row r="672" spans="2:7" hidden="1" outlineLevel="1" x14ac:dyDescent="0.25">
      <c r="B672" t="str">
        <f>INDEX(Rankings!C$2:'Rankings'!C$1149,MATCH(SMALL(Rankings!H$2:'Rankings'!H$1000,ROW()),Rankings!H$2:'Rankings'!H$1000,0))</f>
        <v>Piotr Rasajewski</v>
      </c>
      <c r="C672" t="str">
        <f>INDEX(Rankings!C$2:'Rankings'!C$1149,MATCH(SMALL(Rankings!H$2:'Rankings'!H$1000,ROW()),Rankings!H$2:'Rankings'!H$1000,0))</f>
        <v>Piotr Rasajewski</v>
      </c>
      <c r="D672" t="str">
        <f>INDEX(Rankings!C$2:'Rankings'!C$1149,MATCH(SMALL(Rankings!H$2:'Rankings'!H$1000,ROW()),Rankings!H$2:'Rankings'!H$1000,0))</f>
        <v>Piotr Rasajewski</v>
      </c>
      <c r="G672" t="str">
        <f>INDEX(Rankings!C$2:'Rankings'!C$1149,MATCH(SMALL(Rankings!H$2:'Rankings'!H$1000,ROW()),Rankings!H$2:'Rankings'!H$1000,0))</f>
        <v>Piotr Rasajewski</v>
      </c>
    </row>
    <row r="673" spans="2:7" hidden="1" outlineLevel="1" x14ac:dyDescent="0.25">
      <c r="B673" t="str">
        <f>INDEX(Rankings!C$2:'Rankings'!C$1149,MATCH(SMALL(Rankings!H$2:'Rankings'!H$1000,ROW()),Rankings!H$2:'Rankings'!H$1000,0))</f>
        <v>Rabah Sbitani</v>
      </c>
      <c r="C673" t="str">
        <f>INDEX(Rankings!C$2:'Rankings'!C$1149,MATCH(SMALL(Rankings!H$2:'Rankings'!H$1000,ROW()),Rankings!H$2:'Rankings'!H$1000,0))</f>
        <v>Rabah Sbitani</v>
      </c>
      <c r="D673" t="str">
        <f>INDEX(Rankings!C$2:'Rankings'!C$1149,MATCH(SMALL(Rankings!H$2:'Rankings'!H$1000,ROW()),Rankings!H$2:'Rankings'!H$1000,0))</f>
        <v>Rabah Sbitani</v>
      </c>
      <c r="G673" t="str">
        <f>INDEX(Rankings!C$2:'Rankings'!C$1149,MATCH(SMALL(Rankings!H$2:'Rankings'!H$1000,ROW()),Rankings!H$2:'Rankings'!H$1000,0))</f>
        <v>Rabah Sbitani</v>
      </c>
    </row>
    <row r="674" spans="2:7" hidden="1" outlineLevel="1" x14ac:dyDescent="0.25">
      <c r="B674" t="str">
        <f>INDEX(Rankings!C$2:'Rankings'!C$1149,MATCH(SMALL(Rankings!H$2:'Rankings'!H$1000,ROW()),Rankings!H$2:'Rankings'!H$1000,0))</f>
        <v>Radek Lenczewski</v>
      </c>
      <c r="C674" t="str">
        <f>INDEX(Rankings!C$2:'Rankings'!C$1149,MATCH(SMALL(Rankings!H$2:'Rankings'!H$1000,ROW()),Rankings!H$2:'Rankings'!H$1000,0))</f>
        <v>Radek Lenczewski</v>
      </c>
      <c r="D674" t="str">
        <f>INDEX(Rankings!C$2:'Rankings'!C$1149,MATCH(SMALL(Rankings!H$2:'Rankings'!H$1000,ROW()),Rankings!H$2:'Rankings'!H$1000,0))</f>
        <v>Radek Lenczewski</v>
      </c>
      <c r="G674" t="str">
        <f>INDEX(Rankings!C$2:'Rankings'!C$1149,MATCH(SMALL(Rankings!H$2:'Rankings'!H$1000,ROW()),Rankings!H$2:'Rankings'!H$1000,0))</f>
        <v>Radek Lenczewski</v>
      </c>
    </row>
    <row r="675" spans="2:7" hidden="1" outlineLevel="1" x14ac:dyDescent="0.25">
      <c r="B675" t="str">
        <f>INDEX(Rankings!C$2:'Rankings'!C$1149,MATCH(SMALL(Rankings!H$2:'Rankings'!H$1000,ROW()),Rankings!H$2:'Rankings'!H$1000,0))</f>
        <v>Rafael von der Grün</v>
      </c>
      <c r="C675" t="str">
        <f>INDEX(Rankings!C$2:'Rankings'!C$1149,MATCH(SMALL(Rankings!H$2:'Rankings'!H$1000,ROW()),Rankings!H$2:'Rankings'!H$1000,0))</f>
        <v>Rafael von der Grün</v>
      </c>
      <c r="D675" t="str">
        <f>INDEX(Rankings!C$2:'Rankings'!C$1149,MATCH(SMALL(Rankings!H$2:'Rankings'!H$1000,ROW()),Rankings!H$2:'Rankings'!H$1000,0))</f>
        <v>Rafael von der Grün</v>
      </c>
      <c r="G675" t="str">
        <f>INDEX(Rankings!C$2:'Rankings'!C$1149,MATCH(SMALL(Rankings!H$2:'Rankings'!H$1000,ROW()),Rankings!H$2:'Rankings'!H$1000,0))</f>
        <v>Rafael von der Grün</v>
      </c>
    </row>
    <row r="676" spans="2:7" hidden="1" outlineLevel="1" x14ac:dyDescent="0.25">
      <c r="B676" t="str">
        <f>INDEX(Rankings!C$2:'Rankings'!C$1149,MATCH(SMALL(Rankings!H$2:'Rankings'!H$1000,ROW()),Rankings!H$2:'Rankings'!H$1000,0))</f>
        <v>Raffaele Pilla</v>
      </c>
      <c r="C676" t="str">
        <f>INDEX(Rankings!C$2:'Rankings'!C$1149,MATCH(SMALL(Rankings!H$2:'Rankings'!H$1000,ROW()),Rankings!H$2:'Rankings'!H$1000,0))</f>
        <v>Raffaele Pilla</v>
      </c>
      <c r="D676" t="str">
        <f>INDEX(Rankings!C$2:'Rankings'!C$1149,MATCH(SMALL(Rankings!H$2:'Rankings'!H$1000,ROW()),Rankings!H$2:'Rankings'!H$1000,0))</f>
        <v>Raffaele Pilla</v>
      </c>
      <c r="G676" t="str">
        <f>INDEX(Rankings!C$2:'Rankings'!C$1149,MATCH(SMALL(Rankings!H$2:'Rankings'!H$1000,ROW()),Rankings!H$2:'Rankings'!H$1000,0))</f>
        <v>Raffaele Pilla</v>
      </c>
    </row>
    <row r="677" spans="2:7" hidden="1" outlineLevel="1" x14ac:dyDescent="0.25">
      <c r="B677" t="str">
        <f>INDEX(Rankings!C$2:'Rankings'!C$1149,MATCH(SMALL(Rankings!H$2:'Rankings'!H$1000,ROW()),Rankings!H$2:'Rankings'!H$1000,0))</f>
        <v>Rainer Doerr</v>
      </c>
      <c r="C677" t="str">
        <f>INDEX(Rankings!C$2:'Rankings'!C$1149,MATCH(SMALL(Rankings!H$2:'Rankings'!H$1000,ROW()),Rankings!H$2:'Rankings'!H$1000,0))</f>
        <v>Rainer Doerr</v>
      </c>
      <c r="D677" t="str">
        <f>INDEX(Rankings!C$2:'Rankings'!C$1149,MATCH(SMALL(Rankings!H$2:'Rankings'!H$1000,ROW()),Rankings!H$2:'Rankings'!H$1000,0))</f>
        <v>Rainer Doerr</v>
      </c>
      <c r="G677" t="str">
        <f>INDEX(Rankings!C$2:'Rankings'!C$1149,MATCH(SMALL(Rankings!H$2:'Rankings'!H$1000,ROW()),Rankings!H$2:'Rankings'!H$1000,0))</f>
        <v>Rainer Doerr</v>
      </c>
    </row>
    <row r="678" spans="2:7" hidden="1" outlineLevel="1" x14ac:dyDescent="0.25">
      <c r="B678" t="str">
        <f>INDEX(Rankings!C$2:'Rankings'!C$1149,MATCH(SMALL(Rankings!H$2:'Rankings'!H$1000,ROW()),Rankings!H$2:'Rankings'!H$1000,0))</f>
        <v>Raj Mistry</v>
      </c>
      <c r="C678" t="str">
        <f>INDEX(Rankings!C$2:'Rankings'!C$1149,MATCH(SMALL(Rankings!H$2:'Rankings'!H$1000,ROW()),Rankings!H$2:'Rankings'!H$1000,0))</f>
        <v>Raj Mistry</v>
      </c>
      <c r="D678" t="str">
        <f>INDEX(Rankings!C$2:'Rankings'!C$1149,MATCH(SMALL(Rankings!H$2:'Rankings'!H$1000,ROW()),Rankings!H$2:'Rankings'!H$1000,0))</f>
        <v>Raj Mistry</v>
      </c>
      <c r="G678" t="str">
        <f>INDEX(Rankings!C$2:'Rankings'!C$1149,MATCH(SMALL(Rankings!H$2:'Rankings'!H$1000,ROW()),Rankings!H$2:'Rankings'!H$1000,0))</f>
        <v>Raj Mistry</v>
      </c>
    </row>
    <row r="679" spans="2:7" hidden="1" outlineLevel="1" x14ac:dyDescent="0.25">
      <c r="B679" t="str">
        <f>INDEX(Rankings!C$2:'Rankings'!C$1149,MATCH(SMALL(Rankings!H$2:'Rankings'!H$1000,ROW()),Rankings!H$2:'Rankings'!H$1000,0))</f>
        <v>Ramon Galliani</v>
      </c>
      <c r="C679" t="str">
        <f>INDEX(Rankings!C$2:'Rankings'!C$1149,MATCH(SMALL(Rankings!H$2:'Rankings'!H$1000,ROW()),Rankings!H$2:'Rankings'!H$1000,0))</f>
        <v>Ramon Galliani</v>
      </c>
      <c r="D679" t="str">
        <f>INDEX(Rankings!C$2:'Rankings'!C$1149,MATCH(SMALL(Rankings!H$2:'Rankings'!H$1000,ROW()),Rankings!H$2:'Rankings'!H$1000,0))</f>
        <v>Ramon Galliani</v>
      </c>
      <c r="G679" t="str">
        <f>INDEX(Rankings!C$2:'Rankings'!C$1149,MATCH(SMALL(Rankings!H$2:'Rankings'!H$1000,ROW()),Rankings!H$2:'Rankings'!H$1000,0))</f>
        <v>Ramon Galliani</v>
      </c>
    </row>
    <row r="680" spans="2:7" hidden="1" outlineLevel="1" x14ac:dyDescent="0.25">
      <c r="B680" t="str">
        <f>INDEX(Rankings!C$2:'Rankings'!C$1149,MATCH(SMALL(Rankings!H$2:'Rankings'!H$1000,ROW()),Rankings!H$2:'Rankings'!H$1000,0))</f>
        <v>Randy Aiu</v>
      </c>
      <c r="C680" t="str">
        <f>INDEX(Rankings!C$2:'Rankings'!C$1149,MATCH(SMALL(Rankings!H$2:'Rankings'!H$1000,ROW()),Rankings!H$2:'Rankings'!H$1000,0))</f>
        <v>Randy Aiu</v>
      </c>
      <c r="D680" t="str">
        <f>INDEX(Rankings!C$2:'Rankings'!C$1149,MATCH(SMALL(Rankings!H$2:'Rankings'!H$1000,ROW()),Rankings!H$2:'Rankings'!H$1000,0))</f>
        <v>Randy Aiu</v>
      </c>
      <c r="G680" t="str">
        <f>INDEX(Rankings!C$2:'Rankings'!C$1149,MATCH(SMALL(Rankings!H$2:'Rankings'!H$1000,ROW()),Rankings!H$2:'Rankings'!H$1000,0))</f>
        <v>Randy Aiu</v>
      </c>
    </row>
    <row r="681" spans="2:7" hidden="1" outlineLevel="1" x14ac:dyDescent="0.25">
      <c r="B681" t="str">
        <f>INDEX(Rankings!C$2:'Rankings'!C$1149,MATCH(SMALL(Rankings!H$2:'Rankings'!H$1000,ROW()),Rankings!H$2:'Rankings'!H$1000,0))</f>
        <v>Randy Lahm</v>
      </c>
      <c r="C681" t="str">
        <f>INDEX(Rankings!C$2:'Rankings'!C$1149,MATCH(SMALL(Rankings!H$2:'Rankings'!H$1000,ROW()),Rankings!H$2:'Rankings'!H$1000,0))</f>
        <v>Randy Lahm</v>
      </c>
      <c r="D681" t="str">
        <f>INDEX(Rankings!C$2:'Rankings'!C$1149,MATCH(SMALL(Rankings!H$2:'Rankings'!H$1000,ROW()),Rankings!H$2:'Rankings'!H$1000,0))</f>
        <v>Randy Lahm</v>
      </c>
      <c r="G681" t="str">
        <f>INDEX(Rankings!C$2:'Rankings'!C$1149,MATCH(SMALL(Rankings!H$2:'Rankings'!H$1000,ROW()),Rankings!H$2:'Rankings'!H$1000,0))</f>
        <v>Randy Lahm</v>
      </c>
    </row>
    <row r="682" spans="2:7" hidden="1" outlineLevel="1" x14ac:dyDescent="0.25">
      <c r="B682" t="str">
        <f>INDEX(Rankings!C$2:'Rankings'!C$1149,MATCH(SMALL(Rankings!H$2:'Rankings'!H$1000,ROW()),Rankings!H$2:'Rankings'!H$1000,0))</f>
        <v>Randy Lahm jr.</v>
      </c>
      <c r="C682" t="str">
        <f>INDEX(Rankings!C$2:'Rankings'!C$1149,MATCH(SMALL(Rankings!H$2:'Rankings'!H$1000,ROW()),Rankings!H$2:'Rankings'!H$1000,0))</f>
        <v>Randy Lahm jr.</v>
      </c>
      <c r="D682" t="str">
        <f>INDEX(Rankings!C$2:'Rankings'!C$1149,MATCH(SMALL(Rankings!H$2:'Rankings'!H$1000,ROW()),Rankings!H$2:'Rankings'!H$1000,0))</f>
        <v>Randy Lahm jr.</v>
      </c>
      <c r="G682" t="str">
        <f>INDEX(Rankings!C$2:'Rankings'!C$1149,MATCH(SMALL(Rankings!H$2:'Rankings'!H$1000,ROW()),Rankings!H$2:'Rankings'!H$1000,0))</f>
        <v>Randy Lahm jr.</v>
      </c>
    </row>
    <row r="683" spans="2:7" hidden="1" outlineLevel="1" x14ac:dyDescent="0.25">
      <c r="B683" t="str">
        <f>INDEX(Rankings!C$2:'Rankings'!C$1149,MATCH(SMALL(Rankings!H$2:'Rankings'!H$1000,ROW()),Rankings!H$2:'Rankings'!H$1000,0))</f>
        <v>Randy Silvey</v>
      </c>
      <c r="C683" t="str">
        <f>INDEX(Rankings!C$2:'Rankings'!C$1149,MATCH(SMALL(Rankings!H$2:'Rankings'!H$1000,ROW()),Rankings!H$2:'Rankings'!H$1000,0))</f>
        <v>Randy Silvey</v>
      </c>
      <c r="D683" t="str">
        <f>INDEX(Rankings!C$2:'Rankings'!C$1149,MATCH(SMALL(Rankings!H$2:'Rankings'!H$1000,ROW()),Rankings!H$2:'Rankings'!H$1000,0))</f>
        <v>Randy Silvey</v>
      </c>
      <c r="G683" t="str">
        <f>INDEX(Rankings!C$2:'Rankings'!C$1149,MATCH(SMALL(Rankings!H$2:'Rankings'!H$1000,ROW()),Rankings!H$2:'Rankings'!H$1000,0))</f>
        <v>Randy Silvey</v>
      </c>
    </row>
    <row r="684" spans="2:7" hidden="1" outlineLevel="1" x14ac:dyDescent="0.25">
      <c r="B684" t="str">
        <f>INDEX(Rankings!C$2:'Rankings'!C$1149,MATCH(SMALL(Rankings!H$2:'Rankings'!H$1000,ROW()),Rankings!H$2:'Rankings'!H$1000,0))</f>
        <v>Mirko Vosen</v>
      </c>
      <c r="C684" t="str">
        <f>INDEX(Rankings!C$2:'Rankings'!C$1149,MATCH(SMALL(Rankings!H$2:'Rankings'!H$1000,ROW()),Rankings!H$2:'Rankings'!H$1000,0))</f>
        <v>Mirko Vosen</v>
      </c>
      <c r="D684" t="str">
        <f>INDEX(Rankings!C$2:'Rankings'!C$1149,MATCH(SMALL(Rankings!H$2:'Rankings'!H$1000,ROW()),Rankings!H$2:'Rankings'!H$1000,0))</f>
        <v>Mirko Vosen</v>
      </c>
      <c r="G684" t="str">
        <f>INDEX(Rankings!C$2:'Rankings'!C$1149,MATCH(SMALL(Rankings!H$2:'Rankings'!H$1000,ROW()),Rankings!H$2:'Rankings'!H$1000,0))</f>
        <v>Mirko Vosen</v>
      </c>
    </row>
    <row r="685" spans="2:7" hidden="1" outlineLevel="1" x14ac:dyDescent="0.25">
      <c r="B685" t="str">
        <f>INDEX(Rankings!C$2:'Rankings'!C$1149,MATCH(SMALL(Rankings!H$2:'Rankings'!H$1000,ROW()),Rankings!H$2:'Rankings'!H$1000,0))</f>
        <v>Raphael Legrand</v>
      </c>
      <c r="C685" t="str">
        <f>INDEX(Rankings!C$2:'Rankings'!C$1149,MATCH(SMALL(Rankings!H$2:'Rankings'!H$1000,ROW()),Rankings!H$2:'Rankings'!H$1000,0))</f>
        <v>Raphael Legrand</v>
      </c>
      <c r="D685" t="str">
        <f>INDEX(Rankings!C$2:'Rankings'!C$1149,MATCH(SMALL(Rankings!H$2:'Rankings'!H$1000,ROW()),Rankings!H$2:'Rankings'!H$1000,0))</f>
        <v>Raphael Legrand</v>
      </c>
      <c r="G685" t="str">
        <f>INDEX(Rankings!C$2:'Rankings'!C$1149,MATCH(SMALL(Rankings!H$2:'Rankings'!H$1000,ROW()),Rankings!H$2:'Rankings'!H$1000,0))</f>
        <v>Raphael Legrand</v>
      </c>
    </row>
    <row r="686" spans="2:7" hidden="1" outlineLevel="1" x14ac:dyDescent="0.25">
      <c r="B686" t="str">
        <f>INDEX(Rankings!C$2:'Rankings'!C$1149,MATCH(SMALL(Rankings!H$2:'Rankings'!H$1000,ROW()),Rankings!H$2:'Rankings'!H$1000,0))</f>
        <v>Regina Olnils</v>
      </c>
      <c r="C686" t="str">
        <f>INDEX(Rankings!C$2:'Rankings'!C$1149,MATCH(SMALL(Rankings!H$2:'Rankings'!H$1000,ROW()),Rankings!H$2:'Rankings'!H$1000,0))</f>
        <v>Regina Olnils</v>
      </c>
      <c r="D686" t="str">
        <f>INDEX(Rankings!C$2:'Rankings'!C$1149,MATCH(SMALL(Rankings!H$2:'Rankings'!H$1000,ROW()),Rankings!H$2:'Rankings'!H$1000,0))</f>
        <v>Regina Olnils</v>
      </c>
      <c r="G686" t="str">
        <f>INDEX(Rankings!C$2:'Rankings'!C$1149,MATCH(SMALL(Rankings!H$2:'Rankings'!H$1000,ROW()),Rankings!H$2:'Rankings'!H$1000,0))</f>
        <v>Regina Olnils</v>
      </c>
    </row>
    <row r="687" spans="2:7" hidden="1" outlineLevel="1" x14ac:dyDescent="0.25">
      <c r="B687" t="str">
        <f>INDEX(Rankings!C$2:'Rankings'!C$1149,MATCH(SMALL(Rankings!H$2:'Rankings'!H$1000,ROW()),Rankings!H$2:'Rankings'!H$1000,0))</f>
        <v>Renae Donaldson</v>
      </c>
      <c r="C687" t="str">
        <f>INDEX(Rankings!C$2:'Rankings'!C$1149,MATCH(SMALL(Rankings!H$2:'Rankings'!H$1000,ROW()),Rankings!H$2:'Rankings'!H$1000,0))</f>
        <v>Renae Donaldson</v>
      </c>
      <c r="D687" t="str">
        <f>INDEX(Rankings!C$2:'Rankings'!C$1149,MATCH(SMALL(Rankings!H$2:'Rankings'!H$1000,ROW()),Rankings!H$2:'Rankings'!H$1000,0))</f>
        <v>Renae Donaldson</v>
      </c>
      <c r="G687" t="str">
        <f>INDEX(Rankings!C$2:'Rankings'!C$1149,MATCH(SMALL(Rankings!H$2:'Rankings'!H$1000,ROW()),Rankings!H$2:'Rankings'!H$1000,0))</f>
        <v>Renae Donaldson</v>
      </c>
    </row>
    <row r="688" spans="2:7" hidden="1" outlineLevel="1" x14ac:dyDescent="0.25">
      <c r="B688" t="str">
        <f>INDEX(Rankings!C$2:'Rankings'!C$1149,MATCH(SMALL(Rankings!H$2:'Rankings'!H$1000,ROW()),Rankings!H$2:'Rankings'!H$1000,0))</f>
        <v>Renee Pardo</v>
      </c>
      <c r="C688" t="str">
        <f>INDEX(Rankings!C$2:'Rankings'!C$1149,MATCH(SMALL(Rankings!H$2:'Rankings'!H$1000,ROW()),Rankings!H$2:'Rankings'!H$1000,0))</f>
        <v>Renee Pardo</v>
      </c>
      <c r="D688" t="str">
        <f>INDEX(Rankings!C$2:'Rankings'!C$1149,MATCH(SMALL(Rankings!H$2:'Rankings'!H$1000,ROW()),Rankings!H$2:'Rankings'!H$1000,0))</f>
        <v>Renee Pardo</v>
      </c>
      <c r="G688" t="str">
        <f>INDEX(Rankings!C$2:'Rankings'!C$1149,MATCH(SMALL(Rankings!H$2:'Rankings'!H$1000,ROW()),Rankings!H$2:'Rankings'!H$1000,0))</f>
        <v>Renee Pardo</v>
      </c>
    </row>
    <row r="689" spans="2:7" hidden="1" outlineLevel="1" x14ac:dyDescent="0.25">
      <c r="B689" t="str">
        <f>INDEX(Rankings!C$2:'Rankings'!C$1149,MATCH(SMALL(Rankings!H$2:'Rankings'!H$1000,ROW()),Rankings!H$2:'Rankings'!H$1000,0))</f>
        <v>Reto Zimmerman</v>
      </c>
      <c r="C689" t="str">
        <f>INDEX(Rankings!C$2:'Rankings'!C$1149,MATCH(SMALL(Rankings!H$2:'Rankings'!H$1000,ROW()),Rankings!H$2:'Rankings'!H$1000,0))</f>
        <v>Reto Zimmerman</v>
      </c>
      <c r="D689" t="str">
        <f>INDEX(Rankings!C$2:'Rankings'!C$1149,MATCH(SMALL(Rankings!H$2:'Rankings'!H$1000,ROW()),Rankings!H$2:'Rankings'!H$1000,0))</f>
        <v>Reto Zimmerman</v>
      </c>
      <c r="G689" t="str">
        <f>INDEX(Rankings!C$2:'Rankings'!C$1149,MATCH(SMALL(Rankings!H$2:'Rankings'!H$1000,ROW()),Rankings!H$2:'Rankings'!H$1000,0))</f>
        <v>Reto Zimmerman</v>
      </c>
    </row>
    <row r="690" spans="2:7" hidden="1" outlineLevel="1" x14ac:dyDescent="0.25">
      <c r="B690" t="str">
        <f>INDEX(Rankings!C$2:'Rankings'!C$1149,MATCH(SMALL(Rankings!H$2:'Rankings'!H$1000,ROW()),Rankings!H$2:'Rankings'!H$1000,0))</f>
        <v>Ricardo Guzman</v>
      </c>
      <c r="C690" t="str">
        <f>INDEX(Rankings!C$2:'Rankings'!C$1149,MATCH(SMALL(Rankings!H$2:'Rankings'!H$1000,ROW()),Rankings!H$2:'Rankings'!H$1000,0))</f>
        <v>Ricardo Guzman</v>
      </c>
      <c r="D690" t="str">
        <f>INDEX(Rankings!C$2:'Rankings'!C$1149,MATCH(SMALL(Rankings!H$2:'Rankings'!H$1000,ROW()),Rankings!H$2:'Rankings'!H$1000,0))</f>
        <v>Ricardo Guzman</v>
      </c>
      <c r="G690" t="str">
        <f>INDEX(Rankings!C$2:'Rankings'!C$1149,MATCH(SMALL(Rankings!H$2:'Rankings'!H$1000,ROW()),Rankings!H$2:'Rankings'!H$1000,0))</f>
        <v>Ricardo Guzman</v>
      </c>
    </row>
    <row r="691" spans="2:7" hidden="1" outlineLevel="1" x14ac:dyDescent="0.25">
      <c r="B691" t="str">
        <f>INDEX(Rankings!C$2:'Rankings'!C$1149,MATCH(SMALL(Rankings!H$2:'Rankings'!H$1000,ROW()),Rankings!H$2:'Rankings'!H$1000,0))</f>
        <v>Ricardo Macari</v>
      </c>
      <c r="C691" t="str">
        <f>INDEX(Rankings!C$2:'Rankings'!C$1149,MATCH(SMALL(Rankings!H$2:'Rankings'!H$1000,ROW()),Rankings!H$2:'Rankings'!H$1000,0))</f>
        <v>Ricardo Macari</v>
      </c>
      <c r="D691" t="str">
        <f>INDEX(Rankings!C$2:'Rankings'!C$1149,MATCH(SMALL(Rankings!H$2:'Rankings'!H$1000,ROW()),Rankings!H$2:'Rankings'!H$1000,0))</f>
        <v>Ricardo Macari</v>
      </c>
      <c r="G691" t="str">
        <f>INDEX(Rankings!C$2:'Rankings'!C$1149,MATCH(SMALL(Rankings!H$2:'Rankings'!H$1000,ROW()),Rankings!H$2:'Rankings'!H$1000,0))</f>
        <v>Ricardo Macari</v>
      </c>
    </row>
    <row r="692" spans="2:7" hidden="1" outlineLevel="1" x14ac:dyDescent="0.25">
      <c r="B692" t="str">
        <f>INDEX(Rankings!C$2:'Rankings'!C$1149,MATCH(SMALL(Rankings!H$2:'Rankings'!H$1000,ROW()),Rankings!H$2:'Rankings'!H$1000,0))</f>
        <v>Riccardo Bovicelli</v>
      </c>
      <c r="C692" t="str">
        <f>INDEX(Rankings!C$2:'Rankings'!C$1149,MATCH(SMALL(Rankings!H$2:'Rankings'!H$1000,ROW()),Rankings!H$2:'Rankings'!H$1000,0))</f>
        <v>Riccardo Bovicelli</v>
      </c>
      <c r="D692" t="str">
        <f>INDEX(Rankings!C$2:'Rankings'!C$1149,MATCH(SMALL(Rankings!H$2:'Rankings'!H$1000,ROW()),Rankings!H$2:'Rankings'!H$1000,0))</f>
        <v>Riccardo Bovicelli</v>
      </c>
      <c r="G692" t="str">
        <f>INDEX(Rankings!C$2:'Rankings'!C$1149,MATCH(SMALL(Rankings!H$2:'Rankings'!H$1000,ROW()),Rankings!H$2:'Rankings'!H$1000,0))</f>
        <v>Riccardo Bovicelli</v>
      </c>
    </row>
    <row r="693" spans="2:7" hidden="1" outlineLevel="1" x14ac:dyDescent="0.25">
      <c r="B693" t="str">
        <f>INDEX(Rankings!C$2:'Rankings'!C$1149,MATCH(SMALL(Rankings!H$2:'Rankings'!H$1000,ROW()),Rankings!H$2:'Rankings'!H$1000,0))</f>
        <v>Riccardo Morelli</v>
      </c>
      <c r="C693" t="str">
        <f>INDEX(Rankings!C$2:'Rankings'!C$1149,MATCH(SMALL(Rankings!H$2:'Rankings'!H$1000,ROW()),Rankings!H$2:'Rankings'!H$1000,0))</f>
        <v>Riccardo Morelli</v>
      </c>
      <c r="D693" t="str">
        <f>INDEX(Rankings!C$2:'Rankings'!C$1149,MATCH(SMALL(Rankings!H$2:'Rankings'!H$1000,ROW()),Rankings!H$2:'Rankings'!H$1000,0))</f>
        <v>Riccardo Morelli</v>
      </c>
      <c r="G693" t="str">
        <f>INDEX(Rankings!C$2:'Rankings'!C$1149,MATCH(SMALL(Rankings!H$2:'Rankings'!H$1000,ROW()),Rankings!H$2:'Rankings'!H$1000,0))</f>
        <v>Riccardo Morelli</v>
      </c>
    </row>
    <row r="694" spans="2:7" hidden="1" outlineLevel="1" x14ac:dyDescent="0.25">
      <c r="B694" t="str">
        <f>INDEX(Rankings!C$2:'Rankings'!C$1149,MATCH(SMALL(Rankings!H$2:'Rankings'!H$1000,ROW()),Rankings!H$2:'Rankings'!H$1000,0))</f>
        <v>Riccardo Sanna</v>
      </c>
      <c r="C694" t="str">
        <f>INDEX(Rankings!C$2:'Rankings'!C$1149,MATCH(SMALL(Rankings!H$2:'Rankings'!H$1000,ROW()),Rankings!H$2:'Rankings'!H$1000,0))</f>
        <v>Riccardo Sanna</v>
      </c>
      <c r="D694" t="str">
        <f>INDEX(Rankings!C$2:'Rankings'!C$1149,MATCH(SMALL(Rankings!H$2:'Rankings'!H$1000,ROW()),Rankings!H$2:'Rankings'!H$1000,0))</f>
        <v>Riccardo Sanna</v>
      </c>
      <c r="G694" t="str">
        <f>INDEX(Rankings!C$2:'Rankings'!C$1149,MATCH(SMALL(Rankings!H$2:'Rankings'!H$1000,ROW()),Rankings!H$2:'Rankings'!H$1000,0))</f>
        <v>Riccardo Sanna</v>
      </c>
    </row>
    <row r="695" spans="2:7" hidden="1" outlineLevel="1" x14ac:dyDescent="0.25">
      <c r="B695" t="str">
        <f>INDEX(Rankings!C$2:'Rankings'!C$1149,MATCH(SMALL(Rankings!H$2:'Rankings'!H$1000,ROW()),Rankings!H$2:'Rankings'!H$1000,0))</f>
        <v>Rick Lebeau</v>
      </c>
      <c r="C695" t="str">
        <f>INDEX(Rankings!C$2:'Rankings'!C$1149,MATCH(SMALL(Rankings!H$2:'Rankings'!H$1000,ROW()),Rankings!H$2:'Rankings'!H$1000,0))</f>
        <v>Rick Lebeau</v>
      </c>
      <c r="D695" t="str">
        <f>INDEX(Rankings!C$2:'Rankings'!C$1149,MATCH(SMALL(Rankings!H$2:'Rankings'!H$1000,ROW()),Rankings!H$2:'Rankings'!H$1000,0))</f>
        <v>Rick Lebeau</v>
      </c>
      <c r="G695" t="str">
        <f>INDEX(Rankings!C$2:'Rankings'!C$1149,MATCH(SMALL(Rankings!H$2:'Rankings'!H$1000,ROW()),Rankings!H$2:'Rankings'!H$1000,0))</f>
        <v>Rick Lebeau</v>
      </c>
    </row>
    <row r="696" spans="2:7" hidden="1" outlineLevel="1" x14ac:dyDescent="0.25">
      <c r="B696" t="str">
        <f>INDEX(Rankings!C$2:'Rankings'!C$1149,MATCH(SMALL(Rankings!H$2:'Rankings'!H$1000,ROW()),Rankings!H$2:'Rankings'!H$1000,0))</f>
        <v>Rick Moody</v>
      </c>
      <c r="C696" t="str">
        <f>INDEX(Rankings!C$2:'Rankings'!C$1149,MATCH(SMALL(Rankings!H$2:'Rankings'!H$1000,ROW()),Rankings!H$2:'Rankings'!H$1000,0))</f>
        <v>Rick Moody</v>
      </c>
      <c r="D696" t="str">
        <f>INDEX(Rankings!C$2:'Rankings'!C$1149,MATCH(SMALL(Rankings!H$2:'Rankings'!H$1000,ROW()),Rankings!H$2:'Rankings'!H$1000,0))</f>
        <v>Rick Moody</v>
      </c>
      <c r="G696" t="str">
        <f>INDEX(Rankings!C$2:'Rankings'!C$1149,MATCH(SMALL(Rankings!H$2:'Rankings'!H$1000,ROW()),Rankings!H$2:'Rankings'!H$1000,0))</f>
        <v>Rick Moody</v>
      </c>
    </row>
    <row r="697" spans="2:7" hidden="1" outlineLevel="1" x14ac:dyDescent="0.25">
      <c r="B697" t="str">
        <f>INDEX(Rankings!C$2:'Rankings'!C$1149,MATCH(SMALL(Rankings!H$2:'Rankings'!H$1000,ROW()),Rankings!H$2:'Rankings'!H$1000,0))</f>
        <v>Rick Sader</v>
      </c>
      <c r="C697" t="str">
        <f>INDEX(Rankings!C$2:'Rankings'!C$1149,MATCH(SMALL(Rankings!H$2:'Rankings'!H$1000,ROW()),Rankings!H$2:'Rankings'!H$1000,0))</f>
        <v>Rick Sader</v>
      </c>
      <c r="D697" t="str">
        <f>INDEX(Rankings!C$2:'Rankings'!C$1149,MATCH(SMALL(Rankings!H$2:'Rankings'!H$1000,ROW()),Rankings!H$2:'Rankings'!H$1000,0))</f>
        <v>Rick Sader</v>
      </c>
      <c r="G697" t="str">
        <f>INDEX(Rankings!C$2:'Rankings'!C$1149,MATCH(SMALL(Rankings!H$2:'Rankings'!H$1000,ROW()),Rankings!H$2:'Rankings'!H$1000,0))</f>
        <v>Rick Sader</v>
      </c>
    </row>
    <row r="698" spans="2:7" hidden="1" outlineLevel="1" x14ac:dyDescent="0.25">
      <c r="B698" t="str">
        <f>INDEX(Rankings!C$2:'Rankings'!C$1149,MATCH(SMALL(Rankings!H$2:'Rankings'!H$1000,ROW()),Rankings!H$2:'Rankings'!H$1000,0))</f>
        <v>Rick Williams</v>
      </c>
      <c r="C698" t="str">
        <f>INDEX(Rankings!C$2:'Rankings'!C$1149,MATCH(SMALL(Rankings!H$2:'Rankings'!H$1000,ROW()),Rankings!H$2:'Rankings'!H$1000,0))</f>
        <v>Rick Williams</v>
      </c>
      <c r="D698" t="str">
        <f>INDEX(Rankings!C$2:'Rankings'!C$1149,MATCH(SMALL(Rankings!H$2:'Rankings'!H$1000,ROW()),Rankings!H$2:'Rankings'!H$1000,0))</f>
        <v>Rick Williams</v>
      </c>
      <c r="G698" t="str">
        <f>INDEX(Rankings!C$2:'Rankings'!C$1149,MATCH(SMALL(Rankings!H$2:'Rankings'!H$1000,ROW()),Rankings!H$2:'Rankings'!H$1000,0))</f>
        <v>Rick Williams</v>
      </c>
    </row>
    <row r="699" spans="2:7" hidden="1" outlineLevel="1" x14ac:dyDescent="0.25">
      <c r="B699" t="str">
        <f>INDEX(Rankings!C$2:'Rankings'!C$1149,MATCH(SMALL(Rankings!H$2:'Rankings'!H$1000,ROW()),Rankings!H$2:'Rankings'!H$1000,0))</f>
        <v>Rico Schneider</v>
      </c>
      <c r="C699" t="str">
        <f>INDEX(Rankings!C$2:'Rankings'!C$1149,MATCH(SMALL(Rankings!H$2:'Rankings'!H$1000,ROW()),Rankings!H$2:'Rankings'!H$1000,0))</f>
        <v>Rico Schneider</v>
      </c>
      <c r="D699" t="str">
        <f>INDEX(Rankings!C$2:'Rankings'!C$1149,MATCH(SMALL(Rankings!H$2:'Rankings'!H$1000,ROW()),Rankings!H$2:'Rankings'!H$1000,0))</f>
        <v>Rico Schneider</v>
      </c>
      <c r="G699" t="str">
        <f>INDEX(Rankings!C$2:'Rankings'!C$1149,MATCH(SMALL(Rankings!H$2:'Rankings'!H$1000,ROW()),Rankings!H$2:'Rankings'!H$1000,0))</f>
        <v>Rico Schneider</v>
      </c>
    </row>
    <row r="700" spans="2:7" hidden="1" outlineLevel="1" x14ac:dyDescent="0.25">
      <c r="B700" t="str">
        <f>INDEX(Rankings!C$2:'Rankings'!C$1149,MATCH(SMALL(Rankings!H$2:'Rankings'!H$1000,ROW()),Rankings!H$2:'Rankings'!H$1000,0))</f>
        <v>Rik Downs</v>
      </c>
      <c r="C700" t="str">
        <f>INDEX(Rankings!C$2:'Rankings'!C$1149,MATCH(SMALL(Rankings!H$2:'Rankings'!H$1000,ROW()),Rankings!H$2:'Rankings'!H$1000,0))</f>
        <v>Rik Downs</v>
      </c>
      <c r="D700" t="str">
        <f>INDEX(Rankings!C$2:'Rankings'!C$1149,MATCH(SMALL(Rankings!H$2:'Rankings'!H$1000,ROW()),Rankings!H$2:'Rankings'!H$1000,0))</f>
        <v>Rik Downs</v>
      </c>
      <c r="G700" t="str">
        <f>INDEX(Rankings!C$2:'Rankings'!C$1149,MATCH(SMALL(Rankings!H$2:'Rankings'!H$1000,ROW()),Rankings!H$2:'Rankings'!H$1000,0))</f>
        <v>Rik Downs</v>
      </c>
    </row>
    <row r="701" spans="2:7" hidden="1" outlineLevel="1" x14ac:dyDescent="0.25">
      <c r="B701" t="str">
        <f>INDEX(Rankings!C$2:'Rankings'!C$1149,MATCH(SMALL(Rankings!H$2:'Rankings'!H$1000,ROW()),Rankings!H$2:'Rankings'!H$1000,0))</f>
        <v>Rob Bochenek</v>
      </c>
      <c r="C701" t="str">
        <f>INDEX(Rankings!C$2:'Rankings'!C$1149,MATCH(SMALL(Rankings!H$2:'Rankings'!H$1000,ROW()),Rankings!H$2:'Rankings'!H$1000,0))</f>
        <v>Rob Bochenek</v>
      </c>
      <c r="D701" t="str">
        <f>INDEX(Rankings!C$2:'Rankings'!C$1149,MATCH(SMALL(Rankings!H$2:'Rankings'!H$1000,ROW()),Rankings!H$2:'Rankings'!H$1000,0))</f>
        <v>Rob Bochenek</v>
      </c>
      <c r="G701" t="str">
        <f>INDEX(Rankings!C$2:'Rankings'!C$1149,MATCH(SMALL(Rankings!H$2:'Rankings'!H$1000,ROW()),Rankings!H$2:'Rankings'!H$1000,0))</f>
        <v>Rob Bochenek</v>
      </c>
    </row>
    <row r="702" spans="2:7" hidden="1" outlineLevel="1" x14ac:dyDescent="0.25">
      <c r="B702" t="str">
        <f>INDEX(Rankings!C$2:'Rankings'!C$1149,MATCH(SMALL(Rankings!H$2:'Rankings'!H$1000,ROW()),Rankings!H$2:'Rankings'!H$1000,0))</f>
        <v>Rob Fried</v>
      </c>
      <c r="C702" t="str">
        <f>INDEX(Rankings!C$2:'Rankings'!C$1149,MATCH(SMALL(Rankings!H$2:'Rankings'!H$1000,ROW()),Rankings!H$2:'Rankings'!H$1000,0))</f>
        <v>Rob Fried</v>
      </c>
      <c r="D702" t="str">
        <f>INDEX(Rankings!C$2:'Rankings'!C$1149,MATCH(SMALL(Rankings!H$2:'Rankings'!H$1000,ROW()),Rankings!H$2:'Rankings'!H$1000,0))</f>
        <v>Rob Fried</v>
      </c>
      <c r="G702" t="str">
        <f>INDEX(Rankings!C$2:'Rankings'!C$1149,MATCH(SMALL(Rankings!H$2:'Rankings'!H$1000,ROW()),Rankings!H$2:'Rankings'!H$1000,0))</f>
        <v>Rob Fried</v>
      </c>
    </row>
    <row r="703" spans="2:7" hidden="1" outlineLevel="1" x14ac:dyDescent="0.25">
      <c r="B703" t="str">
        <f>INDEX(Rankings!C$2:'Rankings'!C$1149,MATCH(SMALL(Rankings!H$2:'Rankings'!H$1000,ROW()),Rankings!H$2:'Rankings'!H$1000,0))</f>
        <v>Rob Knapik</v>
      </c>
      <c r="C703" t="str">
        <f>INDEX(Rankings!C$2:'Rankings'!C$1149,MATCH(SMALL(Rankings!H$2:'Rankings'!H$1000,ROW()),Rankings!H$2:'Rankings'!H$1000,0))</f>
        <v>Rob Knapik</v>
      </c>
      <c r="D703" t="str">
        <f>INDEX(Rankings!C$2:'Rankings'!C$1149,MATCH(SMALL(Rankings!H$2:'Rankings'!H$1000,ROW()),Rankings!H$2:'Rankings'!H$1000,0))</f>
        <v>Rob Knapik</v>
      </c>
      <c r="G703" t="str">
        <f>INDEX(Rankings!C$2:'Rankings'!C$1149,MATCH(SMALL(Rankings!H$2:'Rankings'!H$1000,ROW()),Rankings!H$2:'Rankings'!H$1000,0))</f>
        <v>Rob Knapik</v>
      </c>
    </row>
    <row r="704" spans="2:7" hidden="1" outlineLevel="1" x14ac:dyDescent="0.25">
      <c r="B704" t="str">
        <f>INDEX(Rankings!C$2:'Rankings'!C$1149,MATCH(SMALL(Rankings!H$2:'Rankings'!H$1000,ROW()),Rankings!H$2:'Rankings'!H$1000,0))</f>
        <v>Robbin Flößen</v>
      </c>
      <c r="C704" t="str">
        <f>INDEX(Rankings!C$2:'Rankings'!C$1149,MATCH(SMALL(Rankings!H$2:'Rankings'!H$1000,ROW()),Rankings!H$2:'Rankings'!H$1000,0))</f>
        <v>Robbin Flößen</v>
      </c>
      <c r="D704" t="str">
        <f>INDEX(Rankings!C$2:'Rankings'!C$1149,MATCH(SMALL(Rankings!H$2:'Rankings'!H$1000,ROW()),Rankings!H$2:'Rankings'!H$1000,0))</f>
        <v>Robbin Flößen</v>
      </c>
      <c r="G704" t="str">
        <f>INDEX(Rankings!C$2:'Rankings'!C$1149,MATCH(SMALL(Rankings!H$2:'Rankings'!H$1000,ROW()),Rankings!H$2:'Rankings'!H$1000,0))</f>
        <v>Robbin Flößen</v>
      </c>
    </row>
    <row r="705" spans="2:7" hidden="1" outlineLevel="1" x14ac:dyDescent="0.25">
      <c r="B705" t="str">
        <f>INDEX(Rankings!C$2:'Rankings'!C$1149,MATCH(SMALL(Rankings!H$2:'Rankings'!H$1000,ROW()),Rankings!H$2:'Rankings'!H$1000,0))</f>
        <v>Robert Bross</v>
      </c>
      <c r="C705" t="str">
        <f>INDEX(Rankings!C$2:'Rankings'!C$1149,MATCH(SMALL(Rankings!H$2:'Rankings'!H$1000,ROW()),Rankings!H$2:'Rankings'!H$1000,0))</f>
        <v>Robert Bross</v>
      </c>
      <c r="D705" t="str">
        <f>INDEX(Rankings!C$2:'Rankings'!C$1149,MATCH(SMALL(Rankings!H$2:'Rankings'!H$1000,ROW()),Rankings!H$2:'Rankings'!H$1000,0))</f>
        <v>Robert Bross</v>
      </c>
      <c r="G705" t="str">
        <f>INDEX(Rankings!C$2:'Rankings'!C$1149,MATCH(SMALL(Rankings!H$2:'Rankings'!H$1000,ROW()),Rankings!H$2:'Rankings'!H$1000,0))</f>
        <v>Robert Bross</v>
      </c>
    </row>
    <row r="706" spans="2:7" hidden="1" outlineLevel="1" x14ac:dyDescent="0.25">
      <c r="B706" t="str">
        <f>INDEX(Rankings!C$2:'Rankings'!C$1149,MATCH(SMALL(Rankings!H$2:'Rankings'!H$1000,ROW()),Rankings!H$2:'Rankings'!H$1000,0))</f>
        <v>Robert Dittrich</v>
      </c>
      <c r="C706" t="str">
        <f>INDEX(Rankings!C$2:'Rankings'!C$1149,MATCH(SMALL(Rankings!H$2:'Rankings'!H$1000,ROW()),Rankings!H$2:'Rankings'!H$1000,0))</f>
        <v>Robert Dittrich</v>
      </c>
      <c r="D706" t="str">
        <f>INDEX(Rankings!C$2:'Rankings'!C$1149,MATCH(SMALL(Rankings!H$2:'Rankings'!H$1000,ROW()),Rankings!H$2:'Rankings'!H$1000,0))</f>
        <v>Robert Dittrich</v>
      </c>
      <c r="G706" t="str">
        <f>INDEX(Rankings!C$2:'Rankings'!C$1149,MATCH(SMALL(Rankings!H$2:'Rankings'!H$1000,ROW()),Rankings!H$2:'Rankings'!H$1000,0))</f>
        <v>Robert Dittrich</v>
      </c>
    </row>
    <row r="707" spans="2:7" hidden="1" outlineLevel="1" x14ac:dyDescent="0.25">
      <c r="B707" t="str">
        <f>INDEX(Rankings!C$2:'Rankings'!C$1149,MATCH(SMALL(Rankings!H$2:'Rankings'!H$1000,ROW()),Rankings!H$2:'Rankings'!H$1000,0))</f>
        <v>Robert McLeod</v>
      </c>
      <c r="C707" t="str">
        <f>INDEX(Rankings!C$2:'Rankings'!C$1149,MATCH(SMALL(Rankings!H$2:'Rankings'!H$1000,ROW()),Rankings!H$2:'Rankings'!H$1000,0))</f>
        <v>Robert McLeod</v>
      </c>
      <c r="D707" t="str">
        <f>INDEX(Rankings!C$2:'Rankings'!C$1149,MATCH(SMALL(Rankings!H$2:'Rankings'!H$1000,ROW()),Rankings!H$2:'Rankings'!H$1000,0))</f>
        <v>Robert McLeod</v>
      </c>
      <c r="G707" t="str">
        <f>INDEX(Rankings!C$2:'Rankings'!C$1149,MATCH(SMALL(Rankings!H$2:'Rankings'!H$1000,ROW()),Rankings!H$2:'Rankings'!H$1000,0))</f>
        <v>Robert McLeod</v>
      </c>
    </row>
    <row r="708" spans="2:7" hidden="1" outlineLevel="1" x14ac:dyDescent="0.25">
      <c r="B708" t="str">
        <f>INDEX(Rankings!C$2:'Rankings'!C$1149,MATCH(SMALL(Rankings!H$2:'Rankings'!H$1000,ROW()),Rankings!H$2:'Rankings'!H$1000,0))</f>
        <v>Roberto Borghesi</v>
      </c>
      <c r="C708" t="str">
        <f>INDEX(Rankings!C$2:'Rankings'!C$1149,MATCH(SMALL(Rankings!H$2:'Rankings'!H$1000,ROW()),Rankings!H$2:'Rankings'!H$1000,0))</f>
        <v>Roberto Borghesi</v>
      </c>
      <c r="D708" t="str">
        <f>INDEX(Rankings!C$2:'Rankings'!C$1149,MATCH(SMALL(Rankings!H$2:'Rankings'!H$1000,ROW()),Rankings!H$2:'Rankings'!H$1000,0))</f>
        <v>Roberto Borghesi</v>
      </c>
      <c r="G708" t="str">
        <f>INDEX(Rankings!C$2:'Rankings'!C$1149,MATCH(SMALL(Rankings!H$2:'Rankings'!H$1000,ROW()),Rankings!H$2:'Rankings'!H$1000,0))</f>
        <v>Roberto Borghesi</v>
      </c>
    </row>
    <row r="709" spans="2:7" hidden="1" outlineLevel="1" x14ac:dyDescent="0.25">
      <c r="B709" t="str">
        <f>INDEX(Rankings!C$2:'Rankings'!C$1149,MATCH(SMALL(Rankings!H$2:'Rankings'!H$1000,ROW()),Rankings!H$2:'Rankings'!H$1000,0))</f>
        <v>Roberto Pizzi</v>
      </c>
      <c r="C709" t="str">
        <f>INDEX(Rankings!C$2:'Rankings'!C$1149,MATCH(SMALL(Rankings!H$2:'Rankings'!H$1000,ROW()),Rankings!H$2:'Rankings'!H$1000,0))</f>
        <v>Roberto Pizzi</v>
      </c>
      <c r="D709" t="str">
        <f>INDEX(Rankings!C$2:'Rankings'!C$1149,MATCH(SMALL(Rankings!H$2:'Rankings'!H$1000,ROW()),Rankings!H$2:'Rankings'!H$1000,0))</f>
        <v>Roberto Pizzi</v>
      </c>
      <c r="G709" t="str">
        <f>INDEX(Rankings!C$2:'Rankings'!C$1149,MATCH(SMALL(Rankings!H$2:'Rankings'!H$1000,ROW()),Rankings!H$2:'Rankings'!H$1000,0))</f>
        <v>Roberto Pizzi</v>
      </c>
    </row>
    <row r="710" spans="2:7" hidden="1" outlineLevel="1" x14ac:dyDescent="0.25">
      <c r="B710" t="str">
        <f>INDEX(Rankings!C$2:'Rankings'!C$1149,MATCH(SMALL(Rankings!H$2:'Rankings'!H$1000,ROW()),Rankings!H$2:'Rankings'!H$1000,0))</f>
        <v>Roberto Suffanti</v>
      </c>
      <c r="C710" t="str">
        <f>INDEX(Rankings!C$2:'Rankings'!C$1149,MATCH(SMALL(Rankings!H$2:'Rankings'!H$1000,ROW()),Rankings!H$2:'Rankings'!H$1000,0))</f>
        <v>Roberto Suffanti</v>
      </c>
      <c r="D710" t="str">
        <f>INDEX(Rankings!C$2:'Rankings'!C$1149,MATCH(SMALL(Rankings!H$2:'Rankings'!H$1000,ROW()),Rankings!H$2:'Rankings'!H$1000,0))</f>
        <v>Roberto Suffanti</v>
      </c>
      <c r="G710" t="str">
        <f>INDEX(Rankings!C$2:'Rankings'!C$1149,MATCH(SMALL(Rankings!H$2:'Rankings'!H$1000,ROW()),Rankings!H$2:'Rankings'!H$1000,0))</f>
        <v>Roberto Suffanti</v>
      </c>
    </row>
    <row r="711" spans="2:7" hidden="1" outlineLevel="1" x14ac:dyDescent="0.25">
      <c r="B711" t="str">
        <f>INDEX(Rankings!C$2:'Rankings'!C$1149,MATCH(SMALL(Rankings!H$2:'Rankings'!H$1000,ROW()),Rankings!H$2:'Rankings'!H$1000,0))</f>
        <v>Rodney Sanchez</v>
      </c>
      <c r="C711" t="str">
        <f>INDEX(Rankings!C$2:'Rankings'!C$1149,MATCH(SMALL(Rankings!H$2:'Rankings'!H$1000,ROW()),Rankings!H$2:'Rankings'!H$1000,0))</f>
        <v>Rodney Sanchez</v>
      </c>
      <c r="D711" t="str">
        <f>INDEX(Rankings!C$2:'Rankings'!C$1149,MATCH(SMALL(Rankings!H$2:'Rankings'!H$1000,ROW()),Rankings!H$2:'Rankings'!H$1000,0))</f>
        <v>Rodney Sanchez</v>
      </c>
      <c r="G711" t="str">
        <f>INDEX(Rankings!C$2:'Rankings'!C$1149,MATCH(SMALL(Rankings!H$2:'Rankings'!H$1000,ROW()),Rankings!H$2:'Rankings'!H$1000,0))</f>
        <v>Rodney Sanchez</v>
      </c>
    </row>
    <row r="712" spans="2:7" hidden="1" outlineLevel="1" x14ac:dyDescent="0.25">
      <c r="B712" t="str">
        <f>INDEX(Rankings!C$2:'Rankings'!C$1149,MATCH(SMALL(Rankings!H$2:'Rankings'!H$1000,ROW()),Rankings!H$2:'Rankings'!H$1000,0))</f>
        <v>Roger Cole</v>
      </c>
      <c r="C712" t="str">
        <f>INDEX(Rankings!C$2:'Rankings'!C$1149,MATCH(SMALL(Rankings!H$2:'Rankings'!H$1000,ROW()),Rankings!H$2:'Rankings'!H$1000,0))</f>
        <v>Roger Cole</v>
      </c>
      <c r="D712" t="str">
        <f>INDEX(Rankings!C$2:'Rankings'!C$1149,MATCH(SMALL(Rankings!H$2:'Rankings'!H$1000,ROW()),Rankings!H$2:'Rankings'!H$1000,0))</f>
        <v>Roger Cole</v>
      </c>
      <c r="G712" t="str">
        <f>INDEX(Rankings!C$2:'Rankings'!C$1149,MATCH(SMALL(Rankings!H$2:'Rankings'!H$1000,ROW()),Rankings!H$2:'Rankings'!H$1000,0))</f>
        <v>Roger Cole</v>
      </c>
    </row>
    <row r="713" spans="2:7" hidden="1" outlineLevel="1" x14ac:dyDescent="0.25">
      <c r="B713" t="str">
        <f>INDEX(Rankings!C$2:'Rankings'!C$1149,MATCH(SMALL(Rankings!H$2:'Rankings'!H$1000,ROW()),Rankings!H$2:'Rankings'!H$1000,0))</f>
        <v>Roger Meier</v>
      </c>
      <c r="C713" t="str">
        <f>INDEX(Rankings!C$2:'Rankings'!C$1149,MATCH(SMALL(Rankings!H$2:'Rankings'!H$1000,ROW()),Rankings!H$2:'Rankings'!H$1000,0))</f>
        <v>Roger Meier</v>
      </c>
      <c r="D713" t="str">
        <f>INDEX(Rankings!C$2:'Rankings'!C$1149,MATCH(SMALL(Rankings!H$2:'Rankings'!H$1000,ROW()),Rankings!H$2:'Rankings'!H$1000,0))</f>
        <v>Roger Meier</v>
      </c>
      <c r="G713" t="str">
        <f>INDEX(Rankings!C$2:'Rankings'!C$1149,MATCH(SMALL(Rankings!H$2:'Rankings'!H$1000,ROW()),Rankings!H$2:'Rankings'!H$1000,0))</f>
        <v>Roger Meier</v>
      </c>
    </row>
    <row r="714" spans="2:7" hidden="1" outlineLevel="1" x14ac:dyDescent="0.25">
      <c r="B714" t="str">
        <f>INDEX(Rankings!C$2:'Rankings'!C$1149,MATCH(SMALL(Rankings!H$2:'Rankings'!H$1000,ROW()),Rankings!H$2:'Rankings'!H$1000,0))</f>
        <v>Rohre Titcomb</v>
      </c>
      <c r="C714" t="str">
        <f>INDEX(Rankings!C$2:'Rankings'!C$1149,MATCH(SMALL(Rankings!H$2:'Rankings'!H$1000,ROW()),Rankings!H$2:'Rankings'!H$1000,0))</f>
        <v>Rohre Titcomb</v>
      </c>
      <c r="D714" t="str">
        <f>INDEX(Rankings!C$2:'Rankings'!C$1149,MATCH(SMALL(Rankings!H$2:'Rankings'!H$1000,ROW()),Rankings!H$2:'Rankings'!H$1000,0))</f>
        <v>Rohre Titcomb</v>
      </c>
      <c r="G714" t="str">
        <f>INDEX(Rankings!C$2:'Rankings'!C$1149,MATCH(SMALL(Rankings!H$2:'Rankings'!H$1000,ROW()),Rankings!H$2:'Rankings'!H$1000,0))</f>
        <v>Rohre Titcomb</v>
      </c>
    </row>
    <row r="715" spans="2:7" hidden="1" outlineLevel="1" x14ac:dyDescent="0.25">
      <c r="B715" t="str">
        <f>INDEX(Rankings!C$2:'Rankings'!C$1149,MATCH(SMALL(Rankings!H$2:'Rankings'!H$1000,ROW()),Rankings!H$2:'Rankings'!H$1000,0))</f>
        <v>Roland Karlsson</v>
      </c>
      <c r="C715" t="str">
        <f>INDEX(Rankings!C$2:'Rankings'!C$1149,MATCH(SMALL(Rankings!H$2:'Rankings'!H$1000,ROW()),Rankings!H$2:'Rankings'!H$1000,0))</f>
        <v>Roland Karlsson</v>
      </c>
      <c r="D715" t="str">
        <f>INDEX(Rankings!C$2:'Rankings'!C$1149,MATCH(SMALL(Rankings!H$2:'Rankings'!H$1000,ROW()),Rankings!H$2:'Rankings'!H$1000,0))</f>
        <v>Roland Karlsson</v>
      </c>
      <c r="G715" t="str">
        <f>INDEX(Rankings!C$2:'Rankings'!C$1149,MATCH(SMALL(Rankings!H$2:'Rankings'!H$1000,ROW()),Rankings!H$2:'Rankings'!H$1000,0))</f>
        <v>Roland Karlsson</v>
      </c>
    </row>
    <row r="716" spans="2:7" hidden="1" outlineLevel="1" x14ac:dyDescent="0.25">
      <c r="B716" t="str">
        <f>INDEX(Rankings!C$2:'Rankings'!C$1149,MATCH(SMALL(Rankings!H$2:'Rankings'!H$1000,ROW()),Rankings!H$2:'Rankings'!H$1000,0))</f>
        <v>Roman Dubovsky</v>
      </c>
      <c r="C716" t="str">
        <f>INDEX(Rankings!C$2:'Rankings'!C$1149,MATCH(SMALL(Rankings!H$2:'Rankings'!H$1000,ROW()),Rankings!H$2:'Rankings'!H$1000,0))</f>
        <v>Roman Dubovsky</v>
      </c>
      <c r="D716" t="str">
        <f>INDEX(Rankings!C$2:'Rankings'!C$1149,MATCH(SMALL(Rankings!H$2:'Rankings'!H$1000,ROW()),Rankings!H$2:'Rankings'!H$1000,0))</f>
        <v>Roman Dubovsky</v>
      </c>
      <c r="G716" t="str">
        <f>INDEX(Rankings!C$2:'Rankings'!C$1149,MATCH(SMALL(Rankings!H$2:'Rankings'!H$1000,ROW()),Rankings!H$2:'Rankings'!H$1000,0))</f>
        <v>Roman Dubovsky</v>
      </c>
    </row>
    <row r="717" spans="2:7" hidden="1" outlineLevel="1" x14ac:dyDescent="0.25">
      <c r="B717" t="str">
        <f>INDEX(Rankings!C$2:'Rankings'!C$1149,MATCH(SMALL(Rankings!H$2:'Rankings'!H$1000,ROW()),Rankings!H$2:'Rankings'!H$1000,0))</f>
        <v>Romeo Antonino</v>
      </c>
      <c r="C717" t="str">
        <f>INDEX(Rankings!C$2:'Rankings'!C$1149,MATCH(SMALL(Rankings!H$2:'Rankings'!H$1000,ROW()),Rankings!H$2:'Rankings'!H$1000,0))</f>
        <v>Romeo Antonino</v>
      </c>
      <c r="D717" t="str">
        <f>INDEX(Rankings!C$2:'Rankings'!C$1149,MATCH(SMALL(Rankings!H$2:'Rankings'!H$1000,ROW()),Rankings!H$2:'Rankings'!H$1000,0))</f>
        <v>Romeo Antonino</v>
      </c>
      <c r="G717" t="str">
        <f>INDEX(Rankings!C$2:'Rankings'!C$1149,MATCH(SMALL(Rankings!H$2:'Rankings'!H$1000,ROW()),Rankings!H$2:'Rankings'!H$1000,0))</f>
        <v>Romeo Antonino</v>
      </c>
    </row>
    <row r="718" spans="2:7" hidden="1" outlineLevel="1" x14ac:dyDescent="0.25">
      <c r="B718" t="str">
        <f>INDEX(Rankings!C$2:'Rankings'!C$1149,MATCH(SMALL(Rankings!H$2:'Rankings'!H$1000,ROW()),Rankings!H$2:'Rankings'!H$1000,0))</f>
        <v>Ron Vingerelli</v>
      </c>
      <c r="C718" t="str">
        <f>INDEX(Rankings!C$2:'Rankings'!C$1149,MATCH(SMALL(Rankings!H$2:'Rankings'!H$1000,ROW()),Rankings!H$2:'Rankings'!H$1000,0))</f>
        <v>Ron Vingerelli</v>
      </c>
      <c r="D718" t="str">
        <f>INDEX(Rankings!C$2:'Rankings'!C$1149,MATCH(SMALL(Rankings!H$2:'Rankings'!H$1000,ROW()),Rankings!H$2:'Rankings'!H$1000,0))</f>
        <v>Ron Vingerelli</v>
      </c>
      <c r="G718" t="str">
        <f>INDEX(Rankings!C$2:'Rankings'!C$1149,MATCH(SMALL(Rankings!H$2:'Rankings'!H$1000,ROW()),Rankings!H$2:'Rankings'!H$1000,0))</f>
        <v>Ron Vingerelli</v>
      </c>
    </row>
    <row r="719" spans="2:7" hidden="1" outlineLevel="1" x14ac:dyDescent="0.25">
      <c r="B719" t="str">
        <f>INDEX(Rankings!C$2:'Rankings'!C$1149,MATCH(SMALL(Rankings!H$2:'Rankings'!H$1000,ROW()),Rankings!H$2:'Rankings'!H$1000,0))</f>
        <v>Ronnie Turner</v>
      </c>
      <c r="C719" t="str">
        <f>INDEX(Rankings!C$2:'Rankings'!C$1149,MATCH(SMALL(Rankings!H$2:'Rankings'!H$1000,ROW()),Rankings!H$2:'Rankings'!H$1000,0))</f>
        <v>Ronnie Turner</v>
      </c>
      <c r="D719" t="str">
        <f>INDEX(Rankings!C$2:'Rankings'!C$1149,MATCH(SMALL(Rankings!H$2:'Rankings'!H$1000,ROW()),Rankings!H$2:'Rankings'!H$1000,0))</f>
        <v>Ronnie Turner</v>
      </c>
      <c r="G719" t="str">
        <f>INDEX(Rankings!C$2:'Rankings'!C$1149,MATCH(SMALL(Rankings!H$2:'Rankings'!H$1000,ROW()),Rankings!H$2:'Rankings'!H$1000,0))</f>
        <v>Ronnie Turner</v>
      </c>
    </row>
    <row r="720" spans="2:7" hidden="1" outlineLevel="1" x14ac:dyDescent="0.25">
      <c r="B720" t="str">
        <f>INDEX(Rankings!C$2:'Rankings'!C$1149,MATCH(SMALL(Rankings!H$2:'Rankings'!H$1000,ROW()),Rankings!H$2:'Rankings'!H$1000,0))</f>
        <v>Ronny Koch</v>
      </c>
      <c r="C720" t="str">
        <f>INDEX(Rankings!C$2:'Rankings'!C$1149,MATCH(SMALL(Rankings!H$2:'Rankings'!H$1000,ROW()),Rankings!H$2:'Rankings'!H$1000,0))</f>
        <v>Ronny Koch</v>
      </c>
      <c r="D720" t="str">
        <f>INDEX(Rankings!C$2:'Rankings'!C$1149,MATCH(SMALL(Rankings!H$2:'Rankings'!H$1000,ROW()),Rankings!H$2:'Rankings'!H$1000,0))</f>
        <v>Ronny Koch</v>
      </c>
      <c r="G720" t="str">
        <f>INDEX(Rankings!C$2:'Rankings'!C$1149,MATCH(SMALL(Rankings!H$2:'Rankings'!H$1000,ROW()),Rankings!H$2:'Rankings'!H$1000,0))</f>
        <v>Ronny Koch</v>
      </c>
    </row>
    <row r="721" spans="2:7" hidden="1" outlineLevel="1" x14ac:dyDescent="0.25">
      <c r="B721" t="str">
        <f>INDEX(Rankings!C$2:'Rankings'!C$1149,MATCH(SMALL(Rankings!H$2:'Rankings'!H$1000,ROW()),Rankings!H$2:'Rankings'!H$1000,0))</f>
        <v>Rui Pires</v>
      </c>
      <c r="C721" t="str">
        <f>INDEX(Rankings!C$2:'Rankings'!C$1149,MATCH(SMALL(Rankings!H$2:'Rankings'!H$1000,ROW()),Rankings!H$2:'Rankings'!H$1000,0))</f>
        <v>Rui Pires</v>
      </c>
      <c r="D721" t="str">
        <f>INDEX(Rankings!C$2:'Rankings'!C$1149,MATCH(SMALL(Rankings!H$2:'Rankings'!H$1000,ROW()),Rankings!H$2:'Rankings'!H$1000,0))</f>
        <v>Rui Pires</v>
      </c>
      <c r="G721" t="str">
        <f>INDEX(Rankings!C$2:'Rankings'!C$1149,MATCH(SMALL(Rankings!H$2:'Rankings'!H$1000,ROW()),Rankings!H$2:'Rankings'!H$1000,0))</f>
        <v>Rui Pires</v>
      </c>
    </row>
    <row r="722" spans="2:7" hidden="1" outlineLevel="1" x14ac:dyDescent="0.25">
      <c r="B722" t="str">
        <f>INDEX(Rankings!C$2:'Rankings'!C$1149,MATCH(SMALL(Rankings!H$2:'Rankings'!H$1000,ROW()),Rankings!H$2:'Rankings'!H$1000,0))</f>
        <v>Russell Moore</v>
      </c>
      <c r="C722" t="str">
        <f>INDEX(Rankings!C$2:'Rankings'!C$1149,MATCH(SMALL(Rankings!H$2:'Rankings'!H$1000,ROW()),Rankings!H$2:'Rankings'!H$1000,0))</f>
        <v>Russell Moore</v>
      </c>
      <c r="D722" t="str">
        <f>INDEX(Rankings!C$2:'Rankings'!C$1149,MATCH(SMALL(Rankings!H$2:'Rankings'!H$1000,ROW()),Rankings!H$2:'Rankings'!H$1000,0))</f>
        <v>Russell Moore</v>
      </c>
      <c r="G722" t="str">
        <f>INDEX(Rankings!C$2:'Rankings'!C$1149,MATCH(SMALL(Rankings!H$2:'Rankings'!H$1000,ROW()),Rankings!H$2:'Rankings'!H$1000,0))</f>
        <v>Russell Moore</v>
      </c>
    </row>
    <row r="723" spans="2:7" hidden="1" outlineLevel="1" x14ac:dyDescent="0.25">
      <c r="B723" t="str">
        <f>INDEX(Rankings!C$2:'Rankings'!C$1149,MATCH(SMALL(Rankings!H$2:'Rankings'!H$1000,ROW()),Rankings!H$2:'Rankings'!H$1000,0))</f>
        <v>Ryan Hornickel</v>
      </c>
      <c r="C723" t="str">
        <f>INDEX(Rankings!C$2:'Rankings'!C$1149,MATCH(SMALL(Rankings!H$2:'Rankings'!H$1000,ROW()),Rankings!H$2:'Rankings'!H$1000,0))</f>
        <v>Ryan Hornickel</v>
      </c>
      <c r="D723" t="str">
        <f>INDEX(Rankings!C$2:'Rankings'!C$1149,MATCH(SMALL(Rankings!H$2:'Rankings'!H$1000,ROW()),Rankings!H$2:'Rankings'!H$1000,0))</f>
        <v>Ryan Hornickel</v>
      </c>
      <c r="G723" t="str">
        <f>INDEX(Rankings!C$2:'Rankings'!C$1149,MATCH(SMALL(Rankings!H$2:'Rankings'!H$1000,ROW()),Rankings!H$2:'Rankings'!H$1000,0))</f>
        <v>Ryan Hornickel</v>
      </c>
    </row>
    <row r="724" spans="2:7" hidden="1" outlineLevel="1" x14ac:dyDescent="0.25">
      <c r="B724" t="str">
        <f>INDEX(Rankings!C$2:'Rankings'!C$1149,MATCH(SMALL(Rankings!H$2:'Rankings'!H$1000,ROW()),Rankings!H$2:'Rankings'!H$1000,0))</f>
        <v>Ryan Peterson</v>
      </c>
      <c r="C724" t="str">
        <f>INDEX(Rankings!C$2:'Rankings'!C$1149,MATCH(SMALL(Rankings!H$2:'Rankings'!H$1000,ROW()),Rankings!H$2:'Rankings'!H$1000,0))</f>
        <v>Ryan Peterson</v>
      </c>
      <c r="D724" t="str">
        <f>INDEX(Rankings!C$2:'Rankings'!C$1149,MATCH(SMALL(Rankings!H$2:'Rankings'!H$1000,ROW()),Rankings!H$2:'Rankings'!H$1000,0))</f>
        <v>Ryan Peterson</v>
      </c>
      <c r="G724" t="str">
        <f>INDEX(Rankings!C$2:'Rankings'!C$1149,MATCH(SMALL(Rankings!H$2:'Rankings'!H$1000,ROW()),Rankings!H$2:'Rankings'!H$1000,0))</f>
        <v>Ryan Peterson</v>
      </c>
    </row>
    <row r="725" spans="2:7" hidden="1" outlineLevel="1" x14ac:dyDescent="0.25">
      <c r="B725" t="str">
        <f>INDEX(Rankings!C$2:'Rankings'!C$1149,MATCH(SMALL(Rankings!H$2:'Rankings'!H$1000,ROW()),Rankings!H$2:'Rankings'!H$1000,0))</f>
        <v>Ryan Taygan</v>
      </c>
      <c r="C725" t="str">
        <f>INDEX(Rankings!C$2:'Rankings'!C$1149,MATCH(SMALL(Rankings!H$2:'Rankings'!H$1000,ROW()),Rankings!H$2:'Rankings'!H$1000,0))</f>
        <v>Ryan Taygan</v>
      </c>
      <c r="D725" t="str">
        <f>INDEX(Rankings!C$2:'Rankings'!C$1149,MATCH(SMALL(Rankings!H$2:'Rankings'!H$1000,ROW()),Rankings!H$2:'Rankings'!H$1000,0))</f>
        <v>Ryan Taygan</v>
      </c>
      <c r="G725" t="str">
        <f>INDEX(Rankings!C$2:'Rankings'!C$1149,MATCH(SMALL(Rankings!H$2:'Rankings'!H$1000,ROW()),Rankings!H$2:'Rankings'!H$1000,0))</f>
        <v>Ryan Taygan</v>
      </c>
    </row>
    <row r="726" spans="2:7" hidden="1" outlineLevel="1" x14ac:dyDescent="0.25">
      <c r="B726" t="str">
        <f>INDEX(Rankings!C$2:'Rankings'!C$1149,MATCH(SMALL(Rankings!H$2:'Rankings'!H$1000,ROW()),Rankings!H$2:'Rankings'!H$1000,0))</f>
        <v>Ryan Young</v>
      </c>
      <c r="C726" t="str">
        <f>INDEX(Rankings!C$2:'Rankings'!C$1149,MATCH(SMALL(Rankings!H$2:'Rankings'!H$1000,ROW()),Rankings!H$2:'Rankings'!H$1000,0))</f>
        <v>Ryan Young</v>
      </c>
      <c r="D726" t="str">
        <f>INDEX(Rankings!C$2:'Rankings'!C$1149,MATCH(SMALL(Rankings!H$2:'Rankings'!H$1000,ROW()),Rankings!H$2:'Rankings'!H$1000,0))</f>
        <v>Ryan Young</v>
      </c>
      <c r="G726" t="str">
        <f>INDEX(Rankings!C$2:'Rankings'!C$1149,MATCH(SMALL(Rankings!H$2:'Rankings'!H$1000,ROW()),Rankings!H$2:'Rankings'!H$1000,0))</f>
        <v>Ryan Young</v>
      </c>
    </row>
    <row r="727" spans="2:7" hidden="1" outlineLevel="1" x14ac:dyDescent="0.25">
      <c r="B727" t="str">
        <f>INDEX(Rankings!C$2:'Rankings'!C$1149,MATCH(SMALL(Rankings!H$2:'Rankings'!H$1000,ROW()),Rankings!H$2:'Rankings'!H$1000,0))</f>
        <v>Ryuichi Suzuki</v>
      </c>
      <c r="C727" t="str">
        <f>INDEX(Rankings!C$2:'Rankings'!C$1149,MATCH(SMALL(Rankings!H$2:'Rankings'!H$1000,ROW()),Rankings!H$2:'Rankings'!H$1000,0))</f>
        <v>Ryuichi Suzuki</v>
      </c>
      <c r="D727" t="str">
        <f>INDEX(Rankings!C$2:'Rankings'!C$1149,MATCH(SMALL(Rankings!H$2:'Rankings'!H$1000,ROW()),Rankings!H$2:'Rankings'!H$1000,0))</f>
        <v>Ryuichi Suzuki</v>
      </c>
      <c r="G727" t="str">
        <f>INDEX(Rankings!C$2:'Rankings'!C$1149,MATCH(SMALL(Rankings!H$2:'Rankings'!H$1000,ROW()),Rankings!H$2:'Rankings'!H$1000,0))</f>
        <v>Ryuichi Suzuki</v>
      </c>
    </row>
    <row r="728" spans="2:7" hidden="1" outlineLevel="1" x14ac:dyDescent="0.25">
      <c r="B728" t="str">
        <f>INDEX(Rankings!C$2:'Rankings'!C$1149,MATCH(SMALL(Rankings!H$2:'Rankings'!H$1000,ROW()),Rankings!H$2:'Rankings'!H$1000,0))</f>
        <v>Sabine Brehmer</v>
      </c>
      <c r="C728" t="str">
        <f>INDEX(Rankings!C$2:'Rankings'!C$1149,MATCH(SMALL(Rankings!H$2:'Rankings'!H$1000,ROW()),Rankings!H$2:'Rankings'!H$1000,0))</f>
        <v>Sabine Brehmer</v>
      </c>
      <c r="D728" t="str">
        <f>INDEX(Rankings!C$2:'Rankings'!C$1149,MATCH(SMALL(Rankings!H$2:'Rankings'!H$1000,ROW()),Rankings!H$2:'Rankings'!H$1000,0))</f>
        <v>Sabine Brehmer</v>
      </c>
      <c r="G728" t="str">
        <f>INDEX(Rankings!C$2:'Rankings'!C$1149,MATCH(SMALL(Rankings!H$2:'Rankings'!H$1000,ROW()),Rankings!H$2:'Rankings'!H$1000,0))</f>
        <v>Sabine Brehmer</v>
      </c>
    </row>
    <row r="729" spans="2:7" hidden="1" outlineLevel="1" x14ac:dyDescent="0.25">
      <c r="B729" t="str">
        <f>INDEX(Rankings!C$2:'Rankings'!C$1149,MATCH(SMALL(Rankings!H$2:'Rankings'!H$1000,ROW()),Rankings!H$2:'Rankings'!H$1000,0))</f>
        <v>Sam Kaye</v>
      </c>
      <c r="C729" t="str">
        <f>INDEX(Rankings!C$2:'Rankings'!C$1149,MATCH(SMALL(Rankings!H$2:'Rankings'!H$1000,ROW()),Rankings!H$2:'Rankings'!H$1000,0))</f>
        <v>Sam Kaye</v>
      </c>
      <c r="D729" t="str">
        <f>INDEX(Rankings!C$2:'Rankings'!C$1149,MATCH(SMALL(Rankings!H$2:'Rankings'!H$1000,ROW()),Rankings!H$2:'Rankings'!H$1000,0))</f>
        <v>Sam Kaye</v>
      </c>
      <c r="G729" t="str">
        <f>INDEX(Rankings!C$2:'Rankings'!C$1149,MATCH(SMALL(Rankings!H$2:'Rankings'!H$1000,ROW()),Rankings!H$2:'Rankings'!H$1000,0))</f>
        <v>Sam Kaye</v>
      </c>
    </row>
    <row r="730" spans="2:7" hidden="1" outlineLevel="1" x14ac:dyDescent="0.25">
      <c r="B730" t="str">
        <f>INDEX(Rankings!C$2:'Rankings'!C$1149,MATCH(SMALL(Rankings!H$2:'Rankings'!H$1000,ROW()),Rankings!H$2:'Rankings'!H$1000,0))</f>
        <v>Sammy Neilson</v>
      </c>
      <c r="C730" t="str">
        <f>INDEX(Rankings!C$2:'Rankings'!C$1149,MATCH(SMALL(Rankings!H$2:'Rankings'!H$1000,ROW()),Rankings!H$2:'Rankings'!H$1000,0))</f>
        <v>Sammy Neilson</v>
      </c>
      <c r="D730" t="str">
        <f>INDEX(Rankings!C$2:'Rankings'!C$1149,MATCH(SMALL(Rankings!H$2:'Rankings'!H$1000,ROW()),Rankings!H$2:'Rankings'!H$1000,0))</f>
        <v>Sammy Neilson</v>
      </c>
      <c r="G730" t="str">
        <f>INDEX(Rankings!C$2:'Rankings'!C$1149,MATCH(SMALL(Rankings!H$2:'Rankings'!H$1000,ROW()),Rankings!H$2:'Rankings'!H$1000,0))</f>
        <v>Sammy Neilson</v>
      </c>
    </row>
    <row r="731" spans="2:7" hidden="1" outlineLevel="1" x14ac:dyDescent="0.25">
      <c r="B731" t="str">
        <f>INDEX(Rankings!C$2:'Rankings'!C$1149,MATCH(SMALL(Rankings!H$2:'Rankings'!H$1000,ROW()),Rankings!H$2:'Rankings'!H$1000,0))</f>
        <v>Stefan Weinreich</v>
      </c>
      <c r="C731" t="str">
        <f>INDEX(Rankings!C$2:'Rankings'!C$1149,MATCH(SMALL(Rankings!H$2:'Rankings'!H$1000,ROW()),Rankings!H$2:'Rankings'!H$1000,0))</f>
        <v>Stefan Weinreich</v>
      </c>
      <c r="D731" t="str">
        <f>INDEX(Rankings!C$2:'Rankings'!C$1149,MATCH(SMALL(Rankings!H$2:'Rankings'!H$1000,ROW()),Rankings!H$2:'Rankings'!H$1000,0))</f>
        <v>Stefan Weinreich</v>
      </c>
      <c r="G731" t="str">
        <f>INDEX(Rankings!C$2:'Rankings'!C$1149,MATCH(SMALL(Rankings!H$2:'Rankings'!H$1000,ROW()),Rankings!H$2:'Rankings'!H$1000,0))</f>
        <v>Stefan Weinreich</v>
      </c>
    </row>
    <row r="732" spans="2:7" hidden="1" outlineLevel="1" x14ac:dyDescent="0.25">
      <c r="B732" t="str">
        <f>INDEX(Rankings!C$2:'Rankings'!C$1149,MATCH(SMALL(Rankings!H$2:'Rankings'!H$1000,ROW()),Rankings!H$2:'Rankings'!H$1000,0))</f>
        <v>Santiago Cano</v>
      </c>
      <c r="C732" t="str">
        <f>INDEX(Rankings!C$2:'Rankings'!C$1149,MATCH(SMALL(Rankings!H$2:'Rankings'!H$1000,ROW()),Rankings!H$2:'Rankings'!H$1000,0))</f>
        <v>Santiago Cano</v>
      </c>
      <c r="D732" t="str">
        <f>INDEX(Rankings!C$2:'Rankings'!C$1149,MATCH(SMALL(Rankings!H$2:'Rankings'!H$1000,ROW()),Rankings!H$2:'Rankings'!H$1000,0))</f>
        <v>Santiago Cano</v>
      </c>
      <c r="G732" t="str">
        <f>INDEX(Rankings!C$2:'Rankings'!C$1149,MATCH(SMALL(Rankings!H$2:'Rankings'!H$1000,ROW()),Rankings!H$2:'Rankings'!H$1000,0))</f>
        <v>Santiago Cano</v>
      </c>
    </row>
    <row r="733" spans="2:7" hidden="1" outlineLevel="1" x14ac:dyDescent="0.25">
      <c r="B733" t="str">
        <f>INDEX(Rankings!C$2:'Rankings'!C$1149,MATCH(SMALL(Rankings!H$2:'Rankings'!H$1000,ROW()),Rankings!H$2:'Rankings'!H$1000,0))</f>
        <v>Santiago Sepulveda</v>
      </c>
      <c r="C733" t="str">
        <f>INDEX(Rankings!C$2:'Rankings'!C$1149,MATCH(SMALL(Rankings!H$2:'Rankings'!H$1000,ROW()),Rankings!H$2:'Rankings'!H$1000,0))</f>
        <v>Santiago Sepulveda</v>
      </c>
      <c r="D733" t="str">
        <f>INDEX(Rankings!C$2:'Rankings'!C$1149,MATCH(SMALL(Rankings!H$2:'Rankings'!H$1000,ROW()),Rankings!H$2:'Rankings'!H$1000,0))</f>
        <v>Santiago Sepulveda</v>
      </c>
      <c r="G733" t="str">
        <f>INDEX(Rankings!C$2:'Rankings'!C$1149,MATCH(SMALL(Rankings!H$2:'Rankings'!H$1000,ROW()),Rankings!H$2:'Rankings'!H$1000,0))</f>
        <v>Santiago Sepulveda</v>
      </c>
    </row>
    <row r="734" spans="2:7" hidden="1" outlineLevel="1" x14ac:dyDescent="0.25">
      <c r="B734" t="str">
        <f>INDEX(Rankings!C$2:'Rankings'!C$1149,MATCH(SMALL(Rankings!H$2:'Rankings'!H$1000,ROW()),Rankings!H$2:'Rankings'!H$1000,0))</f>
        <v>Sara Cintura</v>
      </c>
      <c r="C734" t="str">
        <f>INDEX(Rankings!C$2:'Rankings'!C$1149,MATCH(SMALL(Rankings!H$2:'Rankings'!H$1000,ROW()),Rankings!H$2:'Rankings'!H$1000,0))</f>
        <v>Sara Cintura</v>
      </c>
      <c r="D734" t="str">
        <f>INDEX(Rankings!C$2:'Rankings'!C$1149,MATCH(SMALL(Rankings!H$2:'Rankings'!H$1000,ROW()),Rankings!H$2:'Rankings'!H$1000,0))</f>
        <v>Sara Cintura</v>
      </c>
      <c r="G734" t="str">
        <f>INDEX(Rankings!C$2:'Rankings'!C$1149,MATCH(SMALL(Rankings!H$2:'Rankings'!H$1000,ROW()),Rankings!H$2:'Rankings'!H$1000,0))</f>
        <v>Sara Cintura</v>
      </c>
    </row>
    <row r="735" spans="2:7" hidden="1" outlineLevel="1" x14ac:dyDescent="0.25">
      <c r="B735" t="str">
        <f>INDEX(Rankings!C$2:'Rankings'!C$1149,MATCH(SMALL(Rankings!H$2:'Rankings'!H$1000,ROW()),Rankings!H$2:'Rankings'!H$1000,0))</f>
        <v>Sara Cordero</v>
      </c>
      <c r="C735" t="str">
        <f>INDEX(Rankings!C$2:'Rankings'!C$1149,MATCH(SMALL(Rankings!H$2:'Rankings'!H$1000,ROW()),Rankings!H$2:'Rankings'!H$1000,0))</f>
        <v>Sara Cordero</v>
      </c>
      <c r="D735" t="str">
        <f>INDEX(Rankings!C$2:'Rankings'!C$1149,MATCH(SMALL(Rankings!H$2:'Rankings'!H$1000,ROW()),Rankings!H$2:'Rankings'!H$1000,0))</f>
        <v>Sara Cordero</v>
      </c>
      <c r="G735" t="str">
        <f>INDEX(Rankings!C$2:'Rankings'!C$1149,MATCH(SMALL(Rankings!H$2:'Rankings'!H$1000,ROW()),Rankings!H$2:'Rankings'!H$1000,0))</f>
        <v>Sara Cordero</v>
      </c>
    </row>
    <row r="736" spans="2:7" hidden="1" outlineLevel="1" x14ac:dyDescent="0.25">
      <c r="B736" t="str">
        <f>INDEX(Rankings!C$2:'Rankings'!C$1149,MATCH(SMALL(Rankings!H$2:'Rankings'!H$1000,ROW()),Rankings!H$2:'Rankings'!H$1000,0))</f>
        <v>Sara Gustafsson</v>
      </c>
      <c r="C736" t="str">
        <f>INDEX(Rankings!C$2:'Rankings'!C$1149,MATCH(SMALL(Rankings!H$2:'Rankings'!H$1000,ROW()),Rankings!H$2:'Rankings'!H$1000,0))</f>
        <v>Sara Gustafsson</v>
      </c>
      <c r="D736" t="str">
        <f>INDEX(Rankings!C$2:'Rankings'!C$1149,MATCH(SMALL(Rankings!H$2:'Rankings'!H$1000,ROW()),Rankings!H$2:'Rankings'!H$1000,0))</f>
        <v>Sara Gustafsson</v>
      </c>
      <c r="G736" t="str">
        <f>INDEX(Rankings!C$2:'Rankings'!C$1149,MATCH(SMALL(Rankings!H$2:'Rankings'!H$1000,ROW()),Rankings!H$2:'Rankings'!H$1000,0))</f>
        <v>Sara Gustafsson</v>
      </c>
    </row>
    <row r="737" spans="2:7" hidden="1" outlineLevel="1" x14ac:dyDescent="0.25">
      <c r="B737" t="str">
        <f>INDEX(Rankings!C$2:'Rankings'!C$1149,MATCH(SMALL(Rankings!H$2:'Rankings'!H$1000,ROW()),Rankings!H$2:'Rankings'!H$1000,0))</f>
        <v>Sarah Bergman</v>
      </c>
      <c r="C737" t="str">
        <f>INDEX(Rankings!C$2:'Rankings'!C$1149,MATCH(SMALL(Rankings!H$2:'Rankings'!H$1000,ROW()),Rankings!H$2:'Rankings'!H$1000,0))</f>
        <v>Sarah Bergman</v>
      </c>
      <c r="D737" t="str">
        <f>INDEX(Rankings!C$2:'Rankings'!C$1149,MATCH(SMALL(Rankings!H$2:'Rankings'!H$1000,ROW()),Rankings!H$2:'Rankings'!H$1000,0))</f>
        <v>Sarah Bergman</v>
      </c>
      <c r="G737" t="str">
        <f>INDEX(Rankings!C$2:'Rankings'!C$1149,MATCH(SMALL(Rankings!H$2:'Rankings'!H$1000,ROW()),Rankings!H$2:'Rankings'!H$1000,0))</f>
        <v>Sarah Bergman</v>
      </c>
    </row>
    <row r="738" spans="2:7" hidden="1" outlineLevel="1" x14ac:dyDescent="0.25">
      <c r="B738" t="str">
        <f>INDEX(Rankings!C$2:'Rankings'!C$1149,MATCH(SMALL(Rankings!H$2:'Rankings'!H$1000,ROW()),Rankings!H$2:'Rankings'!H$1000,0))</f>
        <v>David Werner</v>
      </c>
      <c r="C738" t="str">
        <f>INDEX(Rankings!C$2:'Rankings'!C$1149,MATCH(SMALL(Rankings!H$2:'Rankings'!H$1000,ROW()),Rankings!H$2:'Rankings'!H$1000,0))</f>
        <v>David Werner</v>
      </c>
      <c r="D738" t="str">
        <f>INDEX(Rankings!C$2:'Rankings'!C$1149,MATCH(SMALL(Rankings!H$2:'Rankings'!H$1000,ROW()),Rankings!H$2:'Rankings'!H$1000,0))</f>
        <v>David Werner</v>
      </c>
      <c r="G738" t="str">
        <f>INDEX(Rankings!C$2:'Rankings'!C$1149,MATCH(SMALL(Rankings!H$2:'Rankings'!H$1000,ROW()),Rankings!H$2:'Rankings'!H$1000,0))</f>
        <v>David Werner</v>
      </c>
    </row>
    <row r="739" spans="2:7" hidden="1" outlineLevel="1" x14ac:dyDescent="0.25">
      <c r="B739" t="str">
        <f>INDEX(Rankings!C$2:'Rankings'!C$1149,MATCH(SMALL(Rankings!H$2:'Rankings'!H$1000,ROW()),Rankings!H$2:'Rankings'!H$1000,0))</f>
        <v>Sascha Höhne</v>
      </c>
      <c r="C739" t="str">
        <f>INDEX(Rankings!C$2:'Rankings'!C$1149,MATCH(SMALL(Rankings!H$2:'Rankings'!H$1000,ROW()),Rankings!H$2:'Rankings'!H$1000,0))</f>
        <v>Sascha Höhne</v>
      </c>
      <c r="D739" t="str">
        <f>INDEX(Rankings!C$2:'Rankings'!C$1149,MATCH(SMALL(Rankings!H$2:'Rankings'!H$1000,ROW()),Rankings!H$2:'Rankings'!H$1000,0))</f>
        <v>Sascha Höhne</v>
      </c>
      <c r="G739" t="str">
        <f>INDEX(Rankings!C$2:'Rankings'!C$1149,MATCH(SMALL(Rankings!H$2:'Rankings'!H$1000,ROW()),Rankings!H$2:'Rankings'!H$1000,0))</f>
        <v>Sascha Höhne</v>
      </c>
    </row>
    <row r="740" spans="2:7" hidden="1" outlineLevel="1" x14ac:dyDescent="0.25">
      <c r="B740" t="str">
        <f>INDEX(Rankings!C$2:'Rankings'!C$1149,MATCH(SMALL(Rankings!H$2:'Rankings'!H$1000,ROW()),Rankings!H$2:'Rankings'!H$1000,0))</f>
        <v>Sascha Scherzinger</v>
      </c>
      <c r="C740" t="str">
        <f>INDEX(Rankings!C$2:'Rankings'!C$1149,MATCH(SMALL(Rankings!H$2:'Rankings'!H$1000,ROW()),Rankings!H$2:'Rankings'!H$1000,0))</f>
        <v>Sascha Scherzinger</v>
      </c>
      <c r="D740" t="str">
        <f>INDEX(Rankings!C$2:'Rankings'!C$1149,MATCH(SMALL(Rankings!H$2:'Rankings'!H$1000,ROW()),Rankings!H$2:'Rankings'!H$1000,0))</f>
        <v>Sascha Scherzinger</v>
      </c>
      <c r="G740" t="str">
        <f>INDEX(Rankings!C$2:'Rankings'!C$1149,MATCH(SMALL(Rankings!H$2:'Rankings'!H$1000,ROW()),Rankings!H$2:'Rankings'!H$1000,0))</f>
        <v>Sascha Scherzinger</v>
      </c>
    </row>
    <row r="741" spans="2:7" hidden="1" outlineLevel="1" x14ac:dyDescent="0.25">
      <c r="B741" t="str">
        <f>INDEX(Rankings!C$2:'Rankings'!C$1149,MATCH(SMALL(Rankings!H$2:'Rankings'!H$1000,ROW()),Rankings!H$2:'Rankings'!H$1000,0))</f>
        <v>Satoru Kondo</v>
      </c>
      <c r="C741" t="str">
        <f>INDEX(Rankings!C$2:'Rankings'!C$1149,MATCH(SMALL(Rankings!H$2:'Rankings'!H$1000,ROW()),Rankings!H$2:'Rankings'!H$1000,0))</f>
        <v>Satoru Kondo</v>
      </c>
      <c r="D741" t="str">
        <f>INDEX(Rankings!C$2:'Rankings'!C$1149,MATCH(SMALL(Rankings!H$2:'Rankings'!H$1000,ROW()),Rankings!H$2:'Rankings'!H$1000,0))</f>
        <v>Satoru Kondo</v>
      </c>
      <c r="G741" t="str">
        <f>INDEX(Rankings!C$2:'Rankings'!C$1149,MATCH(SMALL(Rankings!H$2:'Rankings'!H$1000,ROW()),Rankings!H$2:'Rankings'!H$1000,0))</f>
        <v>Satoru Kondo</v>
      </c>
    </row>
    <row r="742" spans="2:7" hidden="1" outlineLevel="1" x14ac:dyDescent="0.25">
      <c r="B742" t="str">
        <f>INDEX(Rankings!C$2:'Rankings'!C$1149,MATCH(SMALL(Rankings!H$2:'Rankings'!H$1000,ROW()),Rankings!H$2:'Rankings'!H$1000,0))</f>
        <v>Scott Burtard</v>
      </c>
      <c r="C742" t="str">
        <f>INDEX(Rankings!C$2:'Rankings'!C$1149,MATCH(SMALL(Rankings!H$2:'Rankings'!H$1000,ROW()),Rankings!H$2:'Rankings'!H$1000,0))</f>
        <v>Scott Burtard</v>
      </c>
      <c r="D742" t="str">
        <f>INDEX(Rankings!C$2:'Rankings'!C$1149,MATCH(SMALL(Rankings!H$2:'Rankings'!H$1000,ROW()),Rankings!H$2:'Rankings'!H$1000,0))</f>
        <v>Scott Burtard</v>
      </c>
      <c r="G742" t="str">
        <f>INDEX(Rankings!C$2:'Rankings'!C$1149,MATCH(SMALL(Rankings!H$2:'Rankings'!H$1000,ROW()),Rankings!H$2:'Rankings'!H$1000,0))</f>
        <v>Scott Burtard</v>
      </c>
    </row>
    <row r="743" spans="2:7" hidden="1" outlineLevel="1" x14ac:dyDescent="0.25">
      <c r="B743" t="str">
        <f>INDEX(Rankings!C$2:'Rankings'!C$1149,MATCH(SMALL(Rankings!H$2:'Rankings'!H$1000,ROW()),Rankings!H$2:'Rankings'!H$1000,0))</f>
        <v>Scott Riley</v>
      </c>
      <c r="C743" t="str">
        <f>INDEX(Rankings!C$2:'Rankings'!C$1149,MATCH(SMALL(Rankings!H$2:'Rankings'!H$1000,ROW()),Rankings!H$2:'Rankings'!H$1000,0))</f>
        <v>Scott Riley</v>
      </c>
      <c r="D743" t="str">
        <f>INDEX(Rankings!C$2:'Rankings'!C$1149,MATCH(SMALL(Rankings!H$2:'Rankings'!H$1000,ROW()),Rankings!H$2:'Rankings'!H$1000,0))</f>
        <v>Scott Riley</v>
      </c>
      <c r="G743" t="str">
        <f>INDEX(Rankings!C$2:'Rankings'!C$1149,MATCH(SMALL(Rankings!H$2:'Rankings'!H$1000,ROW()),Rankings!H$2:'Rankings'!H$1000,0))</f>
        <v>Scott Riley</v>
      </c>
    </row>
    <row r="744" spans="2:7" hidden="1" outlineLevel="1" x14ac:dyDescent="0.25">
      <c r="B744" t="str">
        <f>INDEX(Rankings!C$2:'Rankings'!C$1149,MATCH(SMALL(Rankings!H$2:'Rankings'!H$1000,ROW()),Rankings!H$2:'Rankings'!H$1000,0))</f>
        <v>Scott Starr</v>
      </c>
      <c r="C744" t="str">
        <f>INDEX(Rankings!C$2:'Rankings'!C$1149,MATCH(SMALL(Rankings!H$2:'Rankings'!H$1000,ROW()),Rankings!H$2:'Rankings'!H$1000,0))</f>
        <v>Scott Starr</v>
      </c>
      <c r="D744" t="str">
        <f>INDEX(Rankings!C$2:'Rankings'!C$1149,MATCH(SMALL(Rankings!H$2:'Rankings'!H$1000,ROW()),Rankings!H$2:'Rankings'!H$1000,0))</f>
        <v>Scott Starr</v>
      </c>
      <c r="G744" t="str">
        <f>INDEX(Rankings!C$2:'Rankings'!C$1149,MATCH(SMALL(Rankings!H$2:'Rankings'!H$1000,ROW()),Rankings!H$2:'Rankings'!H$1000,0))</f>
        <v>Scott Starr</v>
      </c>
    </row>
    <row r="745" spans="2:7" hidden="1" outlineLevel="1" x14ac:dyDescent="0.25">
      <c r="B745" t="str">
        <f>INDEX(Rankings!C$2:'Rankings'!C$1149,MATCH(SMALL(Rankings!H$2:'Rankings'!H$1000,ROW()),Rankings!H$2:'Rankings'!H$1000,0))</f>
        <v>Scott Weaver</v>
      </c>
      <c r="C745" t="str">
        <f>INDEX(Rankings!C$2:'Rankings'!C$1149,MATCH(SMALL(Rankings!H$2:'Rankings'!H$1000,ROW()),Rankings!H$2:'Rankings'!H$1000,0))</f>
        <v>Scott Weaver</v>
      </c>
      <c r="D745" t="str">
        <f>INDEX(Rankings!C$2:'Rankings'!C$1149,MATCH(SMALL(Rankings!H$2:'Rankings'!H$1000,ROW()),Rankings!H$2:'Rankings'!H$1000,0))</f>
        <v>Scott Weaver</v>
      </c>
      <c r="G745" t="str">
        <f>INDEX(Rankings!C$2:'Rankings'!C$1149,MATCH(SMALL(Rankings!H$2:'Rankings'!H$1000,ROW()),Rankings!H$2:'Rankings'!H$1000,0))</f>
        <v>Scott Weaver</v>
      </c>
    </row>
    <row r="746" spans="2:7" hidden="1" outlineLevel="1" x14ac:dyDescent="0.25">
      <c r="B746" t="str">
        <f>INDEX(Rankings!C$2:'Rankings'!C$1149,MATCH(SMALL(Rankings!H$2:'Rankings'!H$1000,ROW()),Rankings!H$2:'Rankings'!H$1000,0))</f>
        <v>Scott Zimmerman</v>
      </c>
      <c r="C746" t="str">
        <f>INDEX(Rankings!C$2:'Rankings'!C$1149,MATCH(SMALL(Rankings!H$2:'Rankings'!H$1000,ROW()),Rankings!H$2:'Rankings'!H$1000,0))</f>
        <v>Scott Zimmerman</v>
      </c>
      <c r="D746" t="str">
        <f>INDEX(Rankings!C$2:'Rankings'!C$1149,MATCH(SMALL(Rankings!H$2:'Rankings'!H$1000,ROW()),Rankings!H$2:'Rankings'!H$1000,0))</f>
        <v>Scott Zimmerman</v>
      </c>
      <c r="G746" t="str">
        <f>INDEX(Rankings!C$2:'Rankings'!C$1149,MATCH(SMALL(Rankings!H$2:'Rankings'!H$1000,ROW()),Rankings!H$2:'Rankings'!H$1000,0))</f>
        <v>Scott Zimmerman</v>
      </c>
    </row>
    <row r="747" spans="2:7" hidden="1" outlineLevel="1" x14ac:dyDescent="0.25">
      <c r="B747" t="str">
        <f>INDEX(Rankings!C$2:'Rankings'!C$1149,MATCH(SMALL(Rankings!H$2:'Rankings'!H$1000,ROW()),Rankings!H$2:'Rankings'!H$1000,0))</f>
        <v>Sebastian Brandtberg</v>
      </c>
      <c r="C747" t="str">
        <f>INDEX(Rankings!C$2:'Rankings'!C$1149,MATCH(SMALL(Rankings!H$2:'Rankings'!H$1000,ROW()),Rankings!H$2:'Rankings'!H$1000,0))</f>
        <v>Sebastian Brandtberg</v>
      </c>
      <c r="D747" t="str">
        <f>INDEX(Rankings!C$2:'Rankings'!C$1149,MATCH(SMALL(Rankings!H$2:'Rankings'!H$1000,ROW()),Rankings!H$2:'Rankings'!H$1000,0))</f>
        <v>Sebastian Brandtberg</v>
      </c>
      <c r="G747" t="str">
        <f>INDEX(Rankings!C$2:'Rankings'!C$1149,MATCH(SMALL(Rankings!H$2:'Rankings'!H$1000,ROW()),Rankings!H$2:'Rankings'!H$1000,0))</f>
        <v>Sebastian Brandtberg</v>
      </c>
    </row>
    <row r="748" spans="2:7" hidden="1" outlineLevel="1" x14ac:dyDescent="0.25">
      <c r="B748" t="str">
        <f>INDEX(Rankings!C$2:'Rankings'!C$1149,MATCH(SMALL(Rankings!H$2:'Rankings'!H$1000,ROW()),Rankings!H$2:'Rankings'!H$1000,0))</f>
        <v>Sebastian Cardenas</v>
      </c>
      <c r="C748" t="str">
        <f>INDEX(Rankings!C$2:'Rankings'!C$1149,MATCH(SMALL(Rankings!H$2:'Rankings'!H$1000,ROW()),Rankings!H$2:'Rankings'!H$1000,0))</f>
        <v>Sebastian Cardenas</v>
      </c>
      <c r="D748" t="str">
        <f>INDEX(Rankings!C$2:'Rankings'!C$1149,MATCH(SMALL(Rankings!H$2:'Rankings'!H$1000,ROW()),Rankings!H$2:'Rankings'!H$1000,0))</f>
        <v>Sebastian Cardenas</v>
      </c>
      <c r="G748" t="str">
        <f>INDEX(Rankings!C$2:'Rankings'!C$1149,MATCH(SMALL(Rankings!H$2:'Rankings'!H$1000,ROW()),Rankings!H$2:'Rankings'!H$1000,0))</f>
        <v>Sebastian Cardenas</v>
      </c>
    </row>
    <row r="749" spans="2:7" hidden="1" outlineLevel="1" x14ac:dyDescent="0.25">
      <c r="B749" t="str">
        <f>INDEX(Rankings!C$2:'Rankings'!C$1149,MATCH(SMALL(Rankings!H$2:'Rankings'!H$1000,ROW()),Rankings!H$2:'Rankings'!H$1000,0))</f>
        <v>Seigo Suzuki</v>
      </c>
      <c r="C749" t="str">
        <f>INDEX(Rankings!C$2:'Rankings'!C$1149,MATCH(SMALL(Rankings!H$2:'Rankings'!H$1000,ROW()),Rankings!H$2:'Rankings'!H$1000,0))</f>
        <v>Seigo Suzuki</v>
      </c>
      <c r="D749" t="str">
        <f>INDEX(Rankings!C$2:'Rankings'!C$1149,MATCH(SMALL(Rankings!H$2:'Rankings'!H$1000,ROW()),Rankings!H$2:'Rankings'!H$1000,0))</f>
        <v>Seigo Suzuki</v>
      </c>
      <c r="G749" t="str">
        <f>INDEX(Rankings!C$2:'Rankings'!C$1149,MATCH(SMALL(Rankings!H$2:'Rankings'!H$1000,ROW()),Rankings!H$2:'Rankings'!H$1000,0))</f>
        <v>Seigo Suzuki</v>
      </c>
    </row>
    <row r="750" spans="2:7" hidden="1" outlineLevel="1" x14ac:dyDescent="0.25">
      <c r="B750" t="str">
        <f>INDEX(Rankings!C$2:'Rankings'!C$1149,MATCH(SMALL(Rankings!H$2:'Rankings'!H$1000,ROW()),Rankings!H$2:'Rankings'!H$1000,0))</f>
        <v>Serge Marconi</v>
      </c>
      <c r="C750" t="str">
        <f>INDEX(Rankings!C$2:'Rankings'!C$1149,MATCH(SMALL(Rankings!H$2:'Rankings'!H$1000,ROW()),Rankings!H$2:'Rankings'!H$1000,0))</f>
        <v>Serge Marconi</v>
      </c>
      <c r="D750" t="str">
        <f>INDEX(Rankings!C$2:'Rankings'!C$1149,MATCH(SMALL(Rankings!H$2:'Rankings'!H$1000,ROW()),Rankings!H$2:'Rankings'!H$1000,0))</f>
        <v>Serge Marconi</v>
      </c>
      <c r="G750" t="str">
        <f>INDEX(Rankings!C$2:'Rankings'!C$1149,MATCH(SMALL(Rankings!H$2:'Rankings'!H$1000,ROW()),Rankings!H$2:'Rankings'!H$1000,0))</f>
        <v>Serge Marconi</v>
      </c>
    </row>
    <row r="751" spans="2:7" hidden="1" outlineLevel="1" x14ac:dyDescent="0.25">
      <c r="B751" t="str">
        <f>INDEX(Rankings!C$2:'Rankings'!C$1149,MATCH(SMALL(Rankings!H$2:'Rankings'!H$1000,ROW()),Rankings!H$2:'Rankings'!H$1000,0))</f>
        <v>Sergio Arrighi</v>
      </c>
      <c r="C751" t="str">
        <f>INDEX(Rankings!C$2:'Rankings'!C$1149,MATCH(SMALL(Rankings!H$2:'Rankings'!H$1000,ROW()),Rankings!H$2:'Rankings'!H$1000,0))</f>
        <v>Sergio Arrighi</v>
      </c>
      <c r="D751" t="str">
        <f>INDEX(Rankings!C$2:'Rankings'!C$1149,MATCH(SMALL(Rankings!H$2:'Rankings'!H$1000,ROW()),Rankings!H$2:'Rankings'!H$1000,0))</f>
        <v>Sergio Arrighi</v>
      </c>
      <c r="G751" t="str">
        <f>INDEX(Rankings!C$2:'Rankings'!C$1149,MATCH(SMALL(Rankings!H$2:'Rankings'!H$1000,ROW()),Rankings!H$2:'Rankings'!H$1000,0))</f>
        <v>Sergio Arrighi</v>
      </c>
    </row>
    <row r="752" spans="2:7" hidden="1" outlineLevel="1" x14ac:dyDescent="0.25">
      <c r="B752" t="str">
        <f>INDEX(Rankings!C$2:'Rankings'!C$1149,MATCH(SMALL(Rankings!H$2:'Rankings'!H$1000,ROW()),Rankings!H$2:'Rankings'!H$1000,0))</f>
        <v>Shawn Fallon</v>
      </c>
      <c r="C752" t="str">
        <f>INDEX(Rankings!C$2:'Rankings'!C$1149,MATCH(SMALL(Rankings!H$2:'Rankings'!H$1000,ROW()),Rankings!H$2:'Rankings'!H$1000,0))</f>
        <v>Shawn Fallon</v>
      </c>
      <c r="D752" t="str">
        <f>INDEX(Rankings!C$2:'Rankings'!C$1149,MATCH(SMALL(Rankings!H$2:'Rankings'!H$1000,ROW()),Rankings!H$2:'Rankings'!H$1000,0))</f>
        <v>Shawn Fallon</v>
      </c>
      <c r="G752" t="str">
        <f>INDEX(Rankings!C$2:'Rankings'!C$1149,MATCH(SMALL(Rankings!H$2:'Rankings'!H$1000,ROW()),Rankings!H$2:'Rankings'!H$1000,0))</f>
        <v>Shawn Fallon</v>
      </c>
    </row>
    <row r="753" spans="2:7" hidden="1" outlineLevel="1" x14ac:dyDescent="0.25">
      <c r="B753" t="str">
        <f>INDEX(Rankings!C$2:'Rankings'!C$1149,MATCH(SMALL(Rankings!H$2:'Rankings'!H$1000,ROW()),Rankings!H$2:'Rankings'!H$1000,0))</f>
        <v>Silvia Caruso</v>
      </c>
      <c r="C753" t="str">
        <f>INDEX(Rankings!C$2:'Rankings'!C$1149,MATCH(SMALL(Rankings!H$2:'Rankings'!H$1000,ROW()),Rankings!H$2:'Rankings'!H$1000,0))</f>
        <v>Silvia Caruso</v>
      </c>
      <c r="D753" t="str">
        <f>INDEX(Rankings!C$2:'Rankings'!C$1149,MATCH(SMALL(Rankings!H$2:'Rankings'!H$1000,ROW()),Rankings!H$2:'Rankings'!H$1000,0))</f>
        <v>Silvia Caruso</v>
      </c>
      <c r="G753" t="str">
        <f>INDEX(Rankings!C$2:'Rankings'!C$1149,MATCH(SMALL(Rankings!H$2:'Rankings'!H$1000,ROW()),Rankings!H$2:'Rankings'!H$1000,0))</f>
        <v>Silvia Caruso</v>
      </c>
    </row>
    <row r="754" spans="2:7" hidden="1" outlineLevel="1" x14ac:dyDescent="0.25">
      <c r="B754" t="str">
        <f>INDEX(Rankings!C$2:'Rankings'!C$1149,MATCH(SMALL(Rankings!H$2:'Rankings'!H$1000,ROW()),Rankings!H$2:'Rankings'!H$1000,0))</f>
        <v>Silvia Kronmuller</v>
      </c>
      <c r="C754" t="str">
        <f>INDEX(Rankings!C$2:'Rankings'!C$1149,MATCH(SMALL(Rankings!H$2:'Rankings'!H$1000,ROW()),Rankings!H$2:'Rankings'!H$1000,0))</f>
        <v>Silvia Kronmuller</v>
      </c>
      <c r="D754" t="str">
        <f>INDEX(Rankings!C$2:'Rankings'!C$1149,MATCH(SMALL(Rankings!H$2:'Rankings'!H$1000,ROW()),Rankings!H$2:'Rankings'!H$1000,0))</f>
        <v>Silvia Kronmuller</v>
      </c>
      <c r="G754" t="str">
        <f>INDEX(Rankings!C$2:'Rankings'!C$1149,MATCH(SMALL(Rankings!H$2:'Rankings'!H$1000,ROW()),Rankings!H$2:'Rankings'!H$1000,0))</f>
        <v>Silvia Kronmuller</v>
      </c>
    </row>
    <row r="755" spans="2:7" hidden="1" outlineLevel="1" x14ac:dyDescent="0.25">
      <c r="B755" t="str">
        <f>INDEX(Rankings!C$2:'Rankings'!C$1149,MATCH(SMALL(Rankings!H$2:'Rankings'!H$1000,ROW()),Rankings!H$2:'Rankings'!H$1000,0))</f>
        <v>Simon Emmerich</v>
      </c>
      <c r="C755" t="str">
        <f>INDEX(Rankings!C$2:'Rankings'!C$1149,MATCH(SMALL(Rankings!H$2:'Rankings'!H$1000,ROW()),Rankings!H$2:'Rankings'!H$1000,0))</f>
        <v>Simon Emmerich</v>
      </c>
      <c r="D755" t="str">
        <f>INDEX(Rankings!C$2:'Rankings'!C$1149,MATCH(SMALL(Rankings!H$2:'Rankings'!H$1000,ROW()),Rankings!H$2:'Rankings'!H$1000,0))</f>
        <v>Simon Emmerich</v>
      </c>
      <c r="G755" t="str">
        <f>INDEX(Rankings!C$2:'Rankings'!C$1149,MATCH(SMALL(Rankings!H$2:'Rankings'!H$1000,ROW()),Rankings!H$2:'Rankings'!H$1000,0))</f>
        <v>Simon Emmerich</v>
      </c>
    </row>
    <row r="756" spans="2:7" hidden="1" outlineLevel="1" x14ac:dyDescent="0.25">
      <c r="B756" t="str">
        <f>INDEX(Rankings!C$2:'Rankings'!C$1149,MATCH(SMALL(Rankings!H$2:'Rankings'!H$1000,ROW()),Rankings!H$2:'Rankings'!H$1000,0))</f>
        <v>Simon Faber</v>
      </c>
      <c r="C756" t="str">
        <f>INDEX(Rankings!C$2:'Rankings'!C$1149,MATCH(SMALL(Rankings!H$2:'Rankings'!H$1000,ROW()),Rankings!H$2:'Rankings'!H$1000,0))</f>
        <v>Simon Faber</v>
      </c>
      <c r="D756" t="str">
        <f>INDEX(Rankings!C$2:'Rankings'!C$1149,MATCH(SMALL(Rankings!H$2:'Rankings'!H$1000,ROW()),Rankings!H$2:'Rankings'!H$1000,0))</f>
        <v>Simon Faber</v>
      </c>
      <c r="G756" t="str">
        <f>INDEX(Rankings!C$2:'Rankings'!C$1149,MATCH(SMALL(Rankings!H$2:'Rankings'!H$1000,ROW()),Rankings!H$2:'Rankings'!H$1000,0))</f>
        <v>Simon Faber</v>
      </c>
    </row>
    <row r="757" spans="2:7" hidden="1" outlineLevel="1" x14ac:dyDescent="0.25">
      <c r="B757" t="str">
        <f>INDEX(Rankings!C$2:'Rankings'!C$1149,MATCH(SMALL(Rankings!H$2:'Rankings'!H$1000,ROW()),Rankings!H$2:'Rankings'!H$1000,0))</f>
        <v>Simon Lühring</v>
      </c>
      <c r="C757" t="str">
        <f>INDEX(Rankings!C$2:'Rankings'!C$1149,MATCH(SMALL(Rankings!H$2:'Rankings'!H$1000,ROW()),Rankings!H$2:'Rankings'!H$1000,0))</f>
        <v>Simon Lühring</v>
      </c>
      <c r="D757" t="str">
        <f>INDEX(Rankings!C$2:'Rankings'!C$1149,MATCH(SMALL(Rankings!H$2:'Rankings'!H$1000,ROW()),Rankings!H$2:'Rankings'!H$1000,0))</f>
        <v>Simon Lühring</v>
      </c>
      <c r="G757" t="str">
        <f>INDEX(Rankings!C$2:'Rankings'!C$1149,MATCH(SMALL(Rankings!H$2:'Rankings'!H$1000,ROW()),Rankings!H$2:'Rankings'!H$1000,0))</f>
        <v>Simon Lühring</v>
      </c>
    </row>
    <row r="758" spans="2:7" hidden="1" outlineLevel="1" x14ac:dyDescent="0.25">
      <c r="B758" t="str">
        <f>INDEX(Rankings!C$2:'Rankings'!C$1149,MATCH(SMALL(Rankings!H$2:'Rankings'!H$1000,ROW()),Rankings!H$2:'Rankings'!H$1000,0))</f>
        <v>Simone Italiano</v>
      </c>
      <c r="C758" t="str">
        <f>INDEX(Rankings!C$2:'Rankings'!C$1149,MATCH(SMALL(Rankings!H$2:'Rankings'!H$1000,ROW()),Rankings!H$2:'Rankings'!H$1000,0))</f>
        <v>Simone Italiano</v>
      </c>
      <c r="D758" t="str">
        <f>INDEX(Rankings!C$2:'Rankings'!C$1149,MATCH(SMALL(Rankings!H$2:'Rankings'!H$1000,ROW()),Rankings!H$2:'Rankings'!H$1000,0))</f>
        <v>Simone Italiano</v>
      </c>
      <c r="G758" t="str">
        <f>INDEX(Rankings!C$2:'Rankings'!C$1149,MATCH(SMALL(Rankings!H$2:'Rankings'!H$1000,ROW()),Rankings!H$2:'Rankings'!H$1000,0))</f>
        <v>Simone Italiano</v>
      </c>
    </row>
    <row r="759" spans="2:7" hidden="1" outlineLevel="1" x14ac:dyDescent="0.25">
      <c r="B759" t="str">
        <f>INDEX(Rankings!C$2:'Rankings'!C$1149,MATCH(SMALL(Rankings!H$2:'Rankings'!H$1000,ROW()),Rankings!H$2:'Rankings'!H$1000,0))</f>
        <v>Simone Lo Giudice</v>
      </c>
      <c r="C759" t="str">
        <f>INDEX(Rankings!C$2:'Rankings'!C$1149,MATCH(SMALL(Rankings!H$2:'Rankings'!H$1000,ROW()),Rankings!H$2:'Rankings'!H$1000,0))</f>
        <v>Simone Lo Giudice</v>
      </c>
      <c r="D759" t="str">
        <f>INDEX(Rankings!C$2:'Rankings'!C$1149,MATCH(SMALL(Rankings!H$2:'Rankings'!H$1000,ROW()),Rankings!H$2:'Rankings'!H$1000,0))</f>
        <v>Simone Lo Giudice</v>
      </c>
      <c r="G759" t="str">
        <f>INDEX(Rankings!C$2:'Rankings'!C$1149,MATCH(SMALL(Rankings!H$2:'Rankings'!H$1000,ROW()),Rankings!H$2:'Rankings'!H$1000,0))</f>
        <v>Simone Lo Giudice</v>
      </c>
    </row>
    <row r="760" spans="2:7" hidden="1" outlineLevel="1" x14ac:dyDescent="0.25">
      <c r="B760" t="str">
        <f>INDEX(Rankings!C$2:'Rankings'!C$1149,MATCH(SMALL(Rankings!H$2:'Rankings'!H$1000,ROW()),Rankings!H$2:'Rankings'!H$1000,0))</f>
        <v>Simone Nonnis</v>
      </c>
      <c r="C760" t="str">
        <f>INDEX(Rankings!C$2:'Rankings'!C$1149,MATCH(SMALL(Rankings!H$2:'Rankings'!H$1000,ROW()),Rankings!H$2:'Rankings'!H$1000,0))</f>
        <v>Simone Nonnis</v>
      </c>
      <c r="D760" t="str">
        <f>INDEX(Rankings!C$2:'Rankings'!C$1149,MATCH(SMALL(Rankings!H$2:'Rankings'!H$1000,ROW()),Rankings!H$2:'Rankings'!H$1000,0))</f>
        <v>Simone Nonnis</v>
      </c>
      <c r="G760" t="str">
        <f>INDEX(Rankings!C$2:'Rankings'!C$1149,MATCH(SMALL(Rankings!H$2:'Rankings'!H$1000,ROW()),Rankings!H$2:'Rankings'!H$1000,0))</f>
        <v>Simone Nonnis</v>
      </c>
    </row>
    <row r="761" spans="2:7" hidden="1" outlineLevel="1" x14ac:dyDescent="0.25">
      <c r="B761" t="str">
        <f>INDEX(Rankings!C$2:'Rankings'!C$1149,MATCH(SMALL(Rankings!H$2:'Rankings'!H$1000,ROW()),Rankings!H$2:'Rankings'!H$1000,0))</f>
        <v>Skippy Jammer</v>
      </c>
      <c r="C761" t="str">
        <f>INDEX(Rankings!C$2:'Rankings'!C$1149,MATCH(SMALL(Rankings!H$2:'Rankings'!H$1000,ROW()),Rankings!H$2:'Rankings'!H$1000,0))</f>
        <v>Skippy Jammer</v>
      </c>
      <c r="D761" t="str">
        <f>INDEX(Rankings!C$2:'Rankings'!C$1149,MATCH(SMALL(Rankings!H$2:'Rankings'!H$1000,ROW()),Rankings!H$2:'Rankings'!H$1000,0))</f>
        <v>Skippy Jammer</v>
      </c>
      <c r="G761" t="str">
        <f>INDEX(Rankings!C$2:'Rankings'!C$1149,MATCH(SMALL(Rankings!H$2:'Rankings'!H$1000,ROW()),Rankings!H$2:'Rankings'!H$1000,0))</f>
        <v>Skippy Jammer</v>
      </c>
    </row>
    <row r="762" spans="2:7" hidden="1" outlineLevel="1" x14ac:dyDescent="0.25">
      <c r="B762" t="str">
        <f>INDEX(Rankings!C$2:'Rankings'!C$1149,MATCH(SMALL(Rankings!H$2:'Rankings'!H$1000,ROW()),Rankings!H$2:'Rankings'!H$1000,0))</f>
        <v>Sophie Rickers</v>
      </c>
      <c r="C762" t="str">
        <f>INDEX(Rankings!C$2:'Rankings'!C$1149,MATCH(SMALL(Rankings!H$2:'Rankings'!H$1000,ROW()),Rankings!H$2:'Rankings'!H$1000,0))</f>
        <v>Sophie Rickers</v>
      </c>
      <c r="D762" t="str">
        <f>INDEX(Rankings!C$2:'Rankings'!C$1149,MATCH(SMALL(Rankings!H$2:'Rankings'!H$1000,ROW()),Rankings!H$2:'Rankings'!H$1000,0))</f>
        <v>Sophie Rickers</v>
      </c>
      <c r="G762" t="str">
        <f>INDEX(Rankings!C$2:'Rankings'!C$1149,MATCH(SMALL(Rankings!H$2:'Rankings'!H$1000,ROW()),Rankings!H$2:'Rankings'!H$1000,0))</f>
        <v>Sophie Rickers</v>
      </c>
    </row>
    <row r="763" spans="2:7" hidden="1" outlineLevel="1" x14ac:dyDescent="0.25">
      <c r="B763" t="str">
        <f>INDEX(Rankings!C$2:'Rankings'!C$1149,MATCH(SMALL(Rankings!H$2:'Rankings'!H$1000,ROW()),Rankings!H$2:'Rankings'!H$1000,0))</f>
        <v>Sophie Wolf</v>
      </c>
      <c r="C763" t="str">
        <f>INDEX(Rankings!C$2:'Rankings'!C$1149,MATCH(SMALL(Rankings!H$2:'Rankings'!H$1000,ROW()),Rankings!H$2:'Rankings'!H$1000,0))</f>
        <v>Sophie Wolf</v>
      </c>
      <c r="D763" t="str">
        <f>INDEX(Rankings!C$2:'Rankings'!C$1149,MATCH(SMALL(Rankings!H$2:'Rankings'!H$1000,ROW()),Rankings!H$2:'Rankings'!H$1000,0))</f>
        <v>Sophie Wolf</v>
      </c>
      <c r="G763" t="str">
        <f>INDEX(Rankings!C$2:'Rankings'!C$1149,MATCH(SMALL(Rankings!H$2:'Rankings'!H$1000,ROW()),Rankings!H$2:'Rankings'!H$1000,0))</f>
        <v>Sophie Wolf</v>
      </c>
    </row>
    <row r="764" spans="2:7" hidden="1" outlineLevel="1" x14ac:dyDescent="0.25">
      <c r="B764" t="str">
        <f>INDEX(Rankings!C$2:'Rankings'!C$1149,MATCH(SMALL(Rankings!H$2:'Rankings'!H$1000,ROW()),Rankings!H$2:'Rankings'!H$1000,0))</f>
        <v>Sören Dietrich</v>
      </c>
      <c r="C764" t="str">
        <f>INDEX(Rankings!C$2:'Rankings'!C$1149,MATCH(SMALL(Rankings!H$2:'Rankings'!H$1000,ROW()),Rankings!H$2:'Rankings'!H$1000,0))</f>
        <v>Sören Dietrich</v>
      </c>
      <c r="D764" t="str">
        <f>INDEX(Rankings!C$2:'Rankings'!C$1149,MATCH(SMALL(Rankings!H$2:'Rankings'!H$1000,ROW()),Rankings!H$2:'Rankings'!H$1000,0))</f>
        <v>Sören Dietrich</v>
      </c>
      <c r="G764" t="str">
        <f>INDEX(Rankings!C$2:'Rankings'!C$1149,MATCH(SMALL(Rankings!H$2:'Rankings'!H$1000,ROW()),Rankings!H$2:'Rankings'!H$1000,0))</f>
        <v>Sören Dietrich</v>
      </c>
    </row>
    <row r="765" spans="2:7" hidden="1" outlineLevel="1" x14ac:dyDescent="0.25">
      <c r="B765" t="str">
        <f>INDEX(Rankings!C$2:'Rankings'!C$1149,MATCH(SMALL(Rankings!H$2:'Rankings'!H$1000,ROW()),Rankings!H$2:'Rankings'!H$1000,0))</f>
        <v>Spencer Herrick</v>
      </c>
      <c r="C765" t="str">
        <f>INDEX(Rankings!C$2:'Rankings'!C$1149,MATCH(SMALL(Rankings!H$2:'Rankings'!H$1000,ROW()),Rankings!H$2:'Rankings'!H$1000,0))</f>
        <v>Spencer Herrick</v>
      </c>
      <c r="D765" t="str">
        <f>INDEX(Rankings!C$2:'Rankings'!C$1149,MATCH(SMALL(Rankings!H$2:'Rankings'!H$1000,ROW()),Rankings!H$2:'Rankings'!H$1000,0))</f>
        <v>Spencer Herrick</v>
      </c>
      <c r="G765" t="str">
        <f>INDEX(Rankings!C$2:'Rankings'!C$1149,MATCH(SMALL(Rankings!H$2:'Rankings'!H$1000,ROW()),Rankings!H$2:'Rankings'!H$1000,0))</f>
        <v>Spencer Herrick</v>
      </c>
    </row>
    <row r="766" spans="2:7" hidden="1" outlineLevel="1" x14ac:dyDescent="0.25">
      <c r="B766" t="str">
        <f>INDEX(Rankings!C$2:'Rankings'!C$1149,MATCH(SMALL(Rankings!H$2:'Rankings'!H$1000,ROW()),Rankings!H$2:'Rankings'!H$1000,0))</f>
        <v>Stefan Dünkel</v>
      </c>
      <c r="C766" t="str">
        <f>INDEX(Rankings!C$2:'Rankings'!C$1149,MATCH(SMALL(Rankings!H$2:'Rankings'!H$1000,ROW()),Rankings!H$2:'Rankings'!H$1000,0))</f>
        <v>Stefan Dünkel</v>
      </c>
      <c r="D766" t="str">
        <f>INDEX(Rankings!C$2:'Rankings'!C$1149,MATCH(SMALL(Rankings!H$2:'Rankings'!H$1000,ROW()),Rankings!H$2:'Rankings'!H$1000,0))</f>
        <v>Stefan Dünkel</v>
      </c>
      <c r="G766" t="str">
        <f>INDEX(Rankings!C$2:'Rankings'!C$1149,MATCH(SMALL(Rankings!H$2:'Rankings'!H$1000,ROW()),Rankings!H$2:'Rankings'!H$1000,0))</f>
        <v>Stefan Dünkel</v>
      </c>
    </row>
    <row r="767" spans="2:7" hidden="1" outlineLevel="1" x14ac:dyDescent="0.25">
      <c r="B767" t="str">
        <f>INDEX(Rankings!C$2:'Rankings'!C$1149,MATCH(SMALL(Rankings!H$2:'Rankings'!H$1000,ROW()),Rankings!H$2:'Rankings'!H$1000,0))</f>
        <v>Stefan Frehland</v>
      </c>
      <c r="C767" t="str">
        <f>INDEX(Rankings!C$2:'Rankings'!C$1149,MATCH(SMALL(Rankings!H$2:'Rankings'!H$1000,ROW()),Rankings!H$2:'Rankings'!H$1000,0))</f>
        <v>Stefan Frehland</v>
      </c>
      <c r="D767" t="str">
        <f>INDEX(Rankings!C$2:'Rankings'!C$1149,MATCH(SMALL(Rankings!H$2:'Rankings'!H$1000,ROW()),Rankings!H$2:'Rankings'!H$1000,0))</f>
        <v>Stefan Frehland</v>
      </c>
      <c r="G767" t="str">
        <f>INDEX(Rankings!C$2:'Rankings'!C$1149,MATCH(SMALL(Rankings!H$2:'Rankings'!H$1000,ROW()),Rankings!H$2:'Rankings'!H$1000,0))</f>
        <v>Stefan Frehland</v>
      </c>
    </row>
    <row r="768" spans="2:7" hidden="1" outlineLevel="1" x14ac:dyDescent="0.25">
      <c r="B768" t="str">
        <f>INDEX(Rankings!C$2:'Rankings'!C$1149,MATCH(SMALL(Rankings!H$2:'Rankings'!H$1000,ROW()),Rankings!H$2:'Rankings'!H$1000,0))</f>
        <v>Stefan Karlsson</v>
      </c>
      <c r="C768" t="str">
        <f>INDEX(Rankings!C$2:'Rankings'!C$1149,MATCH(SMALL(Rankings!H$2:'Rankings'!H$1000,ROW()),Rankings!H$2:'Rankings'!H$1000,0))</f>
        <v>Stefan Karlsson</v>
      </c>
      <c r="D768" t="str">
        <f>INDEX(Rankings!C$2:'Rankings'!C$1149,MATCH(SMALL(Rankings!H$2:'Rankings'!H$1000,ROW()),Rankings!H$2:'Rankings'!H$1000,0))</f>
        <v>Stefan Karlsson</v>
      </c>
      <c r="G768" t="str">
        <f>INDEX(Rankings!C$2:'Rankings'!C$1149,MATCH(SMALL(Rankings!H$2:'Rankings'!H$1000,ROW()),Rankings!H$2:'Rankings'!H$1000,0))</f>
        <v>Stefan Karlsson</v>
      </c>
    </row>
    <row r="769" spans="2:7" hidden="1" outlineLevel="1" x14ac:dyDescent="0.25">
      <c r="B769" t="str">
        <f>INDEX(Rankings!C$2:'Rankings'!C$1149,MATCH(SMALL(Rankings!H$2:'Rankings'!H$1000,ROW()),Rankings!H$2:'Rankings'!H$1000,0))</f>
        <v>Stefan Siegert</v>
      </c>
      <c r="C769" t="str">
        <f>INDEX(Rankings!C$2:'Rankings'!C$1149,MATCH(SMALL(Rankings!H$2:'Rankings'!H$1000,ROW()),Rankings!H$2:'Rankings'!H$1000,0))</f>
        <v>Stefan Siegert</v>
      </c>
      <c r="D769" t="str">
        <f>INDEX(Rankings!C$2:'Rankings'!C$1149,MATCH(SMALL(Rankings!H$2:'Rankings'!H$1000,ROW()),Rankings!H$2:'Rankings'!H$1000,0))</f>
        <v>Stefan Siegert</v>
      </c>
      <c r="G769" t="str">
        <f>INDEX(Rankings!C$2:'Rankings'!C$1149,MATCH(SMALL(Rankings!H$2:'Rankings'!H$1000,ROW()),Rankings!H$2:'Rankings'!H$1000,0))</f>
        <v>Stefan Siegert</v>
      </c>
    </row>
    <row r="770" spans="2:7" hidden="1" outlineLevel="1" x14ac:dyDescent="0.25">
      <c r="B770" t="str">
        <f>INDEX(Rankings!C$2:'Rankings'!C$1149,MATCH(SMALL(Rankings!H$2:'Rankings'!H$1000,ROW()),Rankings!H$2:'Rankings'!H$1000,0))</f>
        <v>Stefanie Klos</v>
      </c>
      <c r="C770" t="str">
        <f>INDEX(Rankings!C$2:'Rankings'!C$1149,MATCH(SMALL(Rankings!H$2:'Rankings'!H$1000,ROW()),Rankings!H$2:'Rankings'!H$1000,0))</f>
        <v>Stefanie Klos</v>
      </c>
      <c r="D770" t="str">
        <f>INDEX(Rankings!C$2:'Rankings'!C$1149,MATCH(SMALL(Rankings!H$2:'Rankings'!H$1000,ROW()),Rankings!H$2:'Rankings'!H$1000,0))</f>
        <v>Stefanie Klos</v>
      </c>
      <c r="G770" t="str">
        <f>INDEX(Rankings!C$2:'Rankings'!C$1149,MATCH(SMALL(Rankings!H$2:'Rankings'!H$1000,ROW()),Rankings!H$2:'Rankings'!H$1000,0))</f>
        <v>Stefanie Klos</v>
      </c>
    </row>
    <row r="771" spans="2:7" hidden="1" outlineLevel="1" x14ac:dyDescent="0.25">
      <c r="B771" t="str">
        <f>INDEX(Rankings!C$2:'Rankings'!C$1149,MATCH(SMALL(Rankings!H$2:'Rankings'!H$1000,ROW()),Rankings!H$2:'Rankings'!H$1000,0))</f>
        <v>Stefano Bellucci Sessa</v>
      </c>
      <c r="C771" t="str">
        <f>INDEX(Rankings!C$2:'Rankings'!C$1149,MATCH(SMALL(Rankings!H$2:'Rankings'!H$1000,ROW()),Rankings!H$2:'Rankings'!H$1000,0))</f>
        <v>Stefano Bellucci Sessa</v>
      </c>
      <c r="D771" t="str">
        <f>INDEX(Rankings!C$2:'Rankings'!C$1149,MATCH(SMALL(Rankings!H$2:'Rankings'!H$1000,ROW()),Rankings!H$2:'Rankings'!H$1000,0))</f>
        <v>Stefano Bellucci Sessa</v>
      </c>
      <c r="G771" t="str">
        <f>INDEX(Rankings!C$2:'Rankings'!C$1149,MATCH(SMALL(Rankings!H$2:'Rankings'!H$1000,ROW()),Rankings!H$2:'Rankings'!H$1000,0))</f>
        <v>Stefano Bellucci Sessa</v>
      </c>
    </row>
    <row r="772" spans="2:7" hidden="1" outlineLevel="1" x14ac:dyDescent="0.25">
      <c r="B772" t="str">
        <f>INDEX(Rankings!C$2:'Rankings'!C$1149,MATCH(SMALL(Rankings!H$2:'Rankings'!H$1000,ROW()),Rankings!H$2:'Rankings'!H$1000,0))</f>
        <v>Stefano Brancaleoni</v>
      </c>
      <c r="C772" t="str">
        <f>INDEX(Rankings!C$2:'Rankings'!C$1149,MATCH(SMALL(Rankings!H$2:'Rankings'!H$1000,ROW()),Rankings!H$2:'Rankings'!H$1000,0))</f>
        <v>Stefano Brancaleoni</v>
      </c>
      <c r="D772" t="str">
        <f>INDEX(Rankings!C$2:'Rankings'!C$1149,MATCH(SMALL(Rankings!H$2:'Rankings'!H$1000,ROW()),Rankings!H$2:'Rankings'!H$1000,0))</f>
        <v>Stefano Brancaleoni</v>
      </c>
      <c r="G772" t="str">
        <f>INDEX(Rankings!C$2:'Rankings'!C$1149,MATCH(SMALL(Rankings!H$2:'Rankings'!H$1000,ROW()),Rankings!H$2:'Rankings'!H$1000,0))</f>
        <v>Stefano Brancaleoni</v>
      </c>
    </row>
    <row r="773" spans="2:7" hidden="1" outlineLevel="1" x14ac:dyDescent="0.25">
      <c r="B773" t="str">
        <f>INDEX(Rankings!C$2:'Rankings'!C$1149,MATCH(SMALL(Rankings!H$2:'Rankings'!H$1000,ROW()),Rankings!H$2:'Rankings'!H$1000,0))</f>
        <v>Stefano Maroli</v>
      </c>
      <c r="C773" t="str">
        <f>INDEX(Rankings!C$2:'Rankings'!C$1149,MATCH(SMALL(Rankings!H$2:'Rankings'!H$1000,ROW()),Rankings!H$2:'Rankings'!H$1000,0))</f>
        <v>Stefano Maroli</v>
      </c>
      <c r="D773" t="str">
        <f>INDEX(Rankings!C$2:'Rankings'!C$1149,MATCH(SMALL(Rankings!H$2:'Rankings'!H$1000,ROW()),Rankings!H$2:'Rankings'!H$1000,0))</f>
        <v>Stefano Maroli</v>
      </c>
      <c r="G773" t="str">
        <f>INDEX(Rankings!C$2:'Rankings'!C$1149,MATCH(SMALL(Rankings!H$2:'Rankings'!H$1000,ROW()),Rankings!H$2:'Rankings'!H$1000,0))</f>
        <v>Stefano Maroli</v>
      </c>
    </row>
    <row r="774" spans="2:7" hidden="1" outlineLevel="1" x14ac:dyDescent="0.25">
      <c r="B774" t="str">
        <f>INDEX(Rankings!C$2:'Rankings'!C$1149,MATCH(SMALL(Rankings!H$2:'Rankings'!H$1000,ROW()),Rankings!H$2:'Rankings'!H$1000,0))</f>
        <v>Stefano Pieroni</v>
      </c>
      <c r="C774" t="str">
        <f>INDEX(Rankings!C$2:'Rankings'!C$1149,MATCH(SMALL(Rankings!H$2:'Rankings'!H$1000,ROW()),Rankings!H$2:'Rankings'!H$1000,0))</f>
        <v>Stefano Pieroni</v>
      </c>
      <c r="D774" t="str">
        <f>INDEX(Rankings!C$2:'Rankings'!C$1149,MATCH(SMALL(Rankings!H$2:'Rankings'!H$1000,ROW()),Rankings!H$2:'Rankings'!H$1000,0))</f>
        <v>Stefano Pieroni</v>
      </c>
      <c r="G774" t="str">
        <f>INDEX(Rankings!C$2:'Rankings'!C$1149,MATCH(SMALL(Rankings!H$2:'Rankings'!H$1000,ROW()),Rankings!H$2:'Rankings'!H$1000,0))</f>
        <v>Stefano Pieroni</v>
      </c>
    </row>
    <row r="775" spans="2:7" hidden="1" outlineLevel="1" x14ac:dyDescent="0.25">
      <c r="B775" t="str">
        <f>INDEX(Rankings!C$2:'Rankings'!C$1149,MATCH(SMALL(Rankings!H$2:'Rankings'!H$1000,ROW()),Rankings!H$2:'Rankings'!H$1000,0))</f>
        <v>Steffen Verstichelen</v>
      </c>
      <c r="C775" t="str">
        <f>INDEX(Rankings!C$2:'Rankings'!C$1149,MATCH(SMALL(Rankings!H$2:'Rankings'!H$1000,ROW()),Rankings!H$2:'Rankings'!H$1000,0))</f>
        <v>Steffen Verstichelen</v>
      </c>
      <c r="D775" t="str">
        <f>INDEX(Rankings!C$2:'Rankings'!C$1149,MATCH(SMALL(Rankings!H$2:'Rankings'!H$1000,ROW()),Rankings!H$2:'Rankings'!H$1000,0))</f>
        <v>Steffen Verstichelen</v>
      </c>
      <c r="G775" t="str">
        <f>INDEX(Rankings!C$2:'Rankings'!C$1149,MATCH(SMALL(Rankings!H$2:'Rankings'!H$1000,ROW()),Rankings!H$2:'Rankings'!H$1000,0))</f>
        <v>Steffen Verstichelen</v>
      </c>
    </row>
    <row r="776" spans="2:7" hidden="1" outlineLevel="1" x14ac:dyDescent="0.25">
      <c r="B776" t="str">
        <f>INDEX(Rankings!C$2:'Rankings'!C$1149,MATCH(SMALL(Rankings!H$2:'Rankings'!H$1000,ROW()),Rankings!H$2:'Rankings'!H$1000,0))</f>
        <v>Sten Sturefeldt</v>
      </c>
      <c r="C776" t="str">
        <f>INDEX(Rankings!C$2:'Rankings'!C$1149,MATCH(SMALL(Rankings!H$2:'Rankings'!H$1000,ROW()),Rankings!H$2:'Rankings'!H$1000,0))</f>
        <v>Sten Sturefeldt</v>
      </c>
      <c r="D776" t="str">
        <f>INDEX(Rankings!C$2:'Rankings'!C$1149,MATCH(SMALL(Rankings!H$2:'Rankings'!H$1000,ROW()),Rankings!H$2:'Rankings'!H$1000,0))</f>
        <v>Sten Sturefeldt</v>
      </c>
      <c r="G776" t="str">
        <f>INDEX(Rankings!C$2:'Rankings'!C$1149,MATCH(SMALL(Rankings!H$2:'Rankings'!H$1000,ROW()),Rankings!H$2:'Rankings'!H$1000,0))</f>
        <v>Sten Sturefeldt</v>
      </c>
    </row>
    <row r="777" spans="2:7" hidden="1" outlineLevel="1" x14ac:dyDescent="0.25">
      <c r="B777" t="str">
        <f>INDEX(Rankings!C$2:'Rankings'!C$1149,MATCH(SMALL(Rankings!H$2:'Rankings'!H$1000,ROW()),Rankings!H$2:'Rankings'!H$1000,0))</f>
        <v>Stepan Materna</v>
      </c>
      <c r="C777" t="str">
        <f>INDEX(Rankings!C$2:'Rankings'!C$1149,MATCH(SMALL(Rankings!H$2:'Rankings'!H$1000,ROW()),Rankings!H$2:'Rankings'!H$1000,0))</f>
        <v>Stepan Materna</v>
      </c>
      <c r="D777" t="str">
        <f>INDEX(Rankings!C$2:'Rankings'!C$1149,MATCH(SMALL(Rankings!H$2:'Rankings'!H$1000,ROW()),Rankings!H$2:'Rankings'!H$1000,0))</f>
        <v>Stepan Materna</v>
      </c>
      <c r="G777" t="str">
        <f>INDEX(Rankings!C$2:'Rankings'!C$1149,MATCH(SMALL(Rankings!H$2:'Rankings'!H$1000,ROW()),Rankings!H$2:'Rankings'!H$1000,0))</f>
        <v>Stepan Materna</v>
      </c>
    </row>
    <row r="778" spans="2:7" hidden="1" outlineLevel="1" x14ac:dyDescent="0.25">
      <c r="B778" t="str">
        <f>INDEX(Rankings!C$2:'Rankings'!C$1149,MATCH(SMALL(Rankings!H$2:'Rankings'!H$1000,ROW()),Rankings!H$2:'Rankings'!H$1000,0))</f>
        <v>Stephan Stoll</v>
      </c>
      <c r="C778" t="str">
        <f>INDEX(Rankings!C$2:'Rankings'!C$1149,MATCH(SMALL(Rankings!H$2:'Rankings'!H$1000,ROW()),Rankings!H$2:'Rankings'!H$1000,0))</f>
        <v>Stephan Stoll</v>
      </c>
      <c r="D778" t="str">
        <f>INDEX(Rankings!C$2:'Rankings'!C$1149,MATCH(SMALL(Rankings!H$2:'Rankings'!H$1000,ROW()),Rankings!H$2:'Rankings'!H$1000,0))</f>
        <v>Stephan Stoll</v>
      </c>
      <c r="G778" t="str">
        <f>INDEX(Rankings!C$2:'Rankings'!C$1149,MATCH(SMALL(Rankings!H$2:'Rankings'!H$1000,ROW()),Rankings!H$2:'Rankings'!H$1000,0))</f>
        <v>Stephan Stoll</v>
      </c>
    </row>
    <row r="779" spans="2:7" hidden="1" outlineLevel="1" x14ac:dyDescent="0.25">
      <c r="B779" t="str">
        <f>INDEX(Rankings!C$2:'Rankings'!C$1149,MATCH(SMALL(Rankings!H$2:'Rankings'!H$1000,ROW()),Rankings!H$2:'Rankings'!H$1000,0))</f>
        <v>Stephanie Chan</v>
      </c>
      <c r="C779" t="str">
        <f>INDEX(Rankings!C$2:'Rankings'!C$1149,MATCH(SMALL(Rankings!H$2:'Rankings'!H$1000,ROW()),Rankings!H$2:'Rankings'!H$1000,0))</f>
        <v>Stephanie Chan</v>
      </c>
      <c r="D779" t="str">
        <f>INDEX(Rankings!C$2:'Rankings'!C$1149,MATCH(SMALL(Rankings!H$2:'Rankings'!H$1000,ROW()),Rankings!H$2:'Rankings'!H$1000,0))</f>
        <v>Stephanie Chan</v>
      </c>
      <c r="G779" t="str">
        <f>INDEX(Rankings!C$2:'Rankings'!C$1149,MATCH(SMALL(Rankings!H$2:'Rankings'!H$1000,ROW()),Rankings!H$2:'Rankings'!H$1000,0))</f>
        <v>Stephanie Chan</v>
      </c>
    </row>
    <row r="780" spans="2:7" hidden="1" outlineLevel="1" x14ac:dyDescent="0.25">
      <c r="B780" t="str">
        <f>INDEX(Rankings!C$2:'Rankings'!C$1149,MATCH(SMALL(Rankings!H$2:'Rankings'!H$1000,ROW()),Rankings!H$2:'Rankings'!H$1000,0))</f>
        <v>Steve Hanes</v>
      </c>
      <c r="C780" t="str">
        <f>INDEX(Rankings!C$2:'Rankings'!C$1149,MATCH(SMALL(Rankings!H$2:'Rankings'!H$1000,ROW()),Rankings!H$2:'Rankings'!H$1000,0))</f>
        <v>Steve Hanes</v>
      </c>
      <c r="D780" t="str">
        <f>INDEX(Rankings!C$2:'Rankings'!C$1149,MATCH(SMALL(Rankings!H$2:'Rankings'!H$1000,ROW()),Rankings!H$2:'Rankings'!H$1000,0))</f>
        <v>Steve Hanes</v>
      </c>
      <c r="G780" t="str">
        <f>INDEX(Rankings!C$2:'Rankings'!C$1149,MATCH(SMALL(Rankings!H$2:'Rankings'!H$1000,ROW()),Rankings!H$2:'Rankings'!H$1000,0))</f>
        <v>Steve Hanes</v>
      </c>
    </row>
    <row r="781" spans="2:7" hidden="1" outlineLevel="1" x14ac:dyDescent="0.25">
      <c r="B781" t="str">
        <f>INDEX(Rankings!C$2:'Rankings'!C$1149,MATCH(SMALL(Rankings!H$2:'Rankings'!H$1000,ROW()),Rankings!H$2:'Rankings'!H$1000,0))</f>
        <v>Steve Hays</v>
      </c>
      <c r="C781" t="str">
        <f>INDEX(Rankings!C$2:'Rankings'!C$1149,MATCH(SMALL(Rankings!H$2:'Rankings'!H$1000,ROW()),Rankings!H$2:'Rankings'!H$1000,0))</f>
        <v>Steve Hays</v>
      </c>
      <c r="D781" t="str">
        <f>INDEX(Rankings!C$2:'Rankings'!C$1149,MATCH(SMALL(Rankings!H$2:'Rankings'!H$1000,ROW()),Rankings!H$2:'Rankings'!H$1000,0))</f>
        <v>Steve Hays</v>
      </c>
      <c r="G781" t="str">
        <f>INDEX(Rankings!C$2:'Rankings'!C$1149,MATCH(SMALL(Rankings!H$2:'Rankings'!H$1000,ROW()),Rankings!H$2:'Rankings'!H$1000,0))</f>
        <v>Steve Hays</v>
      </c>
    </row>
    <row r="782" spans="2:7" hidden="1" outlineLevel="1" x14ac:dyDescent="0.25">
      <c r="B782" t="str">
        <f>INDEX(Rankings!C$2:'Rankings'!C$1149,MATCH(SMALL(Rankings!H$2:'Rankings'!H$1000,ROW()),Rankings!H$2:'Rankings'!H$1000,0))</f>
        <v>Steve Hubbard</v>
      </c>
      <c r="C782" t="str">
        <f>INDEX(Rankings!C$2:'Rankings'!C$1149,MATCH(SMALL(Rankings!H$2:'Rankings'!H$1000,ROW()),Rankings!H$2:'Rankings'!H$1000,0))</f>
        <v>Steve Hubbard</v>
      </c>
      <c r="D782" t="str">
        <f>INDEX(Rankings!C$2:'Rankings'!C$1149,MATCH(SMALL(Rankings!H$2:'Rankings'!H$1000,ROW()),Rankings!H$2:'Rankings'!H$1000,0))</f>
        <v>Steve Hubbard</v>
      </c>
      <c r="G782" t="str">
        <f>INDEX(Rankings!C$2:'Rankings'!C$1149,MATCH(SMALL(Rankings!H$2:'Rankings'!H$1000,ROW()),Rankings!H$2:'Rankings'!H$1000,0))</f>
        <v>Steve Hubbard</v>
      </c>
    </row>
    <row r="783" spans="2:7" hidden="1" outlineLevel="1" x14ac:dyDescent="0.25">
      <c r="B783" t="str">
        <f>INDEX(Rankings!C$2:'Rankings'!C$1149,MATCH(SMALL(Rankings!H$2:'Rankings'!H$1000,ROW()),Rankings!H$2:'Rankings'!H$1000,0))</f>
        <v>Steve Jennings</v>
      </c>
      <c r="C783" t="str">
        <f>INDEX(Rankings!C$2:'Rankings'!C$1149,MATCH(SMALL(Rankings!H$2:'Rankings'!H$1000,ROW()),Rankings!H$2:'Rankings'!H$1000,0))</f>
        <v>Steve Jennings</v>
      </c>
      <c r="D783" t="str">
        <f>INDEX(Rankings!C$2:'Rankings'!C$1149,MATCH(SMALL(Rankings!H$2:'Rankings'!H$1000,ROW()),Rankings!H$2:'Rankings'!H$1000,0))</f>
        <v>Steve Jennings</v>
      </c>
      <c r="G783" t="str">
        <f>INDEX(Rankings!C$2:'Rankings'!C$1149,MATCH(SMALL(Rankings!H$2:'Rankings'!H$1000,ROW()),Rankings!H$2:'Rankings'!H$1000,0))</f>
        <v>Steve Jennings</v>
      </c>
    </row>
    <row r="784" spans="2:7" hidden="1" outlineLevel="1" x14ac:dyDescent="0.25">
      <c r="B784" t="str">
        <f>INDEX(Rankings!C$2:'Rankings'!C$1149,MATCH(SMALL(Rankings!H$2:'Rankings'!H$1000,ROW()),Rankings!H$2:'Rankings'!H$1000,0))</f>
        <v>Steve Rhodes</v>
      </c>
      <c r="C784" t="str">
        <f>INDEX(Rankings!C$2:'Rankings'!C$1149,MATCH(SMALL(Rankings!H$2:'Rankings'!H$1000,ROW()),Rankings!H$2:'Rankings'!H$1000,0))</f>
        <v>Steve Rhodes</v>
      </c>
      <c r="D784" t="str">
        <f>INDEX(Rankings!C$2:'Rankings'!C$1149,MATCH(SMALL(Rankings!H$2:'Rankings'!H$1000,ROW()),Rankings!H$2:'Rankings'!H$1000,0))</f>
        <v>Steve Rhodes</v>
      </c>
      <c r="G784" t="str">
        <f>INDEX(Rankings!C$2:'Rankings'!C$1149,MATCH(SMALL(Rankings!H$2:'Rankings'!H$1000,ROW()),Rankings!H$2:'Rankings'!H$1000,0))</f>
        <v>Steve Rhodes</v>
      </c>
    </row>
    <row r="785" spans="2:7" hidden="1" outlineLevel="1" x14ac:dyDescent="0.25">
      <c r="B785" t="str">
        <f>INDEX(Rankings!C$2:'Rankings'!C$1149,MATCH(SMALL(Rankings!H$2:'Rankings'!H$1000,ROW()),Rankings!H$2:'Rankings'!H$1000,0))</f>
        <v>Steve Scannell</v>
      </c>
      <c r="C785" t="str">
        <f>INDEX(Rankings!C$2:'Rankings'!C$1149,MATCH(SMALL(Rankings!H$2:'Rankings'!H$1000,ROW()),Rankings!H$2:'Rankings'!H$1000,0))</f>
        <v>Steve Scannell</v>
      </c>
      <c r="D785" t="str">
        <f>INDEX(Rankings!C$2:'Rankings'!C$1149,MATCH(SMALL(Rankings!H$2:'Rankings'!H$1000,ROW()),Rankings!H$2:'Rankings'!H$1000,0))</f>
        <v>Steve Scannell</v>
      </c>
      <c r="G785" t="str">
        <f>INDEX(Rankings!C$2:'Rankings'!C$1149,MATCH(SMALL(Rankings!H$2:'Rankings'!H$1000,ROW()),Rankings!H$2:'Rankings'!H$1000,0))</f>
        <v>Steve Scannell</v>
      </c>
    </row>
    <row r="786" spans="2:7" hidden="1" outlineLevel="1" x14ac:dyDescent="0.25">
      <c r="B786" t="str">
        <f>INDEX(Rankings!C$2:'Rankings'!C$1149,MATCH(SMALL(Rankings!H$2:'Rankings'!H$1000,ROW()),Rankings!H$2:'Rankings'!H$1000,0))</f>
        <v>Steve Stotter</v>
      </c>
      <c r="C786" t="str">
        <f>INDEX(Rankings!C$2:'Rankings'!C$1149,MATCH(SMALL(Rankings!H$2:'Rankings'!H$1000,ROW()),Rankings!H$2:'Rankings'!H$1000,0))</f>
        <v>Steve Stotter</v>
      </c>
      <c r="D786" t="str">
        <f>INDEX(Rankings!C$2:'Rankings'!C$1149,MATCH(SMALL(Rankings!H$2:'Rankings'!H$1000,ROW()),Rankings!H$2:'Rankings'!H$1000,0))</f>
        <v>Steve Stotter</v>
      </c>
      <c r="G786" t="str">
        <f>INDEX(Rankings!C$2:'Rankings'!C$1149,MATCH(SMALL(Rankings!H$2:'Rankings'!H$1000,ROW()),Rankings!H$2:'Rankings'!H$1000,0))</f>
        <v>Steve Stotter</v>
      </c>
    </row>
    <row r="787" spans="2:7" hidden="1" outlineLevel="1" x14ac:dyDescent="0.25">
      <c r="B787" t="str">
        <f>INDEX(Rankings!C$2:'Rankings'!C$1149,MATCH(SMALL(Rankings!H$2:'Rankings'!H$1000,ROW()),Rankings!H$2:'Rankings'!H$1000,0))</f>
        <v>Stina Persson</v>
      </c>
      <c r="C787" t="str">
        <f>INDEX(Rankings!C$2:'Rankings'!C$1149,MATCH(SMALL(Rankings!H$2:'Rankings'!H$1000,ROW()),Rankings!H$2:'Rankings'!H$1000,0))</f>
        <v>Stina Persson</v>
      </c>
      <c r="D787" t="str">
        <f>INDEX(Rankings!C$2:'Rankings'!C$1149,MATCH(SMALL(Rankings!H$2:'Rankings'!H$1000,ROW()),Rankings!H$2:'Rankings'!H$1000,0))</f>
        <v>Stina Persson</v>
      </c>
      <c r="G787" t="str">
        <f>INDEX(Rankings!C$2:'Rankings'!C$1149,MATCH(SMALL(Rankings!H$2:'Rankings'!H$1000,ROW()),Rankings!H$2:'Rankings'!H$1000,0))</f>
        <v>Stina Persson</v>
      </c>
    </row>
    <row r="788" spans="2:7" hidden="1" outlineLevel="1" x14ac:dyDescent="0.25">
      <c r="B788" t="str">
        <f>INDEX(Rankings!C$2:'Rankings'!C$1149,MATCH(SMALL(Rankings!H$2:'Rankings'!H$1000,ROW()),Rankings!H$2:'Rankings'!H$1000,0))</f>
        <v>Stuart Landsee</v>
      </c>
      <c r="C788" t="str">
        <f>INDEX(Rankings!C$2:'Rankings'!C$1149,MATCH(SMALL(Rankings!H$2:'Rankings'!H$1000,ROW()),Rankings!H$2:'Rankings'!H$1000,0))</f>
        <v>Stuart Landsee</v>
      </c>
      <c r="D788" t="str">
        <f>INDEX(Rankings!C$2:'Rankings'!C$1149,MATCH(SMALL(Rankings!H$2:'Rankings'!H$1000,ROW()),Rankings!H$2:'Rankings'!H$1000,0))</f>
        <v>Stuart Landsee</v>
      </c>
      <c r="G788" t="str">
        <f>INDEX(Rankings!C$2:'Rankings'!C$1149,MATCH(SMALL(Rankings!H$2:'Rankings'!H$1000,ROW()),Rankings!H$2:'Rankings'!H$1000,0))</f>
        <v>Stuart Landsee</v>
      </c>
    </row>
    <row r="789" spans="2:7" hidden="1" outlineLevel="1" x14ac:dyDescent="0.25">
      <c r="B789" t="str">
        <f>INDEX(Rankings!C$2:'Rankings'!C$1149,MATCH(SMALL(Rankings!H$2:'Rankings'!H$1000,ROW()),Rankings!H$2:'Rankings'!H$1000,0))</f>
        <v>Sue Strait</v>
      </c>
      <c r="C789" t="str">
        <f>INDEX(Rankings!C$2:'Rankings'!C$1149,MATCH(SMALL(Rankings!H$2:'Rankings'!H$1000,ROW()),Rankings!H$2:'Rankings'!H$1000,0))</f>
        <v>Sue Strait</v>
      </c>
      <c r="D789" t="str">
        <f>INDEX(Rankings!C$2:'Rankings'!C$1149,MATCH(SMALL(Rankings!H$2:'Rankings'!H$1000,ROW()),Rankings!H$2:'Rankings'!H$1000,0))</f>
        <v>Sue Strait</v>
      </c>
      <c r="G789" t="str">
        <f>INDEX(Rankings!C$2:'Rankings'!C$1149,MATCH(SMALL(Rankings!H$2:'Rankings'!H$1000,ROW()),Rankings!H$2:'Rankings'!H$1000,0))</f>
        <v>Sue Strait</v>
      </c>
    </row>
    <row r="790" spans="2:7" hidden="1" outlineLevel="1" x14ac:dyDescent="0.25">
      <c r="B790" t="str">
        <f>INDEX(Rankings!C$2:'Rankings'!C$1149,MATCH(SMALL(Rankings!H$2:'Rankings'!H$1000,ROW()),Rankings!H$2:'Rankings'!H$1000,0))</f>
        <v>Susie Horn</v>
      </c>
      <c r="C790" t="str">
        <f>INDEX(Rankings!C$2:'Rankings'!C$1149,MATCH(SMALL(Rankings!H$2:'Rankings'!H$1000,ROW()),Rankings!H$2:'Rankings'!H$1000,0))</f>
        <v>Susie Horn</v>
      </c>
      <c r="D790" t="str">
        <f>INDEX(Rankings!C$2:'Rankings'!C$1149,MATCH(SMALL(Rankings!H$2:'Rankings'!H$1000,ROW()),Rankings!H$2:'Rankings'!H$1000,0))</f>
        <v>Susie Horn</v>
      </c>
      <c r="G790" t="str">
        <f>INDEX(Rankings!C$2:'Rankings'!C$1149,MATCH(SMALL(Rankings!H$2:'Rankings'!H$1000,ROW()),Rankings!H$2:'Rankings'!H$1000,0))</f>
        <v>Susie Horn</v>
      </c>
    </row>
    <row r="791" spans="2:7" hidden="1" outlineLevel="1" x14ac:dyDescent="0.25">
      <c r="B791" t="str">
        <f>INDEX(Rankings!C$2:'Rankings'!C$1149,MATCH(SMALL(Rankings!H$2:'Rankings'!H$1000,ROW()),Rankings!H$2:'Rankings'!H$1000,0))</f>
        <v>Sven Köhn</v>
      </c>
      <c r="C791" t="str">
        <f>INDEX(Rankings!C$2:'Rankings'!C$1149,MATCH(SMALL(Rankings!H$2:'Rankings'!H$1000,ROW()),Rankings!H$2:'Rankings'!H$1000,0))</f>
        <v>Sven Köhn</v>
      </c>
      <c r="D791" t="str">
        <f>INDEX(Rankings!C$2:'Rankings'!C$1149,MATCH(SMALL(Rankings!H$2:'Rankings'!H$1000,ROW()),Rankings!H$2:'Rankings'!H$1000,0))</f>
        <v>Sven Köhn</v>
      </c>
      <c r="G791" t="str">
        <f>INDEX(Rankings!C$2:'Rankings'!C$1149,MATCH(SMALL(Rankings!H$2:'Rankings'!H$1000,ROW()),Rankings!H$2:'Rankings'!H$1000,0))</f>
        <v>Sven Köhn</v>
      </c>
    </row>
    <row r="792" spans="2:7" hidden="1" outlineLevel="1" x14ac:dyDescent="0.25">
      <c r="B792" t="str">
        <f>INDEX(Rankings!C$2:'Rankings'!C$1149,MATCH(SMALL(Rankings!H$2:'Rankings'!H$1000,ROW()),Rankings!H$2:'Rankings'!H$1000,0))</f>
        <v>Syouri Oouchi</v>
      </c>
      <c r="C792" t="str">
        <f>INDEX(Rankings!C$2:'Rankings'!C$1149,MATCH(SMALL(Rankings!H$2:'Rankings'!H$1000,ROW()),Rankings!H$2:'Rankings'!H$1000,0))</f>
        <v>Syouri Oouchi</v>
      </c>
      <c r="D792" t="str">
        <f>INDEX(Rankings!C$2:'Rankings'!C$1149,MATCH(SMALL(Rankings!H$2:'Rankings'!H$1000,ROW()),Rankings!H$2:'Rankings'!H$1000,0))</f>
        <v>Syouri Oouchi</v>
      </c>
      <c r="G792" t="str">
        <f>INDEX(Rankings!C$2:'Rankings'!C$1149,MATCH(SMALL(Rankings!H$2:'Rankings'!H$1000,ROW()),Rankings!H$2:'Rankings'!H$1000,0))</f>
        <v>Syouri Oouchi</v>
      </c>
    </row>
    <row r="793" spans="2:7" hidden="1" outlineLevel="1" x14ac:dyDescent="0.25">
      <c r="B793" t="str">
        <f>INDEX(Rankings!C$2:'Rankings'!C$1149,MATCH(SMALL(Rankings!H$2:'Rankings'!H$1000,ROW()),Rankings!H$2:'Rankings'!H$1000,0))</f>
        <v>Syunnichi Noda</v>
      </c>
      <c r="C793" t="str">
        <f>INDEX(Rankings!C$2:'Rankings'!C$1149,MATCH(SMALL(Rankings!H$2:'Rankings'!H$1000,ROW()),Rankings!H$2:'Rankings'!H$1000,0))</f>
        <v>Syunnichi Noda</v>
      </c>
      <c r="D793" t="str">
        <f>INDEX(Rankings!C$2:'Rankings'!C$1149,MATCH(SMALL(Rankings!H$2:'Rankings'!H$1000,ROW()),Rankings!H$2:'Rankings'!H$1000,0))</f>
        <v>Syunnichi Noda</v>
      </c>
      <c r="G793" t="str">
        <f>INDEX(Rankings!C$2:'Rankings'!C$1149,MATCH(SMALL(Rankings!H$2:'Rankings'!H$1000,ROW()),Rankings!H$2:'Rankings'!H$1000,0))</f>
        <v>Syunnichi Noda</v>
      </c>
    </row>
    <row r="794" spans="2:7" hidden="1" outlineLevel="1" x14ac:dyDescent="0.25">
      <c r="B794" t="str">
        <f>INDEX(Rankings!C$2:'Rankings'!C$1149,MATCH(SMALL(Rankings!H$2:'Rankings'!H$1000,ROW()),Rankings!H$2:'Rankings'!H$1000,0))</f>
        <v>Takahiko Yamamoto</v>
      </c>
      <c r="C794" t="str">
        <f>INDEX(Rankings!C$2:'Rankings'!C$1149,MATCH(SMALL(Rankings!H$2:'Rankings'!H$1000,ROW()),Rankings!H$2:'Rankings'!H$1000,0))</f>
        <v>Takahiko Yamamoto</v>
      </c>
      <c r="D794" t="str">
        <f>INDEX(Rankings!C$2:'Rankings'!C$1149,MATCH(SMALL(Rankings!H$2:'Rankings'!H$1000,ROW()),Rankings!H$2:'Rankings'!H$1000,0))</f>
        <v>Takahiko Yamamoto</v>
      </c>
      <c r="G794" t="str">
        <f>INDEX(Rankings!C$2:'Rankings'!C$1149,MATCH(SMALL(Rankings!H$2:'Rankings'!H$1000,ROW()),Rankings!H$2:'Rankings'!H$1000,0))</f>
        <v>Takahiko Yamamoto</v>
      </c>
    </row>
    <row r="795" spans="2:7" hidden="1" outlineLevel="1" x14ac:dyDescent="0.25">
      <c r="B795" t="str">
        <f>INDEX(Rankings!C$2:'Rankings'!C$1149,MATCH(SMALL(Rankings!H$2:'Rankings'!H$1000,ROW()),Rankings!H$2:'Rankings'!H$1000,0))</f>
        <v>Takeru Okamura</v>
      </c>
      <c r="C795" t="str">
        <f>INDEX(Rankings!C$2:'Rankings'!C$1149,MATCH(SMALL(Rankings!H$2:'Rankings'!H$1000,ROW()),Rankings!H$2:'Rankings'!H$1000,0))</f>
        <v>Takeru Okamura</v>
      </c>
      <c r="D795" t="str">
        <f>INDEX(Rankings!C$2:'Rankings'!C$1149,MATCH(SMALL(Rankings!H$2:'Rankings'!H$1000,ROW()),Rankings!H$2:'Rankings'!H$1000,0))</f>
        <v>Takeru Okamura</v>
      </c>
      <c r="G795" t="str">
        <f>INDEX(Rankings!C$2:'Rankings'!C$1149,MATCH(SMALL(Rankings!H$2:'Rankings'!H$1000,ROW()),Rankings!H$2:'Rankings'!H$1000,0))</f>
        <v>Takeru Okamura</v>
      </c>
    </row>
    <row r="796" spans="2:7" hidden="1" outlineLevel="1" x14ac:dyDescent="0.25">
      <c r="B796" t="str">
        <f>INDEX(Rankings!C$2:'Rankings'!C$1149,MATCH(SMALL(Rankings!H$2:'Rankings'!H$1000,ROW()),Rankings!H$2:'Rankings'!H$1000,0))</f>
        <v>Steve Vinoski</v>
      </c>
      <c r="C796" t="str">
        <f>INDEX(Rankings!C$2:'Rankings'!C$1149,MATCH(SMALL(Rankings!H$2:'Rankings'!H$1000,ROW()),Rankings!H$2:'Rankings'!H$1000,0))</f>
        <v>Steve Vinoski</v>
      </c>
      <c r="D796" t="str">
        <f>INDEX(Rankings!C$2:'Rankings'!C$1149,MATCH(SMALL(Rankings!H$2:'Rankings'!H$1000,ROW()),Rankings!H$2:'Rankings'!H$1000,0))</f>
        <v>Steve Vinoski</v>
      </c>
      <c r="G796" t="str">
        <f>INDEX(Rankings!C$2:'Rankings'!C$1149,MATCH(SMALL(Rankings!H$2:'Rankings'!H$1000,ROW()),Rankings!H$2:'Rankings'!H$1000,0))</f>
        <v>Steve Vinoski</v>
      </c>
    </row>
    <row r="797" spans="2:7" hidden="1" outlineLevel="1" x14ac:dyDescent="0.25">
      <c r="B797" t="str">
        <f>INDEX(Rankings!C$2:'Rankings'!C$1149,MATCH(SMALL(Rankings!H$2:'Rankings'!H$1000,ROW()),Rankings!H$2:'Rankings'!H$1000,0))</f>
        <v>Tami Hamler</v>
      </c>
      <c r="C797" t="str">
        <f>INDEX(Rankings!C$2:'Rankings'!C$1149,MATCH(SMALL(Rankings!H$2:'Rankings'!H$1000,ROW()),Rankings!H$2:'Rankings'!H$1000,0))</f>
        <v>Tami Hamler</v>
      </c>
      <c r="D797" t="str">
        <f>INDEX(Rankings!C$2:'Rankings'!C$1149,MATCH(SMALL(Rankings!H$2:'Rankings'!H$1000,ROW()),Rankings!H$2:'Rankings'!H$1000,0))</f>
        <v>Tami Hamler</v>
      </c>
      <c r="G797" t="str">
        <f>INDEX(Rankings!C$2:'Rankings'!C$1149,MATCH(SMALL(Rankings!H$2:'Rankings'!H$1000,ROW()),Rankings!H$2:'Rankings'!H$1000,0))</f>
        <v>Tami Hamler</v>
      </c>
    </row>
    <row r="798" spans="2:7" hidden="1" outlineLevel="1" x14ac:dyDescent="0.25">
      <c r="B798" t="str">
        <f>INDEX(Rankings!C$2:'Rankings'!C$1149,MATCH(SMALL(Rankings!H$2:'Rankings'!H$1000,ROW()),Rankings!H$2:'Rankings'!H$1000,0))</f>
        <v>Tanja Ritterhaus</v>
      </c>
      <c r="C798" t="str">
        <f>INDEX(Rankings!C$2:'Rankings'!C$1149,MATCH(SMALL(Rankings!H$2:'Rankings'!H$1000,ROW()),Rankings!H$2:'Rankings'!H$1000,0))</f>
        <v>Tanja Ritterhaus</v>
      </c>
      <c r="D798" t="str">
        <f>INDEX(Rankings!C$2:'Rankings'!C$1149,MATCH(SMALL(Rankings!H$2:'Rankings'!H$1000,ROW()),Rankings!H$2:'Rankings'!H$1000,0))</f>
        <v>Tanja Ritterhaus</v>
      </c>
      <c r="G798" t="str">
        <f>INDEX(Rankings!C$2:'Rankings'!C$1149,MATCH(SMALL(Rankings!H$2:'Rankings'!H$1000,ROW()),Rankings!H$2:'Rankings'!H$1000,0))</f>
        <v>Tanja Ritterhaus</v>
      </c>
    </row>
    <row r="799" spans="2:7" hidden="1" outlineLevel="1" x14ac:dyDescent="0.25">
      <c r="B799" t="str">
        <f>INDEX(Rankings!C$2:'Rankings'!C$1149,MATCH(SMALL(Rankings!H$2:'Rankings'!H$1000,ROW()),Rankings!H$2:'Rankings'!H$1000,0))</f>
        <v>Tara Brenner</v>
      </c>
      <c r="C799" t="str">
        <f>INDEX(Rankings!C$2:'Rankings'!C$1149,MATCH(SMALL(Rankings!H$2:'Rankings'!H$1000,ROW()),Rankings!H$2:'Rankings'!H$1000,0))</f>
        <v>Tara Brenner</v>
      </c>
      <c r="D799" t="str">
        <f>INDEX(Rankings!C$2:'Rankings'!C$1149,MATCH(SMALL(Rankings!H$2:'Rankings'!H$1000,ROW()),Rankings!H$2:'Rankings'!H$1000,0))</f>
        <v>Tara Brenner</v>
      </c>
      <c r="G799" t="str">
        <f>INDEX(Rankings!C$2:'Rankings'!C$1149,MATCH(SMALL(Rankings!H$2:'Rankings'!H$1000,ROW()),Rankings!H$2:'Rankings'!H$1000,0))</f>
        <v>Tara Brenner</v>
      </c>
    </row>
    <row r="800" spans="2:7" hidden="1" outlineLevel="1" x14ac:dyDescent="0.25">
      <c r="B800" t="str">
        <f>INDEX(Rankings!C$2:'Rankings'!C$1149,MATCH(SMALL(Rankings!H$2:'Rankings'!H$1000,ROW()),Rankings!H$2:'Rankings'!H$1000,0))</f>
        <v>Ted Oberhaus</v>
      </c>
      <c r="C800" t="str">
        <f>INDEX(Rankings!C$2:'Rankings'!C$1149,MATCH(SMALL(Rankings!H$2:'Rankings'!H$1000,ROW()),Rankings!H$2:'Rankings'!H$1000,0))</f>
        <v>Ted Oberhaus</v>
      </c>
      <c r="D800" t="str">
        <f>INDEX(Rankings!C$2:'Rankings'!C$1149,MATCH(SMALL(Rankings!H$2:'Rankings'!H$1000,ROW()),Rankings!H$2:'Rankings'!H$1000,0))</f>
        <v>Ted Oberhaus</v>
      </c>
      <c r="G800" t="str">
        <f>INDEX(Rankings!C$2:'Rankings'!C$1149,MATCH(SMALL(Rankings!H$2:'Rankings'!H$1000,ROW()),Rankings!H$2:'Rankings'!H$1000,0))</f>
        <v>Ted Oberhaus</v>
      </c>
    </row>
    <row r="801" spans="2:7" hidden="1" outlineLevel="1" x14ac:dyDescent="0.25">
      <c r="B801" t="str">
        <f>INDEX(Rankings!C$2:'Rankings'!C$1149,MATCH(SMALL(Rankings!H$2:'Rankings'!H$1000,ROW()),Rankings!H$2:'Rankings'!H$1000,0))</f>
        <v>Terry Bogenhagen</v>
      </c>
      <c r="C801" t="str">
        <f>INDEX(Rankings!C$2:'Rankings'!C$1149,MATCH(SMALL(Rankings!H$2:'Rankings'!H$1000,ROW()),Rankings!H$2:'Rankings'!H$1000,0))</f>
        <v>Terry Bogenhagen</v>
      </c>
      <c r="D801" t="str">
        <f>INDEX(Rankings!C$2:'Rankings'!C$1149,MATCH(SMALL(Rankings!H$2:'Rankings'!H$1000,ROW()),Rankings!H$2:'Rankings'!H$1000,0))</f>
        <v>Terry Bogenhagen</v>
      </c>
      <c r="G801" t="str">
        <f>INDEX(Rankings!C$2:'Rankings'!C$1149,MATCH(SMALL(Rankings!H$2:'Rankings'!H$1000,ROW()),Rankings!H$2:'Rankings'!H$1000,0))</f>
        <v>Terry Bogenhagen</v>
      </c>
    </row>
    <row r="802" spans="2:7" hidden="1" outlineLevel="1" x14ac:dyDescent="0.25">
      <c r="B802" t="str">
        <f>INDEX(Rankings!C$2:'Rankings'!C$1149,MATCH(SMALL(Rankings!H$2:'Rankings'!H$1000,ROW()),Rankings!H$2:'Rankings'!H$1000,0))</f>
        <v>Terry Miller</v>
      </c>
      <c r="C802" t="str">
        <f>INDEX(Rankings!C$2:'Rankings'!C$1149,MATCH(SMALL(Rankings!H$2:'Rankings'!H$1000,ROW()),Rankings!H$2:'Rankings'!H$1000,0))</f>
        <v>Terry Miller</v>
      </c>
      <c r="D802" t="str">
        <f>INDEX(Rankings!C$2:'Rankings'!C$1149,MATCH(SMALL(Rankings!H$2:'Rankings'!H$1000,ROW()),Rankings!H$2:'Rankings'!H$1000,0))</f>
        <v>Terry Miller</v>
      </c>
      <c r="G802" t="str">
        <f>INDEX(Rankings!C$2:'Rankings'!C$1149,MATCH(SMALL(Rankings!H$2:'Rankings'!H$1000,ROW()),Rankings!H$2:'Rankings'!H$1000,0))</f>
        <v>Terry Miller</v>
      </c>
    </row>
    <row r="803" spans="2:7" hidden="1" outlineLevel="1" x14ac:dyDescent="0.25">
      <c r="B803" t="str">
        <f>INDEX(Rankings!C$2:'Rankings'!C$1149,MATCH(SMALL(Rankings!H$2:'Rankings'!H$1000,ROW()),Rankings!H$2:'Rankings'!H$1000,0))</f>
        <v>Theo Liegle</v>
      </c>
      <c r="C803" t="str">
        <f>INDEX(Rankings!C$2:'Rankings'!C$1149,MATCH(SMALL(Rankings!H$2:'Rankings'!H$1000,ROW()),Rankings!H$2:'Rankings'!H$1000,0))</f>
        <v>Theo Liegle</v>
      </c>
      <c r="D803" t="str">
        <f>INDEX(Rankings!C$2:'Rankings'!C$1149,MATCH(SMALL(Rankings!H$2:'Rankings'!H$1000,ROW()),Rankings!H$2:'Rankings'!H$1000,0))</f>
        <v>Theo Liegle</v>
      </c>
      <c r="G803" t="str">
        <f>INDEX(Rankings!C$2:'Rankings'!C$1149,MATCH(SMALL(Rankings!H$2:'Rankings'!H$1000,ROW()),Rankings!H$2:'Rankings'!H$1000,0))</f>
        <v>Theo Liegle</v>
      </c>
    </row>
    <row r="804" spans="2:7" hidden="1" outlineLevel="1" x14ac:dyDescent="0.25">
      <c r="B804" t="str">
        <f>INDEX(Rankings!C$2:'Rankings'!C$1149,MATCH(SMALL(Rankings!H$2:'Rankings'!H$1000,ROW()),Rankings!H$2:'Rankings'!H$1000,0))</f>
        <v>Thomas Gereben</v>
      </c>
      <c r="C804" t="str">
        <f>INDEX(Rankings!C$2:'Rankings'!C$1149,MATCH(SMALL(Rankings!H$2:'Rankings'!H$1000,ROW()),Rankings!H$2:'Rankings'!H$1000,0))</f>
        <v>Thomas Gereben</v>
      </c>
      <c r="D804" t="str">
        <f>INDEX(Rankings!C$2:'Rankings'!C$1149,MATCH(SMALL(Rankings!H$2:'Rankings'!H$1000,ROW()),Rankings!H$2:'Rankings'!H$1000,0))</f>
        <v>Thomas Gereben</v>
      </c>
      <c r="G804" t="str">
        <f>INDEX(Rankings!C$2:'Rankings'!C$1149,MATCH(SMALL(Rankings!H$2:'Rankings'!H$1000,ROW()),Rankings!H$2:'Rankings'!H$1000,0))</f>
        <v>Thomas Gereben</v>
      </c>
    </row>
    <row r="805" spans="2:7" hidden="1" outlineLevel="1" x14ac:dyDescent="0.25">
      <c r="B805" t="str">
        <f>INDEX(Rankings!C$2:'Rankings'!C$1149,MATCH(SMALL(Rankings!H$2:'Rankings'!H$1000,ROW()),Rankings!H$2:'Rankings'!H$1000,0))</f>
        <v>Thomas Jonasson</v>
      </c>
      <c r="C805" t="str">
        <f>INDEX(Rankings!C$2:'Rankings'!C$1149,MATCH(SMALL(Rankings!H$2:'Rankings'!H$1000,ROW()),Rankings!H$2:'Rankings'!H$1000,0))</f>
        <v>Thomas Jonasson</v>
      </c>
      <c r="D805" t="str">
        <f>INDEX(Rankings!C$2:'Rankings'!C$1149,MATCH(SMALL(Rankings!H$2:'Rankings'!H$1000,ROW()),Rankings!H$2:'Rankings'!H$1000,0))</f>
        <v>Thomas Jonasson</v>
      </c>
      <c r="G805" t="str">
        <f>INDEX(Rankings!C$2:'Rankings'!C$1149,MATCH(SMALL(Rankings!H$2:'Rankings'!H$1000,ROW()),Rankings!H$2:'Rankings'!H$1000,0))</f>
        <v>Thomas Jonasson</v>
      </c>
    </row>
    <row r="806" spans="2:7" hidden="1" outlineLevel="1" x14ac:dyDescent="0.25">
      <c r="B806" t="str">
        <f>INDEX(Rankings!C$2:'Rankings'!C$1149,MATCH(SMALL(Rankings!H$2:'Rankings'!H$1000,ROW()),Rankings!H$2:'Rankings'!H$1000,0))</f>
        <v>Thomas Nötzel</v>
      </c>
      <c r="C806" t="str">
        <f>INDEX(Rankings!C$2:'Rankings'!C$1149,MATCH(SMALL(Rankings!H$2:'Rankings'!H$1000,ROW()),Rankings!H$2:'Rankings'!H$1000,0))</f>
        <v>Thomas Nötzel</v>
      </c>
      <c r="D806" t="str">
        <f>INDEX(Rankings!C$2:'Rankings'!C$1149,MATCH(SMALL(Rankings!H$2:'Rankings'!H$1000,ROW()),Rankings!H$2:'Rankings'!H$1000,0))</f>
        <v>Thomas Nötzel</v>
      </c>
      <c r="G806" t="str">
        <f>INDEX(Rankings!C$2:'Rankings'!C$1149,MATCH(SMALL(Rankings!H$2:'Rankings'!H$1000,ROW()),Rankings!H$2:'Rankings'!H$1000,0))</f>
        <v>Thomas Nötzel</v>
      </c>
    </row>
    <row r="807" spans="2:7" hidden="1" outlineLevel="1" x14ac:dyDescent="0.25">
      <c r="B807" t="str">
        <f>INDEX(Rankings!C$2:'Rankings'!C$1149,MATCH(SMALL(Rankings!H$2:'Rankings'!H$1000,ROW()),Rankings!H$2:'Rankings'!H$1000,0))</f>
        <v>Thorsten Fleissner</v>
      </c>
      <c r="C807" t="str">
        <f>INDEX(Rankings!C$2:'Rankings'!C$1149,MATCH(SMALL(Rankings!H$2:'Rankings'!H$1000,ROW()),Rankings!H$2:'Rankings'!H$1000,0))</f>
        <v>Thorsten Fleissner</v>
      </c>
      <c r="D807" t="str">
        <f>INDEX(Rankings!C$2:'Rankings'!C$1149,MATCH(SMALL(Rankings!H$2:'Rankings'!H$1000,ROW()),Rankings!H$2:'Rankings'!H$1000,0))</f>
        <v>Thorsten Fleissner</v>
      </c>
      <c r="G807" t="str">
        <f>INDEX(Rankings!C$2:'Rankings'!C$1149,MATCH(SMALL(Rankings!H$2:'Rankings'!H$1000,ROW()),Rankings!H$2:'Rankings'!H$1000,0))</f>
        <v>Thorsten Fleissner</v>
      </c>
    </row>
    <row r="808" spans="2:7" hidden="1" outlineLevel="1" x14ac:dyDescent="0.25">
      <c r="B808" t="str">
        <f>INDEX(Rankings!C$2:'Rankings'!C$1149,MATCH(SMALL(Rankings!H$2:'Rankings'!H$1000,ROW()),Rankings!H$2:'Rankings'!H$1000,0))</f>
        <v>Tim Cohn</v>
      </c>
      <c r="C808" t="str">
        <f>INDEX(Rankings!C$2:'Rankings'!C$1149,MATCH(SMALL(Rankings!H$2:'Rankings'!H$1000,ROW()),Rankings!H$2:'Rankings'!H$1000,0))</f>
        <v>Tim Cohn</v>
      </c>
      <c r="D808" t="str">
        <f>INDEX(Rankings!C$2:'Rankings'!C$1149,MATCH(SMALL(Rankings!H$2:'Rankings'!H$1000,ROW()),Rankings!H$2:'Rankings'!H$1000,0))</f>
        <v>Tim Cohn</v>
      </c>
      <c r="G808" t="str">
        <f>INDEX(Rankings!C$2:'Rankings'!C$1149,MATCH(SMALL(Rankings!H$2:'Rankings'!H$1000,ROW()),Rankings!H$2:'Rankings'!H$1000,0))</f>
        <v>Tim Cohn</v>
      </c>
    </row>
    <row r="809" spans="2:7" hidden="1" outlineLevel="1" x14ac:dyDescent="0.25">
      <c r="B809" t="str">
        <f>INDEX(Rankings!C$2:'Rankings'!C$1149,MATCH(SMALL(Rankings!H$2:'Rankings'!H$1000,ROW()),Rankings!H$2:'Rankings'!H$1000,0))</f>
        <v>Tim Mackey</v>
      </c>
      <c r="C809" t="str">
        <f>INDEX(Rankings!C$2:'Rankings'!C$1149,MATCH(SMALL(Rankings!H$2:'Rankings'!H$1000,ROW()),Rankings!H$2:'Rankings'!H$1000,0))</f>
        <v>Tim Mackey</v>
      </c>
      <c r="D809" t="str">
        <f>INDEX(Rankings!C$2:'Rankings'!C$1149,MATCH(SMALL(Rankings!H$2:'Rankings'!H$1000,ROW()),Rankings!H$2:'Rankings'!H$1000,0))</f>
        <v>Tim Mackey</v>
      </c>
      <c r="G809" t="str">
        <f>INDEX(Rankings!C$2:'Rankings'!C$1149,MATCH(SMALL(Rankings!H$2:'Rankings'!H$1000,ROW()),Rankings!H$2:'Rankings'!H$1000,0))</f>
        <v>Tim Mackey</v>
      </c>
    </row>
    <row r="810" spans="2:7" hidden="1" outlineLevel="1" x14ac:dyDescent="0.25">
      <c r="B810" t="str">
        <f>INDEX(Rankings!C$2:'Rankings'!C$1149,MATCH(SMALL(Rankings!H$2:'Rankings'!H$1000,ROW()),Rankings!H$2:'Rankings'!H$1000,0))</f>
        <v>Tim Pattberg</v>
      </c>
      <c r="C810" t="str">
        <f>INDEX(Rankings!C$2:'Rankings'!C$1149,MATCH(SMALL(Rankings!H$2:'Rankings'!H$1000,ROW()),Rankings!H$2:'Rankings'!H$1000,0))</f>
        <v>Tim Pattberg</v>
      </c>
      <c r="D810" t="str">
        <f>INDEX(Rankings!C$2:'Rankings'!C$1149,MATCH(SMALL(Rankings!H$2:'Rankings'!H$1000,ROW()),Rankings!H$2:'Rankings'!H$1000,0))</f>
        <v>Tim Pattberg</v>
      </c>
      <c r="G810" t="str">
        <f>INDEX(Rankings!C$2:'Rankings'!C$1149,MATCH(SMALL(Rankings!H$2:'Rankings'!H$1000,ROW()),Rankings!H$2:'Rankings'!H$1000,0))</f>
        <v>Tim Pattberg</v>
      </c>
    </row>
    <row r="811" spans="2:7" hidden="1" outlineLevel="1" x14ac:dyDescent="0.25">
      <c r="B811" t="str">
        <f>INDEX(Rankings!C$2:'Rankings'!C$1149,MATCH(SMALL(Rankings!H$2:'Rankings'!H$1000,ROW()),Rankings!H$2:'Rankings'!H$1000,0))</f>
        <v>Tim Sahlit</v>
      </c>
      <c r="C811" t="str">
        <f>INDEX(Rankings!C$2:'Rankings'!C$1149,MATCH(SMALL(Rankings!H$2:'Rankings'!H$1000,ROW()),Rankings!H$2:'Rankings'!H$1000,0))</f>
        <v>Tim Sahlit</v>
      </c>
      <c r="D811" t="str">
        <f>INDEX(Rankings!C$2:'Rankings'!C$1149,MATCH(SMALL(Rankings!H$2:'Rankings'!H$1000,ROW()),Rankings!H$2:'Rankings'!H$1000,0))</f>
        <v>Tim Sahlit</v>
      </c>
      <c r="G811" t="str">
        <f>INDEX(Rankings!C$2:'Rankings'!C$1149,MATCH(SMALL(Rankings!H$2:'Rankings'!H$1000,ROW()),Rankings!H$2:'Rankings'!H$1000,0))</f>
        <v>Tim Sahlit</v>
      </c>
    </row>
    <row r="812" spans="2:7" hidden="1" outlineLevel="1" x14ac:dyDescent="0.25">
      <c r="B812" t="str">
        <f>INDEX(Rankings!C$2:'Rankings'!C$1149,MATCH(SMALL(Rankings!H$2:'Rankings'!H$1000,ROW()),Rankings!H$2:'Rankings'!H$1000,0))</f>
        <v>Tita Ugalde</v>
      </c>
      <c r="C812" t="str">
        <f>INDEX(Rankings!C$2:'Rankings'!C$1149,MATCH(SMALL(Rankings!H$2:'Rankings'!H$1000,ROW()),Rankings!H$2:'Rankings'!H$1000,0))</f>
        <v>Tita Ugalde</v>
      </c>
      <c r="D812" t="str">
        <f>INDEX(Rankings!C$2:'Rankings'!C$1149,MATCH(SMALL(Rankings!H$2:'Rankings'!H$1000,ROW()),Rankings!H$2:'Rankings'!H$1000,0))</f>
        <v>Tita Ugalde</v>
      </c>
      <c r="G812" t="str">
        <f>INDEX(Rankings!C$2:'Rankings'!C$1149,MATCH(SMALL(Rankings!H$2:'Rankings'!H$1000,ROW()),Rankings!H$2:'Rankings'!H$1000,0))</f>
        <v>Tita Ugalde</v>
      </c>
    </row>
    <row r="813" spans="2:7" hidden="1" outlineLevel="1" x14ac:dyDescent="0.25">
      <c r="B813" t="str">
        <f>INDEX(Rankings!C$2:'Rankings'!C$1149,MATCH(SMALL(Rankings!H$2:'Rankings'!H$1000,ROW()),Rankings!H$2:'Rankings'!H$1000,0))</f>
        <v>Tito Andino</v>
      </c>
      <c r="C813" t="str">
        <f>INDEX(Rankings!C$2:'Rankings'!C$1149,MATCH(SMALL(Rankings!H$2:'Rankings'!H$1000,ROW()),Rankings!H$2:'Rankings'!H$1000,0))</f>
        <v>Tito Andino</v>
      </c>
      <c r="D813" t="str">
        <f>INDEX(Rankings!C$2:'Rankings'!C$1149,MATCH(SMALL(Rankings!H$2:'Rankings'!H$1000,ROW()),Rankings!H$2:'Rankings'!H$1000,0))</f>
        <v>Tito Andino</v>
      </c>
      <c r="G813" t="str">
        <f>INDEX(Rankings!C$2:'Rankings'!C$1149,MATCH(SMALL(Rankings!H$2:'Rankings'!H$1000,ROW()),Rankings!H$2:'Rankings'!H$1000,0))</f>
        <v>Tito Andino</v>
      </c>
    </row>
    <row r="814" spans="2:7" hidden="1" outlineLevel="1" x14ac:dyDescent="0.25">
      <c r="B814" t="str">
        <f>INDEX(Rankings!C$2:'Rankings'!C$1149,MATCH(SMALL(Rankings!H$2:'Rankings'!H$1000,ROW()),Rankings!H$2:'Rankings'!H$1000,0))</f>
        <v>Tobias Burzan</v>
      </c>
      <c r="C814" t="str">
        <f>INDEX(Rankings!C$2:'Rankings'!C$1149,MATCH(SMALL(Rankings!H$2:'Rankings'!H$1000,ROW()),Rankings!H$2:'Rankings'!H$1000,0))</f>
        <v>Tobias Burzan</v>
      </c>
      <c r="D814" t="str">
        <f>INDEX(Rankings!C$2:'Rankings'!C$1149,MATCH(SMALL(Rankings!H$2:'Rankings'!H$1000,ROW()),Rankings!H$2:'Rankings'!H$1000,0))</f>
        <v>Tobias Burzan</v>
      </c>
      <c r="G814" t="str">
        <f>INDEX(Rankings!C$2:'Rankings'!C$1149,MATCH(SMALL(Rankings!H$2:'Rankings'!H$1000,ROW()),Rankings!H$2:'Rankings'!H$1000,0))</f>
        <v>Tobias Burzan</v>
      </c>
    </row>
    <row r="815" spans="2:7" hidden="1" outlineLevel="1" x14ac:dyDescent="0.25">
      <c r="B815" t="str">
        <f>INDEX(Rankings!C$2:'Rankings'!C$1149,MATCH(SMALL(Rankings!H$2:'Rankings'!H$1000,ROW()),Rankings!H$2:'Rankings'!H$1000,0))</f>
        <v>Tobias Cole</v>
      </c>
      <c r="C815" t="str">
        <f>INDEX(Rankings!C$2:'Rankings'!C$1149,MATCH(SMALL(Rankings!H$2:'Rankings'!H$1000,ROW()),Rankings!H$2:'Rankings'!H$1000,0))</f>
        <v>Tobias Cole</v>
      </c>
      <c r="D815" t="str">
        <f>INDEX(Rankings!C$2:'Rankings'!C$1149,MATCH(SMALL(Rankings!H$2:'Rankings'!H$1000,ROW()),Rankings!H$2:'Rankings'!H$1000,0))</f>
        <v>Tobias Cole</v>
      </c>
      <c r="G815" t="str">
        <f>INDEX(Rankings!C$2:'Rankings'!C$1149,MATCH(SMALL(Rankings!H$2:'Rankings'!H$1000,ROW()),Rankings!H$2:'Rankings'!H$1000,0))</f>
        <v>Tobias Cole</v>
      </c>
    </row>
    <row r="816" spans="2:7" hidden="1" outlineLevel="1" x14ac:dyDescent="0.25">
      <c r="B816" t="str">
        <f>INDEX(Rankings!C$2:'Rankings'!C$1149,MATCH(SMALL(Rankings!H$2:'Rankings'!H$1000,ROW()),Rankings!H$2:'Rankings'!H$1000,0))</f>
        <v>Tobias Doehner</v>
      </c>
      <c r="C816" t="str">
        <f>INDEX(Rankings!C$2:'Rankings'!C$1149,MATCH(SMALL(Rankings!H$2:'Rankings'!H$1000,ROW()),Rankings!H$2:'Rankings'!H$1000,0))</f>
        <v>Tobias Doehner</v>
      </c>
      <c r="D816" t="str">
        <f>INDEX(Rankings!C$2:'Rankings'!C$1149,MATCH(SMALL(Rankings!H$2:'Rankings'!H$1000,ROW()),Rankings!H$2:'Rankings'!H$1000,0))</f>
        <v>Tobias Doehner</v>
      </c>
      <c r="G816" t="str">
        <f>INDEX(Rankings!C$2:'Rankings'!C$1149,MATCH(SMALL(Rankings!H$2:'Rankings'!H$1000,ROW()),Rankings!H$2:'Rankings'!H$1000,0))</f>
        <v>Tobias Doehner</v>
      </c>
    </row>
    <row r="817" spans="2:7" hidden="1" outlineLevel="1" x14ac:dyDescent="0.25">
      <c r="B817" t="str">
        <f>INDEX(Rankings!C$2:'Rankings'!C$1149,MATCH(SMALL(Rankings!H$2:'Rankings'!H$1000,ROW()),Rankings!H$2:'Rankings'!H$1000,0))</f>
        <v>Tobias Gebert</v>
      </c>
      <c r="C817" t="str">
        <f>INDEX(Rankings!C$2:'Rankings'!C$1149,MATCH(SMALL(Rankings!H$2:'Rankings'!H$1000,ROW()),Rankings!H$2:'Rankings'!H$1000,0))</f>
        <v>Tobias Gebert</v>
      </c>
      <c r="D817" t="str">
        <f>INDEX(Rankings!C$2:'Rankings'!C$1149,MATCH(SMALL(Rankings!H$2:'Rankings'!H$1000,ROW()),Rankings!H$2:'Rankings'!H$1000,0))</f>
        <v>Tobias Gebert</v>
      </c>
      <c r="G817" t="str">
        <f>INDEX(Rankings!C$2:'Rankings'!C$1149,MATCH(SMALL(Rankings!H$2:'Rankings'!H$1000,ROW()),Rankings!H$2:'Rankings'!H$1000,0))</f>
        <v>Tobias Gebert</v>
      </c>
    </row>
    <row r="818" spans="2:7" hidden="1" outlineLevel="1" x14ac:dyDescent="0.25">
      <c r="B818" t="str">
        <f>INDEX(Rankings!C$2:'Rankings'!C$1149,MATCH(SMALL(Rankings!H$2:'Rankings'!H$1000,ROW()),Rankings!H$2:'Rankings'!H$1000,0))</f>
        <v>Toby Künzel</v>
      </c>
      <c r="C818" t="str">
        <f>INDEX(Rankings!C$2:'Rankings'!C$1149,MATCH(SMALL(Rankings!H$2:'Rankings'!H$1000,ROW()),Rankings!H$2:'Rankings'!H$1000,0))</f>
        <v>Toby Künzel</v>
      </c>
      <c r="D818" t="str">
        <f>INDEX(Rankings!C$2:'Rankings'!C$1149,MATCH(SMALL(Rankings!H$2:'Rankings'!H$1000,ROW()),Rankings!H$2:'Rankings'!H$1000,0))</f>
        <v>Toby Künzel</v>
      </c>
      <c r="G818" t="str">
        <f>INDEX(Rankings!C$2:'Rankings'!C$1149,MATCH(SMALL(Rankings!H$2:'Rankings'!H$1000,ROW()),Rankings!H$2:'Rankings'!H$1000,0))</f>
        <v>Toby Künzel</v>
      </c>
    </row>
    <row r="819" spans="2:7" hidden="1" outlineLevel="1" x14ac:dyDescent="0.25">
      <c r="B819" t="str">
        <f>INDEX(Rankings!C$2:'Rankings'!C$1149,MATCH(SMALL(Rankings!H$2:'Rankings'!H$1000,ROW()),Rankings!H$2:'Rankings'!H$1000,0))</f>
        <v>Todd Van Osdol</v>
      </c>
      <c r="C819" t="str">
        <f>INDEX(Rankings!C$2:'Rankings'!C$1149,MATCH(SMALL(Rankings!H$2:'Rankings'!H$1000,ROW()),Rankings!H$2:'Rankings'!H$1000,0))</f>
        <v>Todd Van Osdol</v>
      </c>
      <c r="D819" t="str">
        <f>INDEX(Rankings!C$2:'Rankings'!C$1149,MATCH(SMALL(Rankings!H$2:'Rankings'!H$1000,ROW()),Rankings!H$2:'Rankings'!H$1000,0))</f>
        <v>Todd Van Osdol</v>
      </c>
      <c r="G819" t="str">
        <f>INDEX(Rankings!C$2:'Rankings'!C$1149,MATCH(SMALL(Rankings!H$2:'Rankings'!H$1000,ROW()),Rankings!H$2:'Rankings'!H$1000,0))</f>
        <v>Todd Van Osdol</v>
      </c>
    </row>
    <row r="820" spans="2:7" hidden="1" outlineLevel="1" x14ac:dyDescent="0.25">
      <c r="B820" t="str">
        <f>INDEX(Rankings!C$2:'Rankings'!C$1149,MATCH(SMALL(Rankings!H$2:'Rankings'!H$1000,ROW()),Rankings!H$2:'Rankings'!H$1000,0))</f>
        <v>Toddy Brodeur</v>
      </c>
      <c r="C820" t="str">
        <f>INDEX(Rankings!C$2:'Rankings'!C$1149,MATCH(SMALL(Rankings!H$2:'Rankings'!H$1000,ROW()),Rankings!H$2:'Rankings'!H$1000,0))</f>
        <v>Toddy Brodeur</v>
      </c>
      <c r="D820" t="str">
        <f>INDEX(Rankings!C$2:'Rankings'!C$1149,MATCH(SMALL(Rankings!H$2:'Rankings'!H$1000,ROW()),Rankings!H$2:'Rankings'!H$1000,0))</f>
        <v>Toddy Brodeur</v>
      </c>
      <c r="G820" t="str">
        <f>INDEX(Rankings!C$2:'Rankings'!C$1149,MATCH(SMALL(Rankings!H$2:'Rankings'!H$1000,ROW()),Rankings!H$2:'Rankings'!H$1000,0))</f>
        <v>Toddy Brodeur</v>
      </c>
    </row>
    <row r="821" spans="2:7" hidden="1" outlineLevel="1" x14ac:dyDescent="0.25">
      <c r="B821" t="str">
        <f>INDEX(Rankings!C$2:'Rankings'!C$1149,MATCH(SMALL(Rankings!H$2:'Rankings'!H$1000,ROW()),Rankings!H$2:'Rankings'!H$1000,0))</f>
        <v>Tom Blockhuys</v>
      </c>
      <c r="C821" t="str">
        <f>INDEX(Rankings!C$2:'Rankings'!C$1149,MATCH(SMALL(Rankings!H$2:'Rankings'!H$1000,ROW()),Rankings!H$2:'Rankings'!H$1000,0))</f>
        <v>Tom Blockhuys</v>
      </c>
      <c r="D821" t="str">
        <f>INDEX(Rankings!C$2:'Rankings'!C$1149,MATCH(SMALL(Rankings!H$2:'Rankings'!H$1000,ROW()),Rankings!H$2:'Rankings'!H$1000,0))</f>
        <v>Tom Blockhuys</v>
      </c>
      <c r="G821" t="str">
        <f>INDEX(Rankings!C$2:'Rankings'!C$1149,MATCH(SMALL(Rankings!H$2:'Rankings'!H$1000,ROW()),Rankings!H$2:'Rankings'!H$1000,0))</f>
        <v>Tom Blockhuys</v>
      </c>
    </row>
    <row r="822" spans="2:7" hidden="1" outlineLevel="1" x14ac:dyDescent="0.25">
      <c r="B822" t="str">
        <f>INDEX(Rankings!C$2:'Rankings'!C$1149,MATCH(SMALL(Rankings!H$2:'Rankings'!H$1000,ROW()),Rankings!H$2:'Rankings'!H$1000,0))</f>
        <v>Tom Carlos Schuster</v>
      </c>
      <c r="C822" t="str">
        <f>INDEX(Rankings!C$2:'Rankings'!C$1149,MATCH(SMALL(Rankings!H$2:'Rankings'!H$1000,ROW()),Rankings!H$2:'Rankings'!H$1000,0))</f>
        <v>Tom Carlos Schuster</v>
      </c>
      <c r="D822" t="str">
        <f>INDEX(Rankings!C$2:'Rankings'!C$1149,MATCH(SMALL(Rankings!H$2:'Rankings'!H$1000,ROW()),Rankings!H$2:'Rankings'!H$1000,0))</f>
        <v>Tom Carlos Schuster</v>
      </c>
      <c r="G822" t="str">
        <f>INDEX(Rankings!C$2:'Rankings'!C$1149,MATCH(SMALL(Rankings!H$2:'Rankings'!H$1000,ROW()),Rankings!H$2:'Rankings'!H$1000,0))</f>
        <v>Tom Carlos Schuster</v>
      </c>
    </row>
    <row r="823" spans="2:7" hidden="1" outlineLevel="1" x14ac:dyDescent="0.25">
      <c r="B823" t="str">
        <f>INDEX(Rankings!C$2:'Rankings'!C$1149,MATCH(SMALL(Rankings!H$2:'Rankings'!H$1000,ROW()),Rankings!H$2:'Rankings'!H$1000,0))</f>
        <v>Tom Coffin</v>
      </c>
      <c r="C823" t="str">
        <f>INDEX(Rankings!C$2:'Rankings'!C$1149,MATCH(SMALL(Rankings!H$2:'Rankings'!H$1000,ROW()),Rankings!H$2:'Rankings'!H$1000,0))</f>
        <v>Tom Coffin</v>
      </c>
      <c r="D823" t="str">
        <f>INDEX(Rankings!C$2:'Rankings'!C$1149,MATCH(SMALL(Rankings!H$2:'Rankings'!H$1000,ROW()),Rankings!H$2:'Rankings'!H$1000,0))</f>
        <v>Tom Coffin</v>
      </c>
      <c r="G823" t="str">
        <f>INDEX(Rankings!C$2:'Rankings'!C$1149,MATCH(SMALL(Rankings!H$2:'Rankings'!H$1000,ROW()),Rankings!H$2:'Rankings'!H$1000,0))</f>
        <v>Tom Coffin</v>
      </c>
    </row>
    <row r="824" spans="2:7" hidden="1" outlineLevel="1" x14ac:dyDescent="0.25">
      <c r="B824" t="str">
        <f>INDEX(Rankings!C$2:'Rankings'!C$1149,MATCH(SMALL(Rankings!H$2:'Rankings'!H$1000,ROW()),Rankings!H$2:'Rankings'!H$1000,0))</f>
        <v>Tom Cole</v>
      </c>
      <c r="C824" t="str">
        <f>INDEX(Rankings!C$2:'Rankings'!C$1149,MATCH(SMALL(Rankings!H$2:'Rankings'!H$1000,ROW()),Rankings!H$2:'Rankings'!H$1000,0))</f>
        <v>Tom Cole</v>
      </c>
      <c r="D824" t="str">
        <f>INDEX(Rankings!C$2:'Rankings'!C$1149,MATCH(SMALL(Rankings!H$2:'Rankings'!H$1000,ROW()),Rankings!H$2:'Rankings'!H$1000,0))</f>
        <v>Tom Cole</v>
      </c>
      <c r="G824" t="str">
        <f>INDEX(Rankings!C$2:'Rankings'!C$1149,MATCH(SMALL(Rankings!H$2:'Rankings'!H$1000,ROW()),Rankings!H$2:'Rankings'!H$1000,0))</f>
        <v>Tom Cole</v>
      </c>
    </row>
    <row r="825" spans="2:7" hidden="1" outlineLevel="1" x14ac:dyDescent="0.25">
      <c r="B825" t="str">
        <f>INDEX(Rankings!C$2:'Rankings'!C$1149,MATCH(SMALL(Rankings!H$2:'Rankings'!H$1000,ROW()),Rankings!H$2:'Rankings'!H$1000,0))</f>
        <v>Tom Ford</v>
      </c>
      <c r="C825" t="str">
        <f>INDEX(Rankings!C$2:'Rankings'!C$1149,MATCH(SMALL(Rankings!H$2:'Rankings'!H$1000,ROW()),Rankings!H$2:'Rankings'!H$1000,0))</f>
        <v>Tom Ford</v>
      </c>
      <c r="D825" t="str">
        <f>INDEX(Rankings!C$2:'Rankings'!C$1149,MATCH(SMALL(Rankings!H$2:'Rankings'!H$1000,ROW()),Rankings!H$2:'Rankings'!H$1000,0))</f>
        <v>Tom Ford</v>
      </c>
      <c r="G825" t="str">
        <f>INDEX(Rankings!C$2:'Rankings'!C$1149,MATCH(SMALL(Rankings!H$2:'Rankings'!H$1000,ROW()),Rankings!H$2:'Rankings'!H$1000,0))</f>
        <v>Tom Ford</v>
      </c>
    </row>
    <row r="826" spans="2:7" hidden="1" outlineLevel="1" x14ac:dyDescent="0.25">
      <c r="B826" t="str">
        <f>INDEX(Rankings!C$2:'Rankings'!C$1149,MATCH(SMALL(Rankings!H$2:'Rankings'!H$1000,ROW()),Rankings!H$2:'Rankings'!H$1000,0))</f>
        <v>Tom Goltz</v>
      </c>
      <c r="C826" t="str">
        <f>INDEX(Rankings!C$2:'Rankings'!C$1149,MATCH(SMALL(Rankings!H$2:'Rankings'!H$1000,ROW()),Rankings!H$2:'Rankings'!H$1000,0))</f>
        <v>Tom Goltz</v>
      </c>
      <c r="D826" t="str">
        <f>INDEX(Rankings!C$2:'Rankings'!C$1149,MATCH(SMALL(Rankings!H$2:'Rankings'!H$1000,ROW()),Rankings!H$2:'Rankings'!H$1000,0))</f>
        <v>Tom Goltz</v>
      </c>
      <c r="G826" t="str">
        <f>INDEX(Rankings!C$2:'Rankings'!C$1149,MATCH(SMALL(Rankings!H$2:'Rankings'!H$1000,ROW()),Rankings!H$2:'Rankings'!H$1000,0))</f>
        <v>Tom Goltz</v>
      </c>
    </row>
    <row r="827" spans="2:7" hidden="1" outlineLevel="1" x14ac:dyDescent="0.25">
      <c r="B827" t="str">
        <f>INDEX(Rankings!C$2:'Rankings'!C$1149,MATCH(SMALL(Rankings!H$2:'Rankings'!H$1000,ROW()),Rankings!H$2:'Rankings'!H$1000,0))</f>
        <v>Tom Lasher</v>
      </c>
      <c r="C827" t="str">
        <f>INDEX(Rankings!C$2:'Rankings'!C$1149,MATCH(SMALL(Rankings!H$2:'Rankings'!H$1000,ROW()),Rankings!H$2:'Rankings'!H$1000,0))</f>
        <v>Tom Lasher</v>
      </c>
      <c r="D827" t="str">
        <f>INDEX(Rankings!C$2:'Rankings'!C$1149,MATCH(SMALL(Rankings!H$2:'Rankings'!H$1000,ROW()),Rankings!H$2:'Rankings'!H$1000,0))</f>
        <v>Tom Lasher</v>
      </c>
      <c r="G827" t="str">
        <f>INDEX(Rankings!C$2:'Rankings'!C$1149,MATCH(SMALL(Rankings!H$2:'Rankings'!H$1000,ROW()),Rankings!H$2:'Rankings'!H$1000,0))</f>
        <v>Tom Lasher</v>
      </c>
    </row>
    <row r="828" spans="2:7" hidden="1" outlineLevel="1" x14ac:dyDescent="0.25">
      <c r="B828" t="str">
        <f>INDEX(Rankings!C$2:'Rankings'!C$1149,MATCH(SMALL(Rankings!H$2:'Rankings'!H$1000,ROW()),Rankings!H$2:'Rankings'!H$1000,0))</f>
        <v>Tom Leitner</v>
      </c>
      <c r="C828" t="str">
        <f>INDEX(Rankings!C$2:'Rankings'!C$1149,MATCH(SMALL(Rankings!H$2:'Rankings'!H$1000,ROW()),Rankings!H$2:'Rankings'!H$1000,0))</f>
        <v>Tom Leitner</v>
      </c>
      <c r="D828" t="str">
        <f>INDEX(Rankings!C$2:'Rankings'!C$1149,MATCH(SMALL(Rankings!H$2:'Rankings'!H$1000,ROW()),Rankings!H$2:'Rankings'!H$1000,0))</f>
        <v>Tom Leitner</v>
      </c>
      <c r="G828" t="str">
        <f>INDEX(Rankings!C$2:'Rankings'!C$1149,MATCH(SMALL(Rankings!H$2:'Rankings'!H$1000,ROW()),Rankings!H$2:'Rankings'!H$1000,0))</f>
        <v>Tom Leitner</v>
      </c>
    </row>
    <row r="829" spans="2:7" hidden="1" outlineLevel="1" x14ac:dyDescent="0.25">
      <c r="B829" t="str">
        <f>INDEX(Rankings!C$2:'Rankings'!C$1149,MATCH(SMALL(Rankings!H$2:'Rankings'!H$1000,ROW()),Rankings!H$2:'Rankings'!H$1000,0))</f>
        <v>Tom Robideau</v>
      </c>
      <c r="C829" t="str">
        <f>INDEX(Rankings!C$2:'Rankings'!C$1149,MATCH(SMALL(Rankings!H$2:'Rankings'!H$1000,ROW()),Rankings!H$2:'Rankings'!H$1000,0))</f>
        <v>Tom Robideau</v>
      </c>
      <c r="D829" t="str">
        <f>INDEX(Rankings!C$2:'Rankings'!C$1149,MATCH(SMALL(Rankings!H$2:'Rankings'!H$1000,ROW()),Rankings!H$2:'Rankings'!H$1000,0))</f>
        <v>Tom Robideau</v>
      </c>
      <c r="G829" t="str">
        <f>INDEX(Rankings!C$2:'Rankings'!C$1149,MATCH(SMALL(Rankings!H$2:'Rankings'!H$1000,ROW()),Rankings!H$2:'Rankings'!H$1000,0))</f>
        <v>Tom Robideau</v>
      </c>
    </row>
    <row r="830" spans="2:7" hidden="1" outlineLevel="1" x14ac:dyDescent="0.25">
      <c r="B830" t="str">
        <f>INDEX(Rankings!C$2:'Rankings'!C$1149,MATCH(SMALL(Rankings!H$2:'Rankings'!H$1000,ROW()),Rankings!H$2:'Rankings'!H$1000,0))</f>
        <v>Tom Sahlit</v>
      </c>
      <c r="C830" t="str">
        <f>INDEX(Rankings!C$2:'Rankings'!C$1149,MATCH(SMALL(Rankings!H$2:'Rankings'!H$1000,ROW()),Rankings!H$2:'Rankings'!H$1000,0))</f>
        <v>Tom Sahlit</v>
      </c>
      <c r="D830" t="str">
        <f>INDEX(Rankings!C$2:'Rankings'!C$1149,MATCH(SMALL(Rankings!H$2:'Rankings'!H$1000,ROW()),Rankings!H$2:'Rankings'!H$1000,0))</f>
        <v>Tom Sahlit</v>
      </c>
      <c r="G830" t="str">
        <f>INDEX(Rankings!C$2:'Rankings'!C$1149,MATCH(SMALL(Rankings!H$2:'Rankings'!H$1000,ROW()),Rankings!H$2:'Rankings'!H$1000,0))</f>
        <v>Tom Sahlit</v>
      </c>
    </row>
    <row r="831" spans="2:7" hidden="1" outlineLevel="1" x14ac:dyDescent="0.25">
      <c r="B831" t="str">
        <f>INDEX(Rankings!C$2:'Rankings'!C$1149,MATCH(SMALL(Rankings!H$2:'Rankings'!H$1000,ROW()),Rankings!H$2:'Rankings'!H$1000,0))</f>
        <v>Tomas Burvall</v>
      </c>
      <c r="C831" t="str">
        <f>INDEX(Rankings!C$2:'Rankings'!C$1149,MATCH(SMALL(Rankings!H$2:'Rankings'!H$1000,ROW()),Rankings!H$2:'Rankings'!H$1000,0))</f>
        <v>Tomas Burvall</v>
      </c>
      <c r="D831" t="str">
        <f>INDEX(Rankings!C$2:'Rankings'!C$1149,MATCH(SMALL(Rankings!H$2:'Rankings'!H$1000,ROW()),Rankings!H$2:'Rankings'!H$1000,0))</f>
        <v>Tomas Burvall</v>
      </c>
      <c r="G831" t="str">
        <f>INDEX(Rankings!C$2:'Rankings'!C$1149,MATCH(SMALL(Rankings!H$2:'Rankings'!H$1000,ROW()),Rankings!H$2:'Rankings'!H$1000,0))</f>
        <v>Tomas Burvall</v>
      </c>
    </row>
    <row r="832" spans="2:7" hidden="1" outlineLevel="1" x14ac:dyDescent="0.25">
      <c r="B832" t="str">
        <f>INDEX(Rankings!C$2:'Rankings'!C$1149,MATCH(SMALL(Rankings!H$2:'Rankings'!H$1000,ROW()),Rankings!H$2:'Rankings'!H$1000,0))</f>
        <v>Tomas Olsson</v>
      </c>
      <c r="C832" t="str">
        <f>INDEX(Rankings!C$2:'Rankings'!C$1149,MATCH(SMALL(Rankings!H$2:'Rankings'!H$1000,ROW()),Rankings!H$2:'Rankings'!H$1000,0))</f>
        <v>Tomas Olsson</v>
      </c>
      <c r="D832" t="str">
        <f>INDEX(Rankings!C$2:'Rankings'!C$1149,MATCH(SMALL(Rankings!H$2:'Rankings'!H$1000,ROW()),Rankings!H$2:'Rankings'!H$1000,0))</f>
        <v>Tomas Olsson</v>
      </c>
      <c r="G832" t="str">
        <f>INDEX(Rankings!C$2:'Rankings'!C$1149,MATCH(SMALL(Rankings!H$2:'Rankings'!H$1000,ROW()),Rankings!H$2:'Rankings'!H$1000,0))</f>
        <v>Tomas Olsson</v>
      </c>
    </row>
    <row r="833" spans="2:7" hidden="1" outlineLevel="1" x14ac:dyDescent="0.25">
      <c r="B833" t="str">
        <f>INDEX(Rankings!C$2:'Rankings'!C$1149,MATCH(SMALL(Rankings!H$2:'Rankings'!H$1000,ROW()),Rankings!H$2:'Rankings'!H$1000,0))</f>
        <v>Tomasz Hemerling</v>
      </c>
      <c r="C833" t="str">
        <f>INDEX(Rankings!C$2:'Rankings'!C$1149,MATCH(SMALL(Rankings!H$2:'Rankings'!H$1000,ROW()),Rankings!H$2:'Rankings'!H$1000,0))</f>
        <v>Tomasz Hemerling</v>
      </c>
      <c r="D833" t="str">
        <f>INDEX(Rankings!C$2:'Rankings'!C$1149,MATCH(SMALL(Rankings!H$2:'Rankings'!H$1000,ROW()),Rankings!H$2:'Rankings'!H$1000,0))</f>
        <v>Tomasz Hemerling</v>
      </c>
      <c r="G833" t="str">
        <f>INDEX(Rankings!C$2:'Rankings'!C$1149,MATCH(SMALL(Rankings!H$2:'Rankings'!H$1000,ROW()),Rankings!H$2:'Rankings'!H$1000,0))</f>
        <v>Tomasz Hemerling</v>
      </c>
    </row>
    <row r="834" spans="2:7" hidden="1" outlineLevel="1" x14ac:dyDescent="0.25">
      <c r="B834" t="str">
        <f>INDEX(Rankings!C$2:'Rankings'!C$1149,MATCH(SMALL(Rankings!H$2:'Rankings'!H$1000,ROW()),Rankings!H$2:'Rankings'!H$1000,0))</f>
        <v>Tommaso Tondo</v>
      </c>
      <c r="C834" t="str">
        <f>INDEX(Rankings!C$2:'Rankings'!C$1149,MATCH(SMALL(Rankings!H$2:'Rankings'!H$1000,ROW()),Rankings!H$2:'Rankings'!H$1000,0))</f>
        <v>Tommaso Tondo</v>
      </c>
      <c r="D834" t="str">
        <f>INDEX(Rankings!C$2:'Rankings'!C$1149,MATCH(SMALL(Rankings!H$2:'Rankings'!H$1000,ROW()),Rankings!H$2:'Rankings'!H$1000,0))</f>
        <v>Tommaso Tondo</v>
      </c>
      <c r="G834" t="str">
        <f>INDEX(Rankings!C$2:'Rankings'!C$1149,MATCH(SMALL(Rankings!H$2:'Rankings'!H$1000,ROW()),Rankings!H$2:'Rankings'!H$1000,0))</f>
        <v>Tommaso Tondo</v>
      </c>
    </row>
    <row r="835" spans="2:7" hidden="1" outlineLevel="1" x14ac:dyDescent="0.25">
      <c r="B835" t="str">
        <f>INDEX(Rankings!C$2:'Rankings'!C$1149,MATCH(SMALL(Rankings!H$2:'Rankings'!H$1000,ROW()),Rankings!H$2:'Rankings'!H$1000,0))</f>
        <v>Philipp Wacholz</v>
      </c>
      <c r="C835" t="str">
        <f>INDEX(Rankings!C$2:'Rankings'!C$1149,MATCH(SMALL(Rankings!H$2:'Rankings'!H$1000,ROW()),Rankings!H$2:'Rankings'!H$1000,0))</f>
        <v>Philipp Wacholz</v>
      </c>
      <c r="D835" t="str">
        <f>INDEX(Rankings!C$2:'Rankings'!C$1149,MATCH(SMALL(Rankings!H$2:'Rankings'!H$1000,ROW()),Rankings!H$2:'Rankings'!H$1000,0))</f>
        <v>Philipp Wacholz</v>
      </c>
      <c r="G835" t="str">
        <f>INDEX(Rankings!C$2:'Rankings'!C$1149,MATCH(SMALL(Rankings!H$2:'Rankings'!H$1000,ROW()),Rankings!H$2:'Rankings'!H$1000,0))</f>
        <v>Philipp Wacholz</v>
      </c>
    </row>
    <row r="836" spans="2:7" hidden="1" outlineLevel="1" x14ac:dyDescent="0.25">
      <c r="B836" t="str">
        <f>INDEX(Rankings!C$2:'Rankings'!C$1149,MATCH(SMALL(Rankings!H$2:'Rankings'!H$1000,ROW()),Rankings!H$2:'Rankings'!H$1000,0))</f>
        <v>Tomoyuki Katakura</v>
      </c>
      <c r="C836" t="str">
        <f>INDEX(Rankings!C$2:'Rankings'!C$1149,MATCH(SMALL(Rankings!H$2:'Rankings'!H$1000,ROW()),Rankings!H$2:'Rankings'!H$1000,0))</f>
        <v>Tomoyuki Katakura</v>
      </c>
      <c r="D836" t="str">
        <f>INDEX(Rankings!C$2:'Rankings'!C$1149,MATCH(SMALL(Rankings!H$2:'Rankings'!H$1000,ROW()),Rankings!H$2:'Rankings'!H$1000,0))</f>
        <v>Tomoyuki Katakura</v>
      </c>
      <c r="G836" t="str">
        <f>INDEX(Rankings!C$2:'Rankings'!C$1149,MATCH(SMALL(Rankings!H$2:'Rankings'!H$1000,ROW()),Rankings!H$2:'Rankings'!H$1000,0))</f>
        <v>Tomoyuki Katakura</v>
      </c>
    </row>
    <row r="837" spans="2:7" hidden="1" outlineLevel="1" x14ac:dyDescent="0.25">
      <c r="B837" t="str">
        <f>INDEX(Rankings!C$2:'Rankings'!C$1149,MATCH(SMALL(Rankings!H$2:'Rankings'!H$1000,ROW()),Rankings!H$2:'Rankings'!H$1000,0))</f>
        <v>Tomoyuki Matsuki</v>
      </c>
      <c r="C837" t="str">
        <f>INDEX(Rankings!C$2:'Rankings'!C$1149,MATCH(SMALL(Rankings!H$2:'Rankings'!H$1000,ROW()),Rankings!H$2:'Rankings'!H$1000,0))</f>
        <v>Tomoyuki Matsuki</v>
      </c>
      <c r="D837" t="str">
        <f>INDEX(Rankings!C$2:'Rankings'!C$1149,MATCH(SMALL(Rankings!H$2:'Rankings'!H$1000,ROW()),Rankings!H$2:'Rankings'!H$1000,0))</f>
        <v>Tomoyuki Matsuki</v>
      </c>
      <c r="G837" t="str">
        <f>INDEX(Rankings!C$2:'Rankings'!C$1149,MATCH(SMALL(Rankings!H$2:'Rankings'!H$1000,ROW()),Rankings!H$2:'Rankings'!H$1000,0))</f>
        <v>Tomoyuki Matsuki</v>
      </c>
    </row>
    <row r="838" spans="2:7" hidden="1" outlineLevel="1" x14ac:dyDescent="0.25">
      <c r="B838" t="str">
        <f>INDEX(Rankings!C$2:'Rankings'!C$1149,MATCH(SMALL(Rankings!H$2:'Rankings'!H$1000,ROW()),Rankings!H$2:'Rankings'!H$1000,0))</f>
        <v>Tony Pellicane</v>
      </c>
      <c r="C838" t="str">
        <f>INDEX(Rankings!C$2:'Rankings'!C$1149,MATCH(SMALL(Rankings!H$2:'Rankings'!H$1000,ROW()),Rankings!H$2:'Rankings'!H$1000,0))</f>
        <v>Tony Pellicane</v>
      </c>
      <c r="D838" t="str">
        <f>INDEX(Rankings!C$2:'Rankings'!C$1149,MATCH(SMALL(Rankings!H$2:'Rankings'!H$1000,ROW()),Rankings!H$2:'Rankings'!H$1000,0))</f>
        <v>Tony Pellicane</v>
      </c>
      <c r="G838" t="str">
        <f>INDEX(Rankings!C$2:'Rankings'!C$1149,MATCH(SMALL(Rankings!H$2:'Rankings'!H$1000,ROW()),Rankings!H$2:'Rankings'!H$1000,0))</f>
        <v>Tony Pellicane</v>
      </c>
    </row>
    <row r="839" spans="2:7" hidden="1" outlineLevel="1" x14ac:dyDescent="0.25">
      <c r="B839" t="str">
        <f>INDEX(Rankings!C$2:'Rankings'!C$1149,MATCH(SMALL(Rankings!H$2:'Rankings'!H$1000,ROW()),Rankings!H$2:'Rankings'!H$1000,0))</f>
        <v>Toufik Lamred</v>
      </c>
      <c r="C839" t="str">
        <f>INDEX(Rankings!C$2:'Rankings'!C$1149,MATCH(SMALL(Rankings!H$2:'Rankings'!H$1000,ROW()),Rankings!H$2:'Rankings'!H$1000,0))</f>
        <v>Toufik Lamred</v>
      </c>
      <c r="D839" t="str">
        <f>INDEX(Rankings!C$2:'Rankings'!C$1149,MATCH(SMALL(Rankings!H$2:'Rankings'!H$1000,ROW()),Rankings!H$2:'Rankings'!H$1000,0))</f>
        <v>Toufik Lamred</v>
      </c>
      <c r="G839" t="str">
        <f>INDEX(Rankings!C$2:'Rankings'!C$1149,MATCH(SMALL(Rankings!H$2:'Rankings'!H$1000,ROW()),Rankings!H$2:'Rankings'!H$1000,0))</f>
        <v>Toufik Lamred</v>
      </c>
    </row>
    <row r="840" spans="2:7" hidden="1" outlineLevel="1" x14ac:dyDescent="0.25">
      <c r="B840" t="str">
        <f>INDEX(Rankings!C$2:'Rankings'!C$1149,MATCH(SMALL(Rankings!H$2:'Rankings'!H$1000,ROW()),Rankings!H$2:'Rankings'!H$1000,0))</f>
        <v>Tristan Doshier</v>
      </c>
      <c r="C840" t="str">
        <f>INDEX(Rankings!C$2:'Rankings'!C$1149,MATCH(SMALL(Rankings!H$2:'Rankings'!H$1000,ROW()),Rankings!H$2:'Rankings'!H$1000,0))</f>
        <v>Tristan Doshier</v>
      </c>
      <c r="D840" t="str">
        <f>INDEX(Rankings!C$2:'Rankings'!C$1149,MATCH(SMALL(Rankings!H$2:'Rankings'!H$1000,ROW()),Rankings!H$2:'Rankings'!H$1000,0))</f>
        <v>Tristan Doshier</v>
      </c>
      <c r="G840" t="str">
        <f>INDEX(Rankings!C$2:'Rankings'!C$1149,MATCH(SMALL(Rankings!H$2:'Rankings'!H$1000,ROW()),Rankings!H$2:'Rankings'!H$1000,0))</f>
        <v>Tristan Doshier</v>
      </c>
    </row>
    <row r="841" spans="2:7" hidden="1" outlineLevel="1" x14ac:dyDescent="0.25">
      <c r="B841" t="str">
        <f>INDEX(Rankings!C$2:'Rankings'!C$1149,MATCH(SMALL(Rankings!H$2:'Rankings'!H$1000,ROW()),Rankings!H$2:'Rankings'!H$1000,0))</f>
        <v>Udo Engeter</v>
      </c>
      <c r="C841" t="str">
        <f>INDEX(Rankings!C$2:'Rankings'!C$1149,MATCH(SMALL(Rankings!H$2:'Rankings'!H$1000,ROW()),Rankings!H$2:'Rankings'!H$1000,0))</f>
        <v>Udo Engeter</v>
      </c>
      <c r="D841" t="str">
        <f>INDEX(Rankings!C$2:'Rankings'!C$1149,MATCH(SMALL(Rankings!H$2:'Rankings'!H$1000,ROW()),Rankings!H$2:'Rankings'!H$1000,0))</f>
        <v>Udo Engeter</v>
      </c>
      <c r="G841" t="str">
        <f>INDEX(Rankings!C$2:'Rankings'!C$1149,MATCH(SMALL(Rankings!H$2:'Rankings'!H$1000,ROW()),Rankings!H$2:'Rankings'!H$1000,0))</f>
        <v>Udo Engeter</v>
      </c>
    </row>
    <row r="842" spans="2:7" hidden="1" outlineLevel="1" x14ac:dyDescent="0.25">
      <c r="B842" t="str">
        <f>INDEX(Rankings!C$2:'Rankings'!C$1149,MATCH(SMALL(Rankings!H$2:'Rankings'!H$1000,ROW()),Rankings!H$2:'Rankings'!H$1000,0))</f>
        <v>Urs Hardegger</v>
      </c>
      <c r="C842" t="str">
        <f>INDEX(Rankings!C$2:'Rankings'!C$1149,MATCH(SMALL(Rankings!H$2:'Rankings'!H$1000,ROW()),Rankings!H$2:'Rankings'!H$1000,0))</f>
        <v>Urs Hardegger</v>
      </c>
      <c r="D842" t="str">
        <f>INDEX(Rankings!C$2:'Rankings'!C$1149,MATCH(SMALL(Rankings!H$2:'Rankings'!H$1000,ROW()),Rankings!H$2:'Rankings'!H$1000,0))</f>
        <v>Urs Hardegger</v>
      </c>
      <c r="G842" t="str">
        <f>INDEX(Rankings!C$2:'Rankings'!C$1149,MATCH(SMALL(Rankings!H$2:'Rankings'!H$1000,ROW()),Rankings!H$2:'Rankings'!H$1000,0))</f>
        <v>Urs Hardegger</v>
      </c>
    </row>
    <row r="843" spans="2:7" hidden="1" outlineLevel="1" x14ac:dyDescent="0.25">
      <c r="B843" t="str">
        <f>INDEX(Rankings!C$2:'Rankings'!C$1149,MATCH(SMALL(Rankings!H$2:'Rankings'!H$1000,ROW()),Rankings!H$2:'Rankings'!H$1000,0))</f>
        <v>Valerio Annarino</v>
      </c>
      <c r="C843" t="str">
        <f>INDEX(Rankings!C$2:'Rankings'!C$1149,MATCH(SMALL(Rankings!H$2:'Rankings'!H$1000,ROW()),Rankings!H$2:'Rankings'!H$1000,0))</f>
        <v>Valerio Annarino</v>
      </c>
      <c r="D843" t="str">
        <f>INDEX(Rankings!C$2:'Rankings'!C$1149,MATCH(SMALL(Rankings!H$2:'Rankings'!H$1000,ROW()),Rankings!H$2:'Rankings'!H$1000,0))</f>
        <v>Valerio Annarino</v>
      </c>
      <c r="G843" t="str">
        <f>INDEX(Rankings!C$2:'Rankings'!C$1149,MATCH(SMALL(Rankings!H$2:'Rankings'!H$1000,ROW()),Rankings!H$2:'Rankings'!H$1000,0))</f>
        <v>Valerio Annarino</v>
      </c>
    </row>
    <row r="844" spans="2:7" hidden="1" outlineLevel="1" x14ac:dyDescent="0.25">
      <c r="B844" t="str">
        <f>INDEX(Rankings!C$2:'Rankings'!C$1149,MATCH(SMALL(Rankings!H$2:'Rankings'!H$1000,ROW()),Rankings!H$2:'Rankings'!H$1000,0))</f>
        <v>Valerio Morossi</v>
      </c>
      <c r="C844" t="str">
        <f>INDEX(Rankings!C$2:'Rankings'!C$1149,MATCH(SMALL(Rankings!H$2:'Rankings'!H$1000,ROW()),Rankings!H$2:'Rankings'!H$1000,0))</f>
        <v>Valerio Morossi</v>
      </c>
      <c r="D844" t="str">
        <f>INDEX(Rankings!C$2:'Rankings'!C$1149,MATCH(SMALL(Rankings!H$2:'Rankings'!H$1000,ROW()),Rankings!H$2:'Rankings'!H$1000,0))</f>
        <v>Valerio Morossi</v>
      </c>
      <c r="G844" t="str">
        <f>INDEX(Rankings!C$2:'Rankings'!C$1149,MATCH(SMALL(Rankings!H$2:'Rankings'!H$1000,ROW()),Rankings!H$2:'Rankings'!H$1000,0))</f>
        <v>Valerio Morossi</v>
      </c>
    </row>
    <row r="845" spans="2:7" hidden="1" outlineLevel="1" x14ac:dyDescent="0.25">
      <c r="B845" t="str">
        <f>INDEX(Rankings!C$2:'Rankings'!C$1149,MATCH(SMALL(Rankings!H$2:'Rankings'!H$1000,ROW()),Rankings!H$2:'Rankings'!H$1000,0))</f>
        <v>Valerio Occorsio</v>
      </c>
      <c r="C845" t="str">
        <f>INDEX(Rankings!C$2:'Rankings'!C$1149,MATCH(SMALL(Rankings!H$2:'Rankings'!H$1000,ROW()),Rankings!H$2:'Rankings'!H$1000,0))</f>
        <v>Valerio Occorsio</v>
      </c>
      <c r="D845" t="str">
        <f>INDEX(Rankings!C$2:'Rankings'!C$1149,MATCH(SMALL(Rankings!H$2:'Rankings'!H$1000,ROW()),Rankings!H$2:'Rankings'!H$1000,0))</f>
        <v>Valerio Occorsio</v>
      </c>
      <c r="G845" t="str">
        <f>INDEX(Rankings!C$2:'Rankings'!C$1149,MATCH(SMALL(Rankings!H$2:'Rankings'!H$1000,ROW()),Rankings!H$2:'Rankings'!H$1000,0))</f>
        <v>Valerio Occorsio</v>
      </c>
    </row>
    <row r="846" spans="2:7" hidden="1" outlineLevel="1" x14ac:dyDescent="0.25">
      <c r="B846" t="str">
        <f>INDEX(Rankings!C$2:'Rankings'!C$1149,MATCH(SMALL(Rankings!H$2:'Rankings'!H$1000,ROW()),Rankings!H$2:'Rankings'!H$1000,0))</f>
        <v>Vanes Baldazzi</v>
      </c>
      <c r="C846" t="str">
        <f>INDEX(Rankings!C$2:'Rankings'!C$1149,MATCH(SMALL(Rankings!H$2:'Rankings'!H$1000,ROW()),Rankings!H$2:'Rankings'!H$1000,0))</f>
        <v>Vanes Baldazzi</v>
      </c>
      <c r="D846" t="str">
        <f>INDEX(Rankings!C$2:'Rankings'!C$1149,MATCH(SMALL(Rankings!H$2:'Rankings'!H$1000,ROW()),Rankings!H$2:'Rankings'!H$1000,0))</f>
        <v>Vanes Baldazzi</v>
      </c>
      <c r="G846" t="str">
        <f>INDEX(Rankings!C$2:'Rankings'!C$1149,MATCH(SMALL(Rankings!H$2:'Rankings'!H$1000,ROW()),Rankings!H$2:'Rankings'!H$1000,0))</f>
        <v>Vanes Baldazzi</v>
      </c>
    </row>
    <row r="847" spans="2:7" hidden="1" outlineLevel="1" x14ac:dyDescent="0.25">
      <c r="B847" t="str">
        <f>INDEX(Rankings!C$2:'Rankings'!C$1149,MATCH(SMALL(Rankings!H$2:'Rankings'!H$1000,ROW()),Rankings!H$2:'Rankings'!H$1000,0))</f>
        <v>Vehro Titcomb</v>
      </c>
      <c r="C847" t="str">
        <f>INDEX(Rankings!C$2:'Rankings'!C$1149,MATCH(SMALL(Rankings!H$2:'Rankings'!H$1000,ROW()),Rankings!H$2:'Rankings'!H$1000,0))</f>
        <v>Vehro Titcomb</v>
      </c>
      <c r="D847" t="str">
        <f>INDEX(Rankings!C$2:'Rankings'!C$1149,MATCH(SMALL(Rankings!H$2:'Rankings'!H$1000,ROW()),Rankings!H$2:'Rankings'!H$1000,0))</f>
        <v>Vehro Titcomb</v>
      </c>
      <c r="G847" t="str">
        <f>INDEX(Rankings!C$2:'Rankings'!C$1149,MATCH(SMALL(Rankings!H$2:'Rankings'!H$1000,ROW()),Rankings!H$2:'Rankings'!H$1000,0))</f>
        <v>Vehro Titcomb</v>
      </c>
    </row>
    <row r="848" spans="2:7" hidden="1" outlineLevel="1" x14ac:dyDescent="0.25">
      <c r="B848" t="str">
        <f>INDEX(Rankings!C$2:'Rankings'!C$1149,MATCH(SMALL(Rankings!H$2:'Rankings'!H$1000,ROW()),Rankings!H$2:'Rankings'!H$1000,0))</f>
        <v>Vico Silano</v>
      </c>
      <c r="C848" t="str">
        <f>INDEX(Rankings!C$2:'Rankings'!C$1149,MATCH(SMALL(Rankings!H$2:'Rankings'!H$1000,ROW()),Rankings!H$2:'Rankings'!H$1000,0))</f>
        <v>Vico Silano</v>
      </c>
      <c r="D848" t="str">
        <f>INDEX(Rankings!C$2:'Rankings'!C$1149,MATCH(SMALL(Rankings!H$2:'Rankings'!H$1000,ROW()),Rankings!H$2:'Rankings'!H$1000,0))</f>
        <v>Vico Silano</v>
      </c>
      <c r="G848" t="str">
        <f>INDEX(Rankings!C$2:'Rankings'!C$1149,MATCH(SMALL(Rankings!H$2:'Rankings'!H$1000,ROW()),Rankings!H$2:'Rankings'!H$1000,0))</f>
        <v>Vico Silano</v>
      </c>
    </row>
    <row r="849" spans="2:7" hidden="1" outlineLevel="1" x14ac:dyDescent="0.25">
      <c r="B849" t="str">
        <f>INDEX(Rankings!C$2:'Rankings'!C$1149,MATCH(SMALL(Rankings!H$2:'Rankings'!H$1000,ROW()),Rankings!H$2:'Rankings'!H$1000,0))</f>
        <v>Victor Ouzoonian</v>
      </c>
      <c r="C849" t="str">
        <f>INDEX(Rankings!C$2:'Rankings'!C$1149,MATCH(SMALL(Rankings!H$2:'Rankings'!H$1000,ROW()),Rankings!H$2:'Rankings'!H$1000,0))</f>
        <v>Victor Ouzoonian</v>
      </c>
      <c r="D849" t="str">
        <f>INDEX(Rankings!C$2:'Rankings'!C$1149,MATCH(SMALL(Rankings!H$2:'Rankings'!H$1000,ROW()),Rankings!H$2:'Rankings'!H$1000,0))</f>
        <v>Victor Ouzoonian</v>
      </c>
      <c r="G849" t="str">
        <f>INDEX(Rankings!C$2:'Rankings'!C$1149,MATCH(SMALL(Rankings!H$2:'Rankings'!H$1000,ROW()),Rankings!H$2:'Rankings'!H$1000,0))</f>
        <v>Victor Ouzoonian</v>
      </c>
    </row>
    <row r="850" spans="2:7" hidden="1" outlineLevel="1" x14ac:dyDescent="0.25">
      <c r="B850" t="str">
        <f>INDEX(Rankings!C$2:'Rankings'!C$1149,MATCH(SMALL(Rankings!H$2:'Rankings'!H$1000,ROW()),Rankings!H$2:'Rankings'!H$1000,0))</f>
        <v>Victoria Schätzle</v>
      </c>
      <c r="C850" t="str">
        <f>INDEX(Rankings!C$2:'Rankings'!C$1149,MATCH(SMALL(Rankings!H$2:'Rankings'!H$1000,ROW()),Rankings!H$2:'Rankings'!H$1000,0))</f>
        <v>Victoria Schätzle</v>
      </c>
      <c r="D850" t="str">
        <f>INDEX(Rankings!C$2:'Rankings'!C$1149,MATCH(SMALL(Rankings!H$2:'Rankings'!H$1000,ROW()),Rankings!H$2:'Rankings'!H$1000,0))</f>
        <v>Victoria Schätzle</v>
      </c>
      <c r="G850" t="str">
        <f>INDEX(Rankings!C$2:'Rankings'!C$1149,MATCH(SMALL(Rankings!H$2:'Rankings'!H$1000,ROW()),Rankings!H$2:'Rankings'!H$1000,0))</f>
        <v>Victoria Schätzle</v>
      </c>
    </row>
    <row r="851" spans="2:7" hidden="1" outlineLevel="1" x14ac:dyDescent="0.25">
      <c r="B851" t="str">
        <f>INDEX(Rankings!C$2:'Rankings'!C$1149,MATCH(SMALL(Rankings!H$2:'Rankings'!H$1000,ROW()),Rankings!H$2:'Rankings'!H$1000,0))</f>
        <v>Waldemar Wagner</v>
      </c>
      <c r="C851" t="str">
        <f>INDEX(Rankings!C$2:'Rankings'!C$1149,MATCH(SMALL(Rankings!H$2:'Rankings'!H$1000,ROW()),Rankings!H$2:'Rankings'!H$1000,0))</f>
        <v>Waldemar Wagner</v>
      </c>
      <c r="D851" t="str">
        <f>INDEX(Rankings!C$2:'Rankings'!C$1149,MATCH(SMALL(Rankings!H$2:'Rankings'!H$1000,ROW()),Rankings!H$2:'Rankings'!H$1000,0))</f>
        <v>Waldemar Wagner</v>
      </c>
      <c r="G851" t="str">
        <f>INDEX(Rankings!C$2:'Rankings'!C$1149,MATCH(SMALL(Rankings!H$2:'Rankings'!H$1000,ROW()),Rankings!H$2:'Rankings'!H$1000,0))</f>
        <v>Waldemar Wagner</v>
      </c>
    </row>
    <row r="852" spans="2:7" hidden="1" outlineLevel="1" x14ac:dyDescent="0.25">
      <c r="B852" t="str">
        <f>INDEX(Rankings!C$2:'Rankings'!C$1149,MATCH(SMALL(Rankings!H$2:'Rankings'!H$1000,ROW()),Rankings!H$2:'Rankings'!H$1000,0))</f>
        <v>Walter Reynolds</v>
      </c>
      <c r="C852" t="str">
        <f>INDEX(Rankings!C$2:'Rankings'!C$1149,MATCH(SMALL(Rankings!H$2:'Rankings'!H$1000,ROW()),Rankings!H$2:'Rankings'!H$1000,0))</f>
        <v>Walter Reynolds</v>
      </c>
      <c r="D852" t="str">
        <f>INDEX(Rankings!C$2:'Rankings'!C$1149,MATCH(SMALL(Rankings!H$2:'Rankings'!H$1000,ROW()),Rankings!H$2:'Rankings'!H$1000,0))</f>
        <v>Walter Reynolds</v>
      </c>
      <c r="G852" t="str">
        <f>INDEX(Rankings!C$2:'Rankings'!C$1149,MATCH(SMALL(Rankings!H$2:'Rankings'!H$1000,ROW()),Rankings!H$2:'Rankings'!H$1000,0))</f>
        <v>Walter Reynolds</v>
      </c>
    </row>
    <row r="853" spans="2:7" hidden="1" outlineLevel="1" x14ac:dyDescent="0.25">
      <c r="B853" t="str">
        <f>INDEX(Rankings!C$2:'Rankings'!C$1149,MATCH(SMALL(Rankings!H$2:'Rankings'!H$1000,ROW()),Rankings!H$2:'Rankings'!H$1000,0))</f>
        <v>Wayne Biever</v>
      </c>
      <c r="C853" t="str">
        <f>INDEX(Rankings!C$2:'Rankings'!C$1149,MATCH(SMALL(Rankings!H$2:'Rankings'!H$1000,ROW()),Rankings!H$2:'Rankings'!H$1000,0))</f>
        <v>Wayne Biever</v>
      </c>
      <c r="D853" t="str">
        <f>INDEX(Rankings!C$2:'Rankings'!C$1149,MATCH(SMALL(Rankings!H$2:'Rankings'!H$1000,ROW()),Rankings!H$2:'Rankings'!H$1000,0))</f>
        <v>Wayne Biever</v>
      </c>
      <c r="G853" t="str">
        <f>INDEX(Rankings!C$2:'Rankings'!C$1149,MATCH(SMALL(Rankings!H$2:'Rankings'!H$1000,ROW()),Rankings!H$2:'Rankings'!H$1000,0))</f>
        <v>Wayne Biever</v>
      </c>
    </row>
    <row r="854" spans="2:7" hidden="1" outlineLevel="1" x14ac:dyDescent="0.25">
      <c r="B854" t="str">
        <f>INDEX(Rankings!C$2:'Rankings'!C$1149,MATCH(SMALL(Rankings!H$2:'Rankings'!H$1000,ROW()),Rankings!H$2:'Rankings'!H$1000,0))</f>
        <v>Will Spaziani</v>
      </c>
      <c r="C854" t="str">
        <f>INDEX(Rankings!C$2:'Rankings'!C$1149,MATCH(SMALL(Rankings!H$2:'Rankings'!H$1000,ROW()),Rankings!H$2:'Rankings'!H$1000,0))</f>
        <v>Will Spaziani</v>
      </c>
      <c r="D854" t="str">
        <f>INDEX(Rankings!C$2:'Rankings'!C$1149,MATCH(SMALL(Rankings!H$2:'Rankings'!H$1000,ROW()),Rankings!H$2:'Rankings'!H$1000,0))</f>
        <v>Will Spaziani</v>
      </c>
      <c r="G854" t="str">
        <f>INDEX(Rankings!C$2:'Rankings'!C$1149,MATCH(SMALL(Rankings!H$2:'Rankings'!H$1000,ROW()),Rankings!H$2:'Rankings'!H$1000,0))</f>
        <v>Will Spaziani</v>
      </c>
    </row>
    <row r="855" spans="2:7" hidden="1" outlineLevel="1" x14ac:dyDescent="0.25">
      <c r="B855" t="str">
        <f>INDEX(Rankings!C$2:'Rankings'!C$1149,MATCH(SMALL(Rankings!H$2:'Rankings'!H$1000,ROW()),Rankings!H$2:'Rankings'!H$1000,0))</f>
        <v>Will Thoren</v>
      </c>
      <c r="C855" t="str">
        <f>INDEX(Rankings!C$2:'Rankings'!C$1149,MATCH(SMALL(Rankings!H$2:'Rankings'!H$1000,ROW()),Rankings!H$2:'Rankings'!H$1000,0))</f>
        <v>Will Thoren</v>
      </c>
      <c r="D855" t="str">
        <f>INDEX(Rankings!C$2:'Rankings'!C$1149,MATCH(SMALL(Rankings!H$2:'Rankings'!H$1000,ROW()),Rankings!H$2:'Rankings'!H$1000,0))</f>
        <v>Will Thoren</v>
      </c>
      <c r="G855" t="str">
        <f>INDEX(Rankings!C$2:'Rankings'!C$1149,MATCH(SMALL(Rankings!H$2:'Rankings'!H$1000,ROW()),Rankings!H$2:'Rankings'!H$1000,0))</f>
        <v>Will Thoren</v>
      </c>
    </row>
    <row r="856" spans="2:7" hidden="1" outlineLevel="1" x14ac:dyDescent="0.25">
      <c r="B856" t="str">
        <f>INDEX(Rankings!C$2:'Rankings'!C$1149,MATCH(SMALL(Rankings!H$2:'Rankings'!H$1000,ROW()),Rankings!H$2:'Rankings'!H$1000,0))</f>
        <v>Wolfgang Schöffel</v>
      </c>
      <c r="C856" t="str">
        <f>INDEX(Rankings!C$2:'Rankings'!C$1149,MATCH(SMALL(Rankings!H$2:'Rankings'!H$1000,ROW()),Rankings!H$2:'Rankings'!H$1000,0))</f>
        <v>Wolfgang Schöffel</v>
      </c>
      <c r="D856" t="str">
        <f>INDEX(Rankings!C$2:'Rankings'!C$1149,MATCH(SMALL(Rankings!H$2:'Rankings'!H$1000,ROW()),Rankings!H$2:'Rankings'!H$1000,0))</f>
        <v>Wolfgang Schöffel</v>
      </c>
      <c r="G856" t="str">
        <f>INDEX(Rankings!C$2:'Rankings'!C$1149,MATCH(SMALL(Rankings!H$2:'Rankings'!H$1000,ROW()),Rankings!H$2:'Rankings'!H$1000,0))</f>
        <v>Wolfgang Schöffel</v>
      </c>
    </row>
    <row r="857" spans="2:7" hidden="1" outlineLevel="1" x14ac:dyDescent="0.25">
      <c r="B857" t="str">
        <f>INDEX(Rankings!C$2:'Rankings'!C$1149,MATCH(SMALL(Rankings!H$2:'Rankings'!H$1000,ROW()),Rankings!H$2:'Rankings'!H$1000,0))</f>
        <v>Xtehn Titcomb</v>
      </c>
      <c r="C857" t="str">
        <f>INDEX(Rankings!C$2:'Rankings'!C$1149,MATCH(SMALL(Rankings!H$2:'Rankings'!H$1000,ROW()),Rankings!H$2:'Rankings'!H$1000,0))</f>
        <v>Xtehn Titcomb</v>
      </c>
      <c r="D857" t="str">
        <f>INDEX(Rankings!C$2:'Rankings'!C$1149,MATCH(SMALL(Rankings!H$2:'Rankings'!H$1000,ROW()),Rankings!H$2:'Rankings'!H$1000,0))</f>
        <v>Xtehn Titcomb</v>
      </c>
      <c r="G857" t="str">
        <f>INDEX(Rankings!C$2:'Rankings'!C$1149,MATCH(SMALL(Rankings!H$2:'Rankings'!H$1000,ROW()),Rankings!H$2:'Rankings'!H$1000,0))</f>
        <v>Xtehn Titcomb</v>
      </c>
    </row>
    <row r="858" spans="2:7" hidden="1" outlineLevel="1" x14ac:dyDescent="0.25">
      <c r="B858" t="str">
        <f>INDEX(Rankings!C$2:'Rankings'!C$1149,MATCH(SMALL(Rankings!H$2:'Rankings'!H$1000,ROW()),Rankings!H$2:'Rankings'!H$1000,0))</f>
        <v>Yannic Bofah</v>
      </c>
      <c r="C858" t="str">
        <f>INDEX(Rankings!C$2:'Rankings'!C$1149,MATCH(SMALL(Rankings!H$2:'Rankings'!H$1000,ROW()),Rankings!H$2:'Rankings'!H$1000,0))</f>
        <v>Yannic Bofah</v>
      </c>
      <c r="D858" t="str">
        <f>INDEX(Rankings!C$2:'Rankings'!C$1149,MATCH(SMALL(Rankings!H$2:'Rankings'!H$1000,ROW()),Rankings!H$2:'Rankings'!H$1000,0))</f>
        <v>Yannic Bofah</v>
      </c>
      <c r="G858" t="str">
        <f>INDEX(Rankings!C$2:'Rankings'!C$1149,MATCH(SMALL(Rankings!H$2:'Rankings'!H$1000,ROW()),Rankings!H$2:'Rankings'!H$1000,0))</f>
        <v>Yannic Bofah</v>
      </c>
    </row>
    <row r="859" spans="2:7" hidden="1" outlineLevel="1" x14ac:dyDescent="0.25">
      <c r="B859" t="str">
        <f>INDEX(Rankings!C$2:'Rankings'!C$1149,MATCH(SMALL(Rankings!H$2:'Rankings'!H$1000,ROW()),Rankings!H$2:'Rankings'!H$1000,0))</f>
        <v>Yaren Borcow</v>
      </c>
      <c r="C859" t="str">
        <f>INDEX(Rankings!C$2:'Rankings'!C$1149,MATCH(SMALL(Rankings!H$2:'Rankings'!H$1000,ROW()),Rankings!H$2:'Rankings'!H$1000,0))</f>
        <v>Yaren Borcow</v>
      </c>
      <c r="D859" t="str">
        <f>INDEX(Rankings!C$2:'Rankings'!C$1149,MATCH(SMALL(Rankings!H$2:'Rankings'!H$1000,ROW()),Rankings!H$2:'Rankings'!H$1000,0))</f>
        <v>Yaren Borcow</v>
      </c>
      <c r="G859" t="str">
        <f>INDEX(Rankings!C$2:'Rankings'!C$1149,MATCH(SMALL(Rankings!H$2:'Rankings'!H$1000,ROW()),Rankings!H$2:'Rankings'!H$1000,0))</f>
        <v>Yaren Borcow</v>
      </c>
    </row>
    <row r="860" spans="2:7" hidden="1" outlineLevel="1" x14ac:dyDescent="0.25">
      <c r="B860" t="str">
        <f>INDEX(Rankings!C$2:'Rankings'!C$1149,MATCH(SMALL(Rankings!H$2:'Rankings'!H$1000,ROW()),Rankings!H$2:'Rankings'!H$1000,0))</f>
        <v>Yohei Inoue</v>
      </c>
      <c r="C860" t="str">
        <f>INDEX(Rankings!C$2:'Rankings'!C$1149,MATCH(SMALL(Rankings!H$2:'Rankings'!H$1000,ROW()),Rankings!H$2:'Rankings'!H$1000,0))</f>
        <v>Yohei Inoue</v>
      </c>
      <c r="D860" t="str">
        <f>INDEX(Rankings!C$2:'Rankings'!C$1149,MATCH(SMALL(Rankings!H$2:'Rankings'!H$1000,ROW()),Rankings!H$2:'Rankings'!H$1000,0))</f>
        <v>Yohei Inoue</v>
      </c>
      <c r="G860" t="str">
        <f>INDEX(Rankings!C$2:'Rankings'!C$1149,MATCH(SMALL(Rankings!H$2:'Rankings'!H$1000,ROW()),Rankings!H$2:'Rankings'!H$1000,0))</f>
        <v>Yohei Inoue</v>
      </c>
    </row>
    <row r="861" spans="2:7" hidden="1" outlineLevel="1" x14ac:dyDescent="0.25">
      <c r="B861" t="str">
        <f>INDEX(Rankings!C$2:'Rankings'!C$1149,MATCH(SMALL(Rankings!H$2:'Rankings'!H$1000,ROW()),Rankings!H$2:'Rankings'!H$1000,0))</f>
        <v>Yousuke Suzuki</v>
      </c>
      <c r="C861" t="str">
        <f>INDEX(Rankings!C$2:'Rankings'!C$1149,MATCH(SMALL(Rankings!H$2:'Rankings'!H$1000,ROW()),Rankings!H$2:'Rankings'!H$1000,0))</f>
        <v>Yousuke Suzuki</v>
      </c>
      <c r="D861" t="str">
        <f>INDEX(Rankings!C$2:'Rankings'!C$1149,MATCH(SMALL(Rankings!H$2:'Rankings'!H$1000,ROW()),Rankings!H$2:'Rankings'!H$1000,0))</f>
        <v>Yousuke Suzuki</v>
      </c>
      <c r="G861" t="str">
        <f>INDEX(Rankings!C$2:'Rankings'!C$1149,MATCH(SMALL(Rankings!H$2:'Rankings'!H$1000,ROW()),Rankings!H$2:'Rankings'!H$1000,0))</f>
        <v>Yousuke Suzuki</v>
      </c>
    </row>
    <row r="862" spans="2:7" hidden="1" outlineLevel="1" x14ac:dyDescent="0.25">
      <c r="B862" t="str">
        <f>INDEX(Rankings!C$2:'Rankings'!C$1149,MATCH(SMALL(Rankings!H$2:'Rankings'!H$1000,ROW()),Rankings!H$2:'Rankings'!H$1000,0))</f>
        <v>Yujiro Suzuki</v>
      </c>
      <c r="C862" t="str">
        <f>INDEX(Rankings!C$2:'Rankings'!C$1149,MATCH(SMALL(Rankings!H$2:'Rankings'!H$1000,ROW()),Rankings!H$2:'Rankings'!H$1000,0))</f>
        <v>Yujiro Suzuki</v>
      </c>
      <c r="D862" t="str">
        <f>INDEX(Rankings!C$2:'Rankings'!C$1149,MATCH(SMALL(Rankings!H$2:'Rankings'!H$1000,ROW()),Rankings!H$2:'Rankings'!H$1000,0))</f>
        <v>Yujiro Suzuki</v>
      </c>
      <c r="G862" t="str">
        <f>INDEX(Rankings!C$2:'Rankings'!C$1149,MATCH(SMALL(Rankings!H$2:'Rankings'!H$1000,ROW()),Rankings!H$2:'Rankings'!H$1000,0))</f>
        <v>Yujiro Suzuki</v>
      </c>
    </row>
    <row r="863" spans="2:7" hidden="1" outlineLevel="1" x14ac:dyDescent="0.25">
      <c r="B863" t="str">
        <f>INDEX(Rankings!C$2:'Rankings'!C$1149,MATCH(SMALL(Rankings!H$2:'Rankings'!H$1000,ROW()),Rankings!H$2:'Rankings'!H$1000,0))</f>
        <v>Hiroshi Yokota</v>
      </c>
      <c r="C863" t="str">
        <f>INDEX(Rankings!C$2:'Rankings'!C$1149,MATCH(SMALL(Rankings!H$2:'Rankings'!H$1000,ROW()),Rankings!H$2:'Rankings'!H$1000,0))</f>
        <v>Hiroshi Yokota</v>
      </c>
      <c r="D863" t="str">
        <f>INDEX(Rankings!C$2:'Rankings'!C$1149,MATCH(SMALL(Rankings!H$2:'Rankings'!H$1000,ROW()),Rankings!H$2:'Rankings'!H$1000,0))</f>
        <v>Hiroshi Yokota</v>
      </c>
      <c r="G863" t="str">
        <f>INDEX(Rankings!C$2:'Rankings'!C$1149,MATCH(SMALL(Rankings!H$2:'Rankings'!H$1000,ROW()),Rankings!H$2:'Rankings'!H$1000,0))</f>
        <v>Hiroshi Yokota</v>
      </c>
    </row>
    <row r="864" spans="2:7" hidden="1" outlineLevel="1" x14ac:dyDescent="0.25">
      <c r="B864" t="str">
        <f>INDEX(Rankings!C$2:'Rankings'!C$1149,MATCH(SMALL(Rankings!H$2:'Rankings'!H$1000,ROW()),Rankings!H$2:'Rankings'!H$1000,0))</f>
        <v>Yuki Matsushita-Gebert</v>
      </c>
      <c r="C864" t="str">
        <f>INDEX(Rankings!C$2:'Rankings'!C$1149,MATCH(SMALL(Rankings!H$2:'Rankings'!H$1000,ROW()),Rankings!H$2:'Rankings'!H$1000,0))</f>
        <v>Yuki Matsushita-Gebert</v>
      </c>
      <c r="D864" t="str">
        <f>INDEX(Rankings!C$2:'Rankings'!C$1149,MATCH(SMALL(Rankings!H$2:'Rankings'!H$1000,ROW()),Rankings!H$2:'Rankings'!H$1000,0))</f>
        <v>Yuki Matsushita-Gebert</v>
      </c>
      <c r="G864" t="str">
        <f>INDEX(Rankings!C$2:'Rankings'!C$1149,MATCH(SMALL(Rankings!H$2:'Rankings'!H$1000,ROW()),Rankings!H$2:'Rankings'!H$1000,0))</f>
        <v>Yuki Matsushita-Gebert</v>
      </c>
    </row>
    <row r="865" spans="2:7" hidden="1" outlineLevel="1" x14ac:dyDescent="0.25">
      <c r="B865" t="str">
        <f>INDEX(Rankings!C$2:'Rankings'!C$1149,MATCH(SMALL(Rankings!H$2:'Rankings'!H$1000,ROW()),Rankings!H$2:'Rankings'!H$1000,0))</f>
        <v>Yumiko Tauchi</v>
      </c>
      <c r="C865" t="str">
        <f>INDEX(Rankings!C$2:'Rankings'!C$1149,MATCH(SMALL(Rankings!H$2:'Rankings'!H$1000,ROW()),Rankings!H$2:'Rankings'!H$1000,0))</f>
        <v>Yumiko Tauchi</v>
      </c>
      <c r="D865" t="str">
        <f>INDEX(Rankings!C$2:'Rankings'!C$1149,MATCH(SMALL(Rankings!H$2:'Rankings'!H$1000,ROW()),Rankings!H$2:'Rankings'!H$1000,0))</f>
        <v>Yumiko Tauchi</v>
      </c>
      <c r="G865" t="str">
        <f>INDEX(Rankings!C$2:'Rankings'!C$1149,MATCH(SMALL(Rankings!H$2:'Rankings'!H$1000,ROW()),Rankings!H$2:'Rankings'!H$1000,0))</f>
        <v>Yumiko Tauchi</v>
      </c>
    </row>
    <row r="866" spans="2:7" hidden="1" outlineLevel="1" x14ac:dyDescent="0.25">
      <c r="B866" t="str">
        <f>INDEX(Rankings!C$2:'Rankings'!C$1149,MATCH(SMALL(Rankings!H$2:'Rankings'!H$1000,ROW()),Rankings!H$2:'Rankings'!H$1000,0))</f>
        <v>Yuriko Sobue</v>
      </c>
      <c r="C866" t="str">
        <f>INDEX(Rankings!C$2:'Rankings'!C$1149,MATCH(SMALL(Rankings!H$2:'Rankings'!H$1000,ROW()),Rankings!H$2:'Rankings'!H$1000,0))</f>
        <v>Yuriko Sobue</v>
      </c>
      <c r="D866" t="str">
        <f>INDEX(Rankings!C$2:'Rankings'!C$1149,MATCH(SMALL(Rankings!H$2:'Rankings'!H$1000,ROW()),Rankings!H$2:'Rankings'!H$1000,0))</f>
        <v>Yuriko Sobue</v>
      </c>
      <c r="G866" t="str">
        <f>INDEX(Rankings!C$2:'Rankings'!C$1149,MATCH(SMALL(Rankings!H$2:'Rankings'!H$1000,ROW()),Rankings!H$2:'Rankings'!H$1000,0))</f>
        <v>Yuriko Sobue</v>
      </c>
    </row>
    <row r="867" spans="2:7" hidden="1" outlineLevel="1" x14ac:dyDescent="0.25">
      <c r="B867" t="str">
        <f>INDEX(Rankings!C$2:'Rankings'!C$1149,MATCH(SMALL(Rankings!H$2:'Rankings'!H$1000,ROW()),Rankings!H$2:'Rankings'!H$1000,0))</f>
        <v>Yutaka Harahsina</v>
      </c>
      <c r="C867" t="str">
        <f>INDEX(Rankings!C$2:'Rankings'!C$1149,MATCH(SMALL(Rankings!H$2:'Rankings'!H$1000,ROW()),Rankings!H$2:'Rankings'!H$1000,0))</f>
        <v>Yutaka Harahsina</v>
      </c>
      <c r="D867" t="str">
        <f>INDEX(Rankings!C$2:'Rankings'!C$1149,MATCH(SMALL(Rankings!H$2:'Rankings'!H$1000,ROW()),Rankings!H$2:'Rankings'!H$1000,0))</f>
        <v>Yutaka Harahsina</v>
      </c>
      <c r="G867" t="str">
        <f>INDEX(Rankings!C$2:'Rankings'!C$1149,MATCH(SMALL(Rankings!H$2:'Rankings'!H$1000,ROW()),Rankings!H$2:'Rankings'!H$1000,0))</f>
        <v>Yutaka Harahsina</v>
      </c>
    </row>
    <row r="868" spans="2:7" hidden="1" outlineLevel="1" x14ac:dyDescent="0.25">
      <c r="B868" t="str">
        <f>INDEX(Rankings!C$2:'Rankings'!C$1149,MATCH(SMALL(Rankings!H$2:'Rankings'!H$1000,ROW()),Rankings!H$2:'Rankings'!H$1000,0))</f>
        <v>Yutaro Hirasawa</v>
      </c>
      <c r="C868" t="str">
        <f>INDEX(Rankings!C$2:'Rankings'!C$1149,MATCH(SMALL(Rankings!H$2:'Rankings'!H$1000,ROW()),Rankings!H$2:'Rankings'!H$1000,0))</f>
        <v>Yutaro Hirasawa</v>
      </c>
      <c r="D868" t="str">
        <f>INDEX(Rankings!C$2:'Rankings'!C$1149,MATCH(SMALL(Rankings!H$2:'Rankings'!H$1000,ROW()),Rankings!H$2:'Rankings'!H$1000,0))</f>
        <v>Yutaro Hirasawa</v>
      </c>
      <c r="G868" t="str">
        <f>INDEX(Rankings!C$2:'Rankings'!C$1149,MATCH(SMALL(Rankings!H$2:'Rankings'!H$1000,ROW()),Rankings!H$2:'Rankings'!H$1000,0))</f>
        <v>Yutaro Hirasawa</v>
      </c>
    </row>
    <row r="869" spans="2:7" hidden="1" outlineLevel="1" x14ac:dyDescent="0.25">
      <c r="B869" t="str">
        <f>INDEX(Rankings!C$2:'Rankings'!C$1149,MATCH(SMALL(Rankings!H$2:'Rankings'!H$1000,ROW()),Rankings!H$2:'Rankings'!H$1000,0))</f>
        <v>Zach Murphy</v>
      </c>
      <c r="C869" t="str">
        <f>INDEX(Rankings!C$2:'Rankings'!C$1149,MATCH(SMALL(Rankings!H$2:'Rankings'!H$1000,ROW()),Rankings!H$2:'Rankings'!H$1000,0))</f>
        <v>Zach Murphy</v>
      </c>
      <c r="D869" t="str">
        <f>INDEX(Rankings!C$2:'Rankings'!C$1149,MATCH(SMALL(Rankings!H$2:'Rankings'!H$1000,ROW()),Rankings!H$2:'Rankings'!H$1000,0))</f>
        <v>Zach Murphy</v>
      </c>
      <c r="G869" t="str">
        <f>INDEX(Rankings!C$2:'Rankings'!C$1149,MATCH(SMALL(Rankings!H$2:'Rankings'!H$1000,ROW()),Rankings!H$2:'Rankings'!H$1000,0))</f>
        <v>Zach Murphy</v>
      </c>
    </row>
    <row r="870" spans="2:7" hidden="1" outlineLevel="1" x14ac:dyDescent="0.25">
      <c r="B870" t="str">
        <f>INDEX(Rankings!C$2:'Rankings'!C$1149,MATCH(SMALL(Rankings!H$2:'Rankings'!H$1000,ROW()),Rankings!H$2:'Rankings'!H$1000,0))</f>
        <v>Zahlen Titcomb</v>
      </c>
      <c r="C870" t="str">
        <f>INDEX(Rankings!C$2:'Rankings'!C$1149,MATCH(SMALL(Rankings!H$2:'Rankings'!H$1000,ROW()),Rankings!H$2:'Rankings'!H$1000,0))</f>
        <v>Zahlen Titcomb</v>
      </c>
      <c r="D870" t="str">
        <f>INDEX(Rankings!C$2:'Rankings'!C$1149,MATCH(SMALL(Rankings!H$2:'Rankings'!H$1000,ROW()),Rankings!H$2:'Rankings'!H$1000,0))</f>
        <v>Zahlen Titcomb</v>
      </c>
      <c r="G870" t="str">
        <f>INDEX(Rankings!C$2:'Rankings'!C$1149,MATCH(SMALL(Rankings!H$2:'Rankings'!H$1000,ROW()),Rankings!H$2:'Rankings'!H$1000,0))</f>
        <v>Zahlen Titcomb</v>
      </c>
    </row>
    <row r="871" spans="2:7" hidden="1" outlineLevel="1" x14ac:dyDescent="0.25">
      <c r="B871" t="str">
        <f>INDEX(Rankings!C$2:'Rankings'!C$1149,MATCH(SMALL(Rankings!H$2:'Rankings'!H$1000,ROW()),Rankings!H$2:'Rankings'!H$1000,0))</f>
        <v>Zé Luis</v>
      </c>
      <c r="C871" t="str">
        <f>INDEX(Rankings!C$2:'Rankings'!C$1149,MATCH(SMALL(Rankings!H$2:'Rankings'!H$1000,ROW()),Rankings!H$2:'Rankings'!H$1000,0))</f>
        <v>Zé Luis</v>
      </c>
      <c r="D871" t="str">
        <f>INDEX(Rankings!C$2:'Rankings'!C$1149,MATCH(SMALL(Rankings!H$2:'Rankings'!H$1000,ROW()),Rankings!H$2:'Rankings'!H$1000,0))</f>
        <v>Zé Luis</v>
      </c>
      <c r="G871" t="str">
        <f>INDEX(Rankings!C$2:'Rankings'!C$1149,MATCH(SMALL(Rankings!H$2:'Rankings'!H$1000,ROW()),Rankings!H$2:'Rankings'!H$1000,0))</f>
        <v>Zé Luis</v>
      </c>
    </row>
    <row r="872" spans="2:7" hidden="1" outlineLevel="1" x14ac:dyDescent="0.25">
      <c r="B872" t="str">
        <f>INDEX(Rankings!C$2:'Rankings'!C$1149,MATCH(SMALL(Rankings!H$2:'Rankings'!H$1000,ROW()),Rankings!H$2:'Rankings'!H$1000,0))</f>
        <v>Zeno Legner</v>
      </c>
      <c r="C872" t="str">
        <f>INDEX(Rankings!C$2:'Rankings'!C$1149,MATCH(SMALL(Rankings!H$2:'Rankings'!H$1000,ROW()),Rankings!H$2:'Rankings'!H$1000,0))</f>
        <v>Zeno Legner</v>
      </c>
      <c r="D872" t="str">
        <f>INDEX(Rankings!C$2:'Rankings'!C$1149,MATCH(SMALL(Rankings!H$2:'Rankings'!H$1000,ROW()),Rankings!H$2:'Rankings'!H$1000,0))</f>
        <v>Zeno Legner</v>
      </c>
      <c r="G872" t="str">
        <f>INDEX(Rankings!C$2:'Rankings'!C$1149,MATCH(SMALL(Rankings!H$2:'Rankings'!H$1000,ROW()),Rankings!H$2:'Rankings'!H$1000,0))</f>
        <v>Zeno Legner</v>
      </c>
    </row>
    <row r="873" spans="2:7" hidden="1" outlineLevel="1" x14ac:dyDescent="0.25">
      <c r="B873" t="str">
        <f>INDEX(Rankings!C$2:'Rankings'!C$1149,MATCH(SMALL(Rankings!H$2:'Rankings'!H$1000,ROW()),Rankings!H$2:'Rankings'!H$1000,0))</f>
        <v>Ziv Lavy</v>
      </c>
      <c r="C873" t="str">
        <f>INDEX(Rankings!C$2:'Rankings'!C$1149,MATCH(SMALL(Rankings!H$2:'Rankings'!H$1000,ROW()),Rankings!H$2:'Rankings'!H$1000,0))</f>
        <v>Ziv Lavy</v>
      </c>
      <c r="D873" t="str">
        <f>INDEX(Rankings!C$2:'Rankings'!C$1149,MATCH(SMALL(Rankings!H$2:'Rankings'!H$1000,ROW()),Rankings!H$2:'Rankings'!H$1000,0))</f>
        <v>Ziv Lavy</v>
      </c>
      <c r="G873" t="str">
        <f>INDEX(Rankings!C$2:'Rankings'!C$1149,MATCH(SMALL(Rankings!H$2:'Rankings'!H$1000,ROW()),Rankings!H$2:'Rankings'!H$1000,0))</f>
        <v>Ziv Lavy</v>
      </c>
    </row>
    <row r="874" spans="2:7" hidden="1" outlineLevel="1" x14ac:dyDescent="0.25">
      <c r="B874" t="str">
        <f>INDEX(Rankings!C$2:'Rankings'!C$1149,MATCH(SMALL(Rankings!H$2:'Rankings'!H$1000,ROW()),Rankings!H$2:'Rankings'!H$1000,0))</f>
        <v>Zuzana Mala</v>
      </c>
      <c r="C874" t="str">
        <f>INDEX(Rankings!C$2:'Rankings'!C$1149,MATCH(SMALL(Rankings!H$2:'Rankings'!H$1000,ROW()),Rankings!H$2:'Rankings'!H$1000,0))</f>
        <v>Zuzana Mala</v>
      </c>
      <c r="D874" t="str">
        <f>INDEX(Rankings!C$2:'Rankings'!C$1149,MATCH(SMALL(Rankings!H$2:'Rankings'!H$1000,ROW()),Rankings!H$2:'Rankings'!H$1000,0))</f>
        <v>Zuzana Mala</v>
      </c>
      <c r="G874" t="str">
        <f>INDEX(Rankings!C$2:'Rankings'!C$1149,MATCH(SMALL(Rankings!H$2:'Rankings'!H$1000,ROW()),Rankings!H$2:'Rankings'!H$1000,0))</f>
        <v>Zuzana Mala</v>
      </c>
    </row>
    <row r="875" spans="2:7" hidden="1" outlineLevel="1" x14ac:dyDescent="0.25">
      <c r="B875" t="str">
        <f>INDEX(Rankings!C$2:'Rankings'!C$1149,MATCH(SMALL(Rankings!H$2:'Rankings'!H$1000,ROW()),Rankings!H$2:'Rankings'!H$1000,0))</f>
        <v>Ryan Vinoski</v>
      </c>
      <c r="C875" t="str">
        <f>INDEX(Rankings!C$2:'Rankings'!C$1149,MATCH(SMALL(Rankings!H$2:'Rankings'!H$1000,ROW()),Rankings!H$2:'Rankings'!H$1000,0))</f>
        <v>Ryan Vinoski</v>
      </c>
      <c r="D875" t="str">
        <f>INDEX(Rankings!C$2:'Rankings'!C$1149,MATCH(SMALL(Rankings!H$2:'Rankings'!H$1000,ROW()),Rankings!H$2:'Rankings'!H$1000,0))</f>
        <v>Ryan Vinoski</v>
      </c>
      <c r="G875"/>
    </row>
    <row r="876" spans="2:7" hidden="1" outlineLevel="1" x14ac:dyDescent="0.25">
      <c r="B876" t="str">
        <f>INDEX(Rankings!C$2:'Rankings'!C$1149,MATCH(SMALL(Rankings!H$2:'Rankings'!H$1000,ROW()),Rankings!H$2:'Rankings'!H$1000,0))</f>
        <v>Ryan Vinoski</v>
      </c>
      <c r="C876" t="str">
        <f>INDEX(Rankings!C$2:'Rankings'!C$1149,MATCH(SMALL(Rankings!H$2:'Rankings'!H$1000,ROW()),Rankings!H$2:'Rankings'!H$1000,0))</f>
        <v>Ryan Vinoski</v>
      </c>
      <c r="D876" t="str">
        <f>INDEX(Rankings!C$2:'Rankings'!C$1149,MATCH(SMALL(Rankings!H$2:'Rankings'!H$1000,ROW()),Rankings!H$2:'Rankings'!H$1000,0))</f>
        <v>Ryan Vinoski</v>
      </c>
      <c r="G876"/>
    </row>
    <row r="877" spans="2:7" hidden="1" outlineLevel="1" x14ac:dyDescent="0.25">
      <c r="B877" t="str">
        <f>INDEX(Rankings!C$2:'Rankings'!C$1149,MATCH(SMALL(Rankings!H$2:'Rankings'!H$1000,ROW()),Rankings!H$2:'Rankings'!H$1000,0))</f>
        <v>Ryan Vinoski</v>
      </c>
      <c r="C877" t="str">
        <f>INDEX(Rankings!C$2:'Rankings'!C$1149,MATCH(SMALL(Rankings!H$2:'Rankings'!H$1000,ROW()),Rankings!H$2:'Rankings'!H$1000,0))</f>
        <v>Ryan Vinoski</v>
      </c>
      <c r="D877" t="str">
        <f>INDEX(Rankings!C$2:'Rankings'!C$1149,MATCH(SMALL(Rankings!H$2:'Rankings'!H$1000,ROW()),Rankings!H$2:'Rankings'!H$1000,0))</f>
        <v>Ryan Vinoski</v>
      </c>
    </row>
    <row r="878" spans="2:7" hidden="1" outlineLevel="1" x14ac:dyDescent="0.25">
      <c r="B878" t="str">
        <f>INDEX(Rankings!C$2:'Rankings'!C$1149,MATCH(SMALL(Rankings!H$2:'Rankings'!H$1000,ROW()),Rankings!H$2:'Rankings'!H$1000,0))</f>
        <v>Ryan Vinoski</v>
      </c>
      <c r="C878" t="str">
        <f>INDEX(Rankings!C$2:'Rankings'!C$1149,MATCH(SMALL(Rankings!H$2:'Rankings'!H$1000,ROW()),Rankings!H$2:'Rankings'!H$1000,0))</f>
        <v>Ryan Vinoski</v>
      </c>
      <c r="D878" t="str">
        <f>INDEX(Rankings!C$2:'Rankings'!C$1149,MATCH(SMALL(Rankings!H$2:'Rankings'!H$1000,ROW()),Rankings!H$2:'Rankings'!H$1000,0))</f>
        <v>Ryan Vinoski</v>
      </c>
    </row>
    <row r="879" spans="2:7" hidden="1" outlineLevel="1" x14ac:dyDescent="0.25">
      <c r="B879" t="str">
        <f>INDEX(Rankings!C$2:'Rankings'!C$1149,MATCH(SMALL(Rankings!H$2:'Rankings'!H$1000,ROW()),Rankings!H$2:'Rankings'!H$1000,0))</f>
        <v>Ryan Vinoski</v>
      </c>
      <c r="C879" t="str">
        <f>INDEX(Rankings!C$2:'Rankings'!C$1149,MATCH(SMALL(Rankings!H$2:'Rankings'!H$1000,ROW()),Rankings!H$2:'Rankings'!H$1000,0))</f>
        <v>Ryan Vinoski</v>
      </c>
      <c r="D879" t="str">
        <f>INDEX(Rankings!C$2:'Rankings'!C$1149,MATCH(SMALL(Rankings!H$2:'Rankings'!H$1000,ROW()),Rankings!H$2:'Rankings'!H$1000,0))</f>
        <v>Ryan Vinoski</v>
      </c>
    </row>
    <row r="880" spans="2:7" hidden="1" outlineLevel="1" x14ac:dyDescent="0.25">
      <c r="B880" t="str">
        <f>INDEX(Rankings!C$2:'Rankings'!C$1149,MATCH(SMALL(Rankings!H$2:'Rankings'!H$1000,ROW()),Rankings!H$2:'Rankings'!H$1000,0))</f>
        <v>Ryan Vinoski</v>
      </c>
      <c r="C880" t="str">
        <f>INDEX(Rankings!C$2:'Rankings'!C$1149,MATCH(SMALL(Rankings!H$2:'Rankings'!H$1000,ROW()),Rankings!H$2:'Rankings'!H$1000,0))</f>
        <v>Ryan Vinoski</v>
      </c>
      <c r="D880" t="str">
        <f>INDEX(Rankings!C$2:'Rankings'!C$1149,MATCH(SMALL(Rankings!H$2:'Rankings'!H$1000,ROW()),Rankings!H$2:'Rankings'!H$1000,0))</f>
        <v>Ryan Vinoski</v>
      </c>
    </row>
    <row r="881" spans="2:4" hidden="1" outlineLevel="1" x14ac:dyDescent="0.25">
      <c r="B881" t="str">
        <f>INDEX(Rankings!C$2:'Rankings'!C$1149,MATCH(SMALL(Rankings!H$2:'Rankings'!H$1000,ROW()),Rankings!H$2:'Rankings'!H$1000,0))</f>
        <v>Ryan Vinoski</v>
      </c>
      <c r="C881" t="str">
        <f>INDEX(Rankings!C$2:'Rankings'!C$1149,MATCH(SMALL(Rankings!H$2:'Rankings'!H$1000,ROW()),Rankings!H$2:'Rankings'!H$1000,0))</f>
        <v>Ryan Vinoski</v>
      </c>
      <c r="D881" t="str">
        <f>INDEX(Rankings!C$2:'Rankings'!C$1149,MATCH(SMALL(Rankings!H$2:'Rankings'!H$1000,ROW()),Rankings!H$2:'Rankings'!H$1000,0))</f>
        <v>Ryan Vinoski</v>
      </c>
    </row>
    <row r="882" spans="2:4" hidden="1" outlineLevel="1" x14ac:dyDescent="0.25">
      <c r="B882" t="str">
        <f>INDEX(Rankings!C$2:'Rankings'!C$1149,MATCH(SMALL(Rankings!H$2:'Rankings'!H$1000,ROW()),Rankings!H$2:'Rankings'!H$1000,0))</f>
        <v>Ryan Vinoski</v>
      </c>
      <c r="C882" t="str">
        <f>INDEX(Rankings!C$2:'Rankings'!C$1149,MATCH(SMALL(Rankings!H$2:'Rankings'!H$1000,ROW()),Rankings!H$2:'Rankings'!H$1000,0))</f>
        <v>Ryan Vinoski</v>
      </c>
      <c r="D882" t="str">
        <f>INDEX(Rankings!C$2:'Rankings'!C$1149,MATCH(SMALL(Rankings!H$2:'Rankings'!H$1000,ROW()),Rankings!H$2:'Rankings'!H$1000,0))</f>
        <v>Ryan Vinoski</v>
      </c>
    </row>
    <row r="883" spans="2:4" hidden="1" outlineLevel="1" x14ac:dyDescent="0.25">
      <c r="B883" t="str">
        <f>INDEX(Rankings!C$2:'Rankings'!C$1149,MATCH(SMALL(Rankings!H$2:'Rankings'!H$1000,ROW()),Rankings!H$2:'Rankings'!H$1000,0))</f>
        <v>Ryan Vinoski</v>
      </c>
      <c r="C883" t="str">
        <f>INDEX(Rankings!C$2:'Rankings'!C$1149,MATCH(SMALL(Rankings!H$2:'Rankings'!H$1000,ROW()),Rankings!H$2:'Rankings'!H$1000,0))</f>
        <v>Ryan Vinoski</v>
      </c>
      <c r="D883" t="str">
        <f>INDEX(Rankings!C$2:'Rankings'!C$1149,MATCH(SMALL(Rankings!H$2:'Rankings'!H$1000,ROW()),Rankings!H$2:'Rankings'!H$1000,0))</f>
        <v>Ryan Vinoski</v>
      </c>
    </row>
    <row r="884" spans="2:4" hidden="1" outlineLevel="1" x14ac:dyDescent="0.25">
      <c r="B884" t="str">
        <f>INDEX(Rankings!C$2:'Rankings'!C$1149,MATCH(SMALL(Rankings!H$2:'Rankings'!H$1000,ROW()),Rankings!H$2:'Rankings'!H$1000,0))</f>
        <v>Ryan Vinoski</v>
      </c>
      <c r="C884" t="str">
        <f>INDEX(Rankings!C$2:'Rankings'!C$1149,MATCH(SMALL(Rankings!H$2:'Rankings'!H$1000,ROW()),Rankings!H$2:'Rankings'!H$1000,0))</f>
        <v>Ryan Vinoski</v>
      </c>
      <c r="D884" t="str">
        <f>INDEX(Rankings!C$2:'Rankings'!C$1149,MATCH(SMALL(Rankings!H$2:'Rankings'!H$1000,ROW()),Rankings!H$2:'Rankings'!H$1000,0))</f>
        <v>Ryan Vinoski</v>
      </c>
    </row>
    <row r="885" spans="2:4" hidden="1" outlineLevel="1" x14ac:dyDescent="0.25">
      <c r="B885" t="str">
        <f>INDEX(Rankings!C$2:'Rankings'!C$1149,MATCH(SMALL(Rankings!H$2:'Rankings'!H$1000,ROW()),Rankings!H$2:'Rankings'!H$1000,0))</f>
        <v>Ryan Vinoski</v>
      </c>
      <c r="C885" t="str">
        <f>INDEX(Rankings!C$2:'Rankings'!C$1149,MATCH(SMALL(Rankings!H$2:'Rankings'!H$1000,ROW()),Rankings!H$2:'Rankings'!H$1000,0))</f>
        <v>Ryan Vinoski</v>
      </c>
      <c r="D885" t="str">
        <f>INDEX(Rankings!C$2:'Rankings'!C$1149,MATCH(SMALL(Rankings!H$2:'Rankings'!H$1000,ROW()),Rankings!H$2:'Rankings'!H$1000,0))</f>
        <v>Ryan Vinoski</v>
      </c>
    </row>
    <row r="886" spans="2:4" hidden="1" outlineLevel="1" x14ac:dyDescent="0.25">
      <c r="B886" t="str">
        <f>INDEX(Rankings!C$2:'Rankings'!C$1149,MATCH(SMALL(Rankings!H$2:'Rankings'!H$1000,ROW()),Rankings!H$2:'Rankings'!H$1000,0))</f>
        <v>Ryan Vinoski</v>
      </c>
      <c r="C886" t="str">
        <f>INDEX(Rankings!C$2:'Rankings'!C$1149,MATCH(SMALL(Rankings!H$2:'Rankings'!H$1000,ROW()),Rankings!H$2:'Rankings'!H$1000,0))</f>
        <v>Ryan Vinoski</v>
      </c>
      <c r="D886" t="str">
        <f>INDEX(Rankings!C$2:'Rankings'!C$1149,MATCH(SMALL(Rankings!H$2:'Rankings'!H$1000,ROW()),Rankings!H$2:'Rankings'!H$1000,0))</f>
        <v>Ryan Vinoski</v>
      </c>
    </row>
    <row r="887" spans="2:4" hidden="1" outlineLevel="1" x14ac:dyDescent="0.25">
      <c r="B887" t="str">
        <f>INDEX(Rankings!C$2:'Rankings'!C$1149,MATCH(SMALL(Rankings!H$2:'Rankings'!H$1000,ROW()),Rankings!H$2:'Rankings'!H$1000,0))</f>
        <v>Ryan Vinoski</v>
      </c>
      <c r="C887" t="str">
        <f>INDEX(Rankings!C$2:'Rankings'!C$1149,MATCH(SMALL(Rankings!H$2:'Rankings'!H$1000,ROW()),Rankings!H$2:'Rankings'!H$1000,0))</f>
        <v>Ryan Vinoski</v>
      </c>
      <c r="D887" t="str">
        <f>INDEX(Rankings!C$2:'Rankings'!C$1149,MATCH(SMALL(Rankings!H$2:'Rankings'!H$1000,ROW()),Rankings!H$2:'Rankings'!H$1000,0))</f>
        <v>Ryan Vinoski</v>
      </c>
    </row>
    <row r="888" spans="2:4" hidden="1" outlineLevel="1" x14ac:dyDescent="0.25">
      <c r="B888" t="str">
        <f>INDEX(Rankings!C$2:'Rankings'!C$1149,MATCH(SMALL(Rankings!H$2:'Rankings'!H$1000,ROW()),Rankings!H$2:'Rankings'!H$1000,0))</f>
        <v>Ryan Vinoski</v>
      </c>
      <c r="C888" t="str">
        <f>INDEX(Rankings!C$2:'Rankings'!C$1149,MATCH(SMALL(Rankings!H$2:'Rankings'!H$1000,ROW()),Rankings!H$2:'Rankings'!H$1000,0))</f>
        <v>Ryan Vinoski</v>
      </c>
      <c r="D888" t="str">
        <f>INDEX(Rankings!C$2:'Rankings'!C$1149,MATCH(SMALL(Rankings!H$2:'Rankings'!H$1000,ROW()),Rankings!H$2:'Rankings'!H$1000,0))</f>
        <v>Ryan Vinoski</v>
      </c>
    </row>
    <row r="889" spans="2:4" hidden="1" outlineLevel="1" x14ac:dyDescent="0.25">
      <c r="B889" t="str">
        <f>INDEX(Rankings!C$2:'Rankings'!C$1149,MATCH(SMALL(Rankings!H$2:'Rankings'!H$1000,ROW()),Rankings!H$2:'Rankings'!H$1000,0))</f>
        <v>Ryan Vinoski</v>
      </c>
      <c r="C889" t="str">
        <f>INDEX(Rankings!C$2:'Rankings'!C$1149,MATCH(SMALL(Rankings!H$2:'Rankings'!H$1000,ROW()),Rankings!H$2:'Rankings'!H$1000,0))</f>
        <v>Ryan Vinoski</v>
      </c>
      <c r="D889" t="str">
        <f>INDEX(Rankings!C$2:'Rankings'!C$1149,MATCH(SMALL(Rankings!H$2:'Rankings'!H$1000,ROW()),Rankings!H$2:'Rankings'!H$1000,0))</f>
        <v>Ryan Vinoski</v>
      </c>
    </row>
    <row r="890" spans="2:4" hidden="1" outlineLevel="1" x14ac:dyDescent="0.25">
      <c r="B890" t="str">
        <f>INDEX(Rankings!C$2:'Rankings'!C$1149,MATCH(SMALL(Rankings!H$2:'Rankings'!H$1000,ROW()),Rankings!H$2:'Rankings'!H$1000,0))</f>
        <v>Ryan Vinoski</v>
      </c>
      <c r="C890" t="str">
        <f>INDEX(Rankings!C$2:'Rankings'!C$1149,MATCH(SMALL(Rankings!H$2:'Rankings'!H$1000,ROW()),Rankings!H$2:'Rankings'!H$1000,0))</f>
        <v>Ryan Vinoski</v>
      </c>
      <c r="D890" t="str">
        <f>INDEX(Rankings!C$2:'Rankings'!C$1149,MATCH(SMALL(Rankings!H$2:'Rankings'!H$1000,ROW()),Rankings!H$2:'Rankings'!H$1000,0))</f>
        <v>Ryan Vinoski</v>
      </c>
    </row>
    <row r="891" spans="2:4" hidden="1" outlineLevel="1" x14ac:dyDescent="0.25">
      <c r="B891" t="str">
        <f>INDEX(Rankings!C$2:'Rankings'!C$1149,MATCH(SMALL(Rankings!H$2:'Rankings'!H$1000,ROW()),Rankings!H$2:'Rankings'!H$1000,0))</f>
        <v>Ryan Vinoski</v>
      </c>
      <c r="C891" t="str">
        <f>INDEX(Rankings!C$2:'Rankings'!C$1149,MATCH(SMALL(Rankings!H$2:'Rankings'!H$1000,ROW()),Rankings!H$2:'Rankings'!H$1000,0))</f>
        <v>Ryan Vinoski</v>
      </c>
      <c r="D891" t="str">
        <f>INDEX(Rankings!C$2:'Rankings'!C$1149,MATCH(SMALL(Rankings!H$2:'Rankings'!H$1000,ROW()),Rankings!H$2:'Rankings'!H$1000,0))</f>
        <v>Ryan Vinoski</v>
      </c>
    </row>
    <row r="892" spans="2:4" hidden="1" outlineLevel="1" x14ac:dyDescent="0.25">
      <c r="B892" t="str">
        <f>INDEX(Rankings!C$2:'Rankings'!C$1149,MATCH(SMALL(Rankings!H$2:'Rankings'!H$1000,ROW()),Rankings!H$2:'Rankings'!H$1000,0))</f>
        <v>Ryan Vinoski</v>
      </c>
      <c r="C892" t="str">
        <f>INDEX(Rankings!C$2:'Rankings'!C$1149,MATCH(SMALL(Rankings!H$2:'Rankings'!H$1000,ROW()),Rankings!H$2:'Rankings'!H$1000,0))</f>
        <v>Ryan Vinoski</v>
      </c>
      <c r="D892" t="str">
        <f>INDEX(Rankings!C$2:'Rankings'!C$1149,MATCH(SMALL(Rankings!H$2:'Rankings'!H$1000,ROW()),Rankings!H$2:'Rankings'!H$1000,0))</f>
        <v>Ryan Vinoski</v>
      </c>
    </row>
    <row r="893" spans="2:4" hidden="1" outlineLevel="1" x14ac:dyDescent="0.25">
      <c r="B893" t="str">
        <f>INDEX(Rankings!C$2:'Rankings'!C$1149,MATCH(SMALL(Rankings!H$2:'Rankings'!H$1000,ROW()),Rankings!H$2:'Rankings'!H$1000,0))</f>
        <v>Ryan Vinoski</v>
      </c>
      <c r="C893" t="str">
        <f>INDEX(Rankings!C$2:'Rankings'!C$1149,MATCH(SMALL(Rankings!H$2:'Rankings'!H$1000,ROW()),Rankings!H$2:'Rankings'!H$1000,0))</f>
        <v>Ryan Vinoski</v>
      </c>
      <c r="D893" t="str">
        <f>INDEX(Rankings!C$2:'Rankings'!C$1149,MATCH(SMALL(Rankings!H$2:'Rankings'!H$1000,ROW()),Rankings!H$2:'Rankings'!H$1000,0))</f>
        <v>Ryan Vinoski</v>
      </c>
    </row>
    <row r="894" spans="2:4" hidden="1" outlineLevel="1" x14ac:dyDescent="0.25">
      <c r="B894" t="str">
        <f>INDEX(Rankings!C$2:'Rankings'!C$1149,MATCH(SMALL(Rankings!H$2:'Rankings'!H$1000,ROW()),Rankings!H$2:'Rankings'!H$1000,0))</f>
        <v>Ryan Vinoski</v>
      </c>
      <c r="C894" t="str">
        <f>INDEX(Rankings!C$2:'Rankings'!C$1149,MATCH(SMALL(Rankings!H$2:'Rankings'!H$1000,ROW()),Rankings!H$2:'Rankings'!H$1000,0))</f>
        <v>Ryan Vinoski</v>
      </c>
      <c r="D894" t="str">
        <f>INDEX(Rankings!C$2:'Rankings'!C$1149,MATCH(SMALL(Rankings!H$2:'Rankings'!H$1000,ROW()),Rankings!H$2:'Rankings'!H$1000,0))</f>
        <v>Ryan Vinoski</v>
      </c>
    </row>
    <row r="895" spans="2:4" hidden="1" outlineLevel="1" x14ac:dyDescent="0.25">
      <c r="B895" t="str">
        <f>INDEX(Rankings!C$2:'Rankings'!C$1149,MATCH(SMALL(Rankings!H$2:'Rankings'!H$1000,ROW()),Rankings!H$2:'Rankings'!H$1000,0))</f>
        <v>Ryan Vinoski</v>
      </c>
      <c r="C895" t="str">
        <f>INDEX(Rankings!C$2:'Rankings'!C$1149,MATCH(SMALL(Rankings!H$2:'Rankings'!H$1000,ROW()),Rankings!H$2:'Rankings'!H$1000,0))</f>
        <v>Ryan Vinoski</v>
      </c>
      <c r="D895" t="str">
        <f>INDEX(Rankings!C$2:'Rankings'!C$1149,MATCH(SMALL(Rankings!H$2:'Rankings'!H$1000,ROW()),Rankings!H$2:'Rankings'!H$1000,0))</f>
        <v>Ryan Vinoski</v>
      </c>
    </row>
    <row r="896" spans="2:4" hidden="1" outlineLevel="1" x14ac:dyDescent="0.25">
      <c r="B896" t="str">
        <f>INDEX(Rankings!C$2:'Rankings'!C$1149,MATCH(SMALL(Rankings!H$2:'Rankings'!H$1000,ROW()),Rankings!H$2:'Rankings'!H$1000,0))</f>
        <v>Ryan Vinoski</v>
      </c>
      <c r="C896" t="str">
        <f>INDEX(Rankings!C$2:'Rankings'!C$1149,MATCH(SMALL(Rankings!H$2:'Rankings'!H$1000,ROW()),Rankings!H$2:'Rankings'!H$1000,0))</f>
        <v>Ryan Vinoski</v>
      </c>
      <c r="D896" t="str">
        <f>INDEX(Rankings!C$2:'Rankings'!C$1149,MATCH(SMALL(Rankings!H$2:'Rankings'!H$1000,ROW()),Rankings!H$2:'Rankings'!H$1000,0))</f>
        <v>Ryan Vinoski</v>
      </c>
    </row>
    <row r="897" spans="2:4" hidden="1" outlineLevel="1" x14ac:dyDescent="0.25">
      <c r="B897" t="str">
        <f>INDEX(Rankings!C$2:'Rankings'!C$1149,MATCH(SMALL(Rankings!H$2:'Rankings'!H$1000,ROW()),Rankings!H$2:'Rankings'!H$1000,0))</f>
        <v>Ryan Vinoski</v>
      </c>
      <c r="C897" t="str">
        <f>INDEX(Rankings!C$2:'Rankings'!C$1149,MATCH(SMALL(Rankings!H$2:'Rankings'!H$1000,ROW()),Rankings!H$2:'Rankings'!H$1000,0))</f>
        <v>Ryan Vinoski</v>
      </c>
      <c r="D897" t="str">
        <f>INDEX(Rankings!C$2:'Rankings'!C$1149,MATCH(SMALL(Rankings!H$2:'Rankings'!H$1000,ROW()),Rankings!H$2:'Rankings'!H$1000,0))</f>
        <v>Ryan Vinoski</v>
      </c>
    </row>
    <row r="898" spans="2:4" hidden="1" outlineLevel="1" x14ac:dyDescent="0.25">
      <c r="B898" t="str">
        <f>INDEX(Rankings!C$2:'Rankings'!C$1149,MATCH(SMALL(Rankings!H$2:'Rankings'!H$1000,ROW()),Rankings!H$2:'Rankings'!H$1000,0))</f>
        <v>Ryan Vinoski</v>
      </c>
      <c r="C898" t="str">
        <f>INDEX(Rankings!C$2:'Rankings'!C$1149,MATCH(SMALL(Rankings!H$2:'Rankings'!H$1000,ROW()),Rankings!H$2:'Rankings'!H$1000,0))</f>
        <v>Ryan Vinoski</v>
      </c>
      <c r="D898" t="str">
        <f>INDEX(Rankings!C$2:'Rankings'!C$1149,MATCH(SMALL(Rankings!H$2:'Rankings'!H$1000,ROW()),Rankings!H$2:'Rankings'!H$1000,0))</f>
        <v>Ryan Vinoski</v>
      </c>
    </row>
    <row r="899" spans="2:4" hidden="1" outlineLevel="1" x14ac:dyDescent="0.25">
      <c r="B899" t="str">
        <f>INDEX(Rankings!C$2:'Rankings'!C$1149,MATCH(SMALL(Rankings!H$2:'Rankings'!H$1000,ROW()),Rankings!H$2:'Rankings'!H$1000,0))</f>
        <v>Ryan Vinoski</v>
      </c>
      <c r="C899" t="str">
        <f>INDEX(Rankings!C$2:'Rankings'!C$1149,MATCH(SMALL(Rankings!H$2:'Rankings'!H$1000,ROW()),Rankings!H$2:'Rankings'!H$1000,0))</f>
        <v>Ryan Vinoski</v>
      </c>
      <c r="D899" t="str">
        <f>INDEX(Rankings!C$2:'Rankings'!C$1149,MATCH(SMALL(Rankings!H$2:'Rankings'!H$1000,ROW()),Rankings!H$2:'Rankings'!H$1000,0))</f>
        <v>Ryan Vinoski</v>
      </c>
    </row>
    <row r="900" spans="2:4" hidden="1" outlineLevel="1" x14ac:dyDescent="0.25">
      <c r="B900" t="str">
        <f>INDEX(Rankings!C$2:'Rankings'!C$1149,MATCH(SMALL(Rankings!H$2:'Rankings'!H$1000,ROW()),Rankings!H$2:'Rankings'!H$1000,0))</f>
        <v>Ryan Vinoski</v>
      </c>
      <c r="C900" t="str">
        <f>INDEX(Rankings!C$2:'Rankings'!C$1149,MATCH(SMALL(Rankings!H$2:'Rankings'!H$1000,ROW()),Rankings!H$2:'Rankings'!H$1000,0))</f>
        <v>Ryan Vinoski</v>
      </c>
      <c r="D900" t="str">
        <f>INDEX(Rankings!C$2:'Rankings'!C$1149,MATCH(SMALL(Rankings!H$2:'Rankings'!H$1000,ROW()),Rankings!H$2:'Rankings'!H$1000,0))</f>
        <v>Ryan Vinoski</v>
      </c>
    </row>
    <row r="901" spans="2:4" hidden="1" outlineLevel="1" x14ac:dyDescent="0.25">
      <c r="B901" t="str">
        <f>INDEX(Rankings!C$2:'Rankings'!C$1149,MATCH(SMALL(Rankings!H$2:'Rankings'!H$1000,ROW()),Rankings!H$2:'Rankings'!H$1000,0))</f>
        <v>Ryan Vinoski</v>
      </c>
      <c r="C901" t="str">
        <f>INDEX(Rankings!C$2:'Rankings'!C$1149,MATCH(SMALL(Rankings!H$2:'Rankings'!H$1000,ROW()),Rankings!H$2:'Rankings'!H$1000,0))</f>
        <v>Ryan Vinoski</v>
      </c>
      <c r="D901" t="str">
        <f>INDEX(Rankings!C$2:'Rankings'!C$1149,MATCH(SMALL(Rankings!H$2:'Rankings'!H$1000,ROW()),Rankings!H$2:'Rankings'!H$1000,0))</f>
        <v>Ryan Vinoski</v>
      </c>
    </row>
    <row r="902" spans="2:4" hidden="1" outlineLevel="1" x14ac:dyDescent="0.25">
      <c r="B902" t="str">
        <f>INDEX(Rankings!C$2:'Rankings'!C$1149,MATCH(SMALL(Rankings!H$2:'Rankings'!H$1000,ROW()),Rankings!H$2:'Rankings'!H$1000,0))</f>
        <v>Ryan Vinoski</v>
      </c>
      <c r="C902" t="str">
        <f>INDEX(Rankings!C$2:'Rankings'!C$1149,MATCH(SMALL(Rankings!H$2:'Rankings'!H$1000,ROW()),Rankings!H$2:'Rankings'!H$1000,0))</f>
        <v>Ryan Vinoski</v>
      </c>
      <c r="D902" t="str">
        <f>INDEX(Rankings!C$2:'Rankings'!C$1149,MATCH(SMALL(Rankings!H$2:'Rankings'!H$1000,ROW()),Rankings!H$2:'Rankings'!H$1000,0))</f>
        <v>Ryan Vinoski</v>
      </c>
    </row>
    <row r="903" spans="2:4" hidden="1" outlineLevel="1" x14ac:dyDescent="0.25">
      <c r="B903" t="str">
        <f>INDEX(Rankings!C$2:'Rankings'!C$1149,MATCH(SMALL(Rankings!H$2:'Rankings'!H$1000,ROW()),Rankings!H$2:'Rankings'!H$1000,0))</f>
        <v>Ryan Vinoski</v>
      </c>
      <c r="C903" t="str">
        <f>INDEX(Rankings!C$2:'Rankings'!C$1149,MATCH(SMALL(Rankings!H$2:'Rankings'!H$1000,ROW()),Rankings!H$2:'Rankings'!H$1000,0))</f>
        <v>Ryan Vinoski</v>
      </c>
      <c r="D903" t="str">
        <f>INDEX(Rankings!C$2:'Rankings'!C$1149,MATCH(SMALL(Rankings!H$2:'Rankings'!H$1000,ROW()),Rankings!H$2:'Rankings'!H$1000,0))</f>
        <v>Ryan Vinoski</v>
      </c>
    </row>
    <row r="904" spans="2:4" hidden="1" outlineLevel="1" x14ac:dyDescent="0.25">
      <c r="B904" t="str">
        <f>INDEX(Rankings!C$2:'Rankings'!C$1149,MATCH(SMALL(Rankings!H$2:'Rankings'!H$1000,ROW()),Rankings!H$2:'Rankings'!H$1000,0))</f>
        <v>Ryan Vinoski</v>
      </c>
      <c r="C904" t="str">
        <f>INDEX(Rankings!C$2:'Rankings'!C$1149,MATCH(SMALL(Rankings!H$2:'Rankings'!H$1000,ROW()),Rankings!H$2:'Rankings'!H$1000,0))</f>
        <v>Ryan Vinoski</v>
      </c>
      <c r="D904" t="str">
        <f>INDEX(Rankings!C$2:'Rankings'!C$1149,MATCH(SMALL(Rankings!H$2:'Rankings'!H$1000,ROW()),Rankings!H$2:'Rankings'!H$1000,0))</f>
        <v>Ryan Vinoski</v>
      </c>
    </row>
    <row r="905" spans="2:4" hidden="1" outlineLevel="1" x14ac:dyDescent="0.25">
      <c r="B905" t="str">
        <f>INDEX(Rankings!C$2:'Rankings'!C$1149,MATCH(SMALL(Rankings!H$2:'Rankings'!H$1000,ROW()),Rankings!H$2:'Rankings'!H$1000,0))</f>
        <v>Ryan Vinoski</v>
      </c>
      <c r="C905" t="str">
        <f>INDEX(Rankings!C$2:'Rankings'!C$1149,MATCH(SMALL(Rankings!H$2:'Rankings'!H$1000,ROW()),Rankings!H$2:'Rankings'!H$1000,0))</f>
        <v>Ryan Vinoski</v>
      </c>
      <c r="D905" t="str">
        <f>INDEX(Rankings!C$2:'Rankings'!C$1149,MATCH(SMALL(Rankings!H$2:'Rankings'!H$1000,ROW()),Rankings!H$2:'Rankings'!H$1000,0))</f>
        <v>Ryan Vinoski</v>
      </c>
    </row>
    <row r="906" spans="2:4" hidden="1" outlineLevel="1" x14ac:dyDescent="0.25">
      <c r="B906" t="str">
        <f>INDEX(Rankings!C$2:'Rankings'!C$1149,MATCH(SMALL(Rankings!H$2:'Rankings'!H$1000,ROW()),Rankings!H$2:'Rankings'!H$1000,0))</f>
        <v>Ryan Vinoski</v>
      </c>
      <c r="C906" t="str">
        <f>INDEX(Rankings!C$2:'Rankings'!C$1149,MATCH(SMALL(Rankings!H$2:'Rankings'!H$1000,ROW()),Rankings!H$2:'Rankings'!H$1000,0))</f>
        <v>Ryan Vinoski</v>
      </c>
      <c r="D906" t="str">
        <f>INDEX(Rankings!C$2:'Rankings'!C$1149,MATCH(SMALL(Rankings!H$2:'Rankings'!H$1000,ROW()),Rankings!H$2:'Rankings'!H$1000,0))</f>
        <v>Ryan Vinoski</v>
      </c>
    </row>
    <row r="907" spans="2:4" hidden="1" outlineLevel="1" x14ac:dyDescent="0.25">
      <c r="B907" t="str">
        <f>INDEX(Rankings!C$2:'Rankings'!C$1149,MATCH(SMALL(Rankings!H$2:'Rankings'!H$1000,ROW()),Rankings!H$2:'Rankings'!H$1000,0))</f>
        <v>Ryan Vinoski</v>
      </c>
      <c r="C907" t="str">
        <f>INDEX(Rankings!C$2:'Rankings'!C$1149,MATCH(SMALL(Rankings!H$2:'Rankings'!H$1000,ROW()),Rankings!H$2:'Rankings'!H$1000,0))</f>
        <v>Ryan Vinoski</v>
      </c>
      <c r="D907" t="str">
        <f>INDEX(Rankings!C$2:'Rankings'!C$1149,MATCH(SMALL(Rankings!H$2:'Rankings'!H$1000,ROW()),Rankings!H$2:'Rankings'!H$1000,0))</f>
        <v>Ryan Vinoski</v>
      </c>
    </row>
    <row r="908" spans="2:4" hidden="1" outlineLevel="1" x14ac:dyDescent="0.25">
      <c r="B908" t="str">
        <f>INDEX(Rankings!C$2:'Rankings'!C$1149,MATCH(SMALL(Rankings!H$2:'Rankings'!H$1000,ROW()),Rankings!H$2:'Rankings'!H$1000,0))</f>
        <v>Ryan Vinoski</v>
      </c>
      <c r="C908" t="str">
        <f>INDEX(Rankings!C$2:'Rankings'!C$1149,MATCH(SMALL(Rankings!H$2:'Rankings'!H$1000,ROW()),Rankings!H$2:'Rankings'!H$1000,0))</f>
        <v>Ryan Vinoski</v>
      </c>
      <c r="D908" t="str">
        <f>INDEX(Rankings!C$2:'Rankings'!C$1149,MATCH(SMALL(Rankings!H$2:'Rankings'!H$1000,ROW()),Rankings!H$2:'Rankings'!H$1000,0))</f>
        <v>Ryan Vinoski</v>
      </c>
    </row>
    <row r="909" spans="2:4" hidden="1" outlineLevel="1" x14ac:dyDescent="0.25">
      <c r="B909" t="str">
        <f>INDEX(Rankings!C$2:'Rankings'!C$1149,MATCH(SMALL(Rankings!H$2:'Rankings'!H$1000,ROW()),Rankings!H$2:'Rankings'!H$1000,0))</f>
        <v>Ryan Vinoski</v>
      </c>
      <c r="C909" t="str">
        <f>INDEX(Rankings!C$2:'Rankings'!C$1149,MATCH(SMALL(Rankings!H$2:'Rankings'!H$1000,ROW()),Rankings!H$2:'Rankings'!H$1000,0))</f>
        <v>Ryan Vinoski</v>
      </c>
      <c r="D909" t="str">
        <f>INDEX(Rankings!C$2:'Rankings'!C$1149,MATCH(SMALL(Rankings!H$2:'Rankings'!H$1000,ROW()),Rankings!H$2:'Rankings'!H$1000,0))</f>
        <v>Ryan Vinoski</v>
      </c>
    </row>
    <row r="910" spans="2:4" hidden="1" outlineLevel="1" x14ac:dyDescent="0.25">
      <c r="B910" t="str">
        <f>INDEX(Rankings!C$2:'Rankings'!C$1149,MATCH(SMALL(Rankings!H$2:'Rankings'!H$1000,ROW()),Rankings!H$2:'Rankings'!H$1000,0))</f>
        <v>Ryan Vinoski</v>
      </c>
      <c r="C910" t="str">
        <f>INDEX(Rankings!C$2:'Rankings'!C$1149,MATCH(SMALL(Rankings!H$2:'Rankings'!H$1000,ROW()),Rankings!H$2:'Rankings'!H$1000,0))</f>
        <v>Ryan Vinoski</v>
      </c>
      <c r="D910" t="str">
        <f>INDEX(Rankings!C$2:'Rankings'!C$1149,MATCH(SMALL(Rankings!H$2:'Rankings'!H$1000,ROW()),Rankings!H$2:'Rankings'!H$1000,0))</f>
        <v>Ryan Vinoski</v>
      </c>
    </row>
    <row r="911" spans="2:4" hidden="1" outlineLevel="1" x14ac:dyDescent="0.25">
      <c r="B911" t="str">
        <f>INDEX(Rankings!C$2:'Rankings'!C$1149,MATCH(SMALL(Rankings!H$2:'Rankings'!H$1000,ROW()),Rankings!H$2:'Rankings'!H$1000,0))</f>
        <v>Ryan Vinoski</v>
      </c>
      <c r="C911" t="str">
        <f>INDEX(Rankings!C$2:'Rankings'!C$1149,MATCH(SMALL(Rankings!H$2:'Rankings'!H$1000,ROW()),Rankings!H$2:'Rankings'!H$1000,0))</f>
        <v>Ryan Vinoski</v>
      </c>
      <c r="D911" t="str">
        <f>INDEX(Rankings!C$2:'Rankings'!C$1149,MATCH(SMALL(Rankings!H$2:'Rankings'!H$1000,ROW()),Rankings!H$2:'Rankings'!H$1000,0))</f>
        <v>Ryan Vinoski</v>
      </c>
    </row>
    <row r="912" spans="2:4" hidden="1" outlineLevel="1" x14ac:dyDescent="0.25">
      <c r="B912" t="str">
        <f>INDEX(Rankings!C$2:'Rankings'!C$1149,MATCH(SMALL(Rankings!H$2:'Rankings'!H$1000,ROW()),Rankings!H$2:'Rankings'!H$1000,0))</f>
        <v>Ryan Vinoski</v>
      </c>
      <c r="C912" t="str">
        <f>INDEX(Rankings!C$2:'Rankings'!C$1149,MATCH(SMALL(Rankings!H$2:'Rankings'!H$1000,ROW()),Rankings!H$2:'Rankings'!H$1000,0))</f>
        <v>Ryan Vinoski</v>
      </c>
      <c r="D912" t="str">
        <f>INDEX(Rankings!C$2:'Rankings'!C$1149,MATCH(SMALL(Rankings!H$2:'Rankings'!H$1000,ROW()),Rankings!H$2:'Rankings'!H$1000,0))</f>
        <v>Ryan Vinoski</v>
      </c>
    </row>
    <row r="913" spans="2:4" hidden="1" outlineLevel="1" x14ac:dyDescent="0.25">
      <c r="B913" t="str">
        <f>INDEX(Rankings!C$2:'Rankings'!C$1149,MATCH(SMALL(Rankings!H$2:'Rankings'!H$1000,ROW()),Rankings!H$2:'Rankings'!H$1000,0))</f>
        <v>Ryan Vinoski</v>
      </c>
      <c r="C913" t="str">
        <f>INDEX(Rankings!C$2:'Rankings'!C$1149,MATCH(SMALL(Rankings!H$2:'Rankings'!H$1000,ROW()),Rankings!H$2:'Rankings'!H$1000,0))</f>
        <v>Ryan Vinoski</v>
      </c>
      <c r="D913" t="str">
        <f>INDEX(Rankings!C$2:'Rankings'!C$1149,MATCH(SMALL(Rankings!H$2:'Rankings'!H$1000,ROW()),Rankings!H$2:'Rankings'!H$1000,0))</f>
        <v>Ryan Vinoski</v>
      </c>
    </row>
    <row r="914" spans="2:4" hidden="1" outlineLevel="1" x14ac:dyDescent="0.25">
      <c r="B914" t="str">
        <f>INDEX(Rankings!C$2:'Rankings'!C$1149,MATCH(SMALL(Rankings!H$2:'Rankings'!H$1000,ROW()),Rankings!H$2:'Rankings'!H$1000,0))</f>
        <v>Ryan Vinoski</v>
      </c>
      <c r="C914" t="str">
        <f>INDEX(Rankings!C$2:'Rankings'!C$1149,MATCH(SMALL(Rankings!H$2:'Rankings'!H$1000,ROW()),Rankings!H$2:'Rankings'!H$1000,0))</f>
        <v>Ryan Vinoski</v>
      </c>
      <c r="D914" t="str">
        <f>INDEX(Rankings!C$2:'Rankings'!C$1149,MATCH(SMALL(Rankings!H$2:'Rankings'!H$1000,ROW()),Rankings!H$2:'Rankings'!H$1000,0))</f>
        <v>Ryan Vinoski</v>
      </c>
    </row>
    <row r="915" spans="2:4" hidden="1" outlineLevel="1" x14ac:dyDescent="0.25">
      <c r="B915" t="str">
        <f>INDEX(Rankings!C$2:'Rankings'!C$1149,MATCH(SMALL(Rankings!H$2:'Rankings'!H$1000,ROW()),Rankings!H$2:'Rankings'!H$1000,0))</f>
        <v>Ryan Vinoski</v>
      </c>
      <c r="C915" t="str">
        <f>INDEX(Rankings!C$2:'Rankings'!C$1149,MATCH(SMALL(Rankings!H$2:'Rankings'!H$1000,ROW()),Rankings!H$2:'Rankings'!H$1000,0))</f>
        <v>Ryan Vinoski</v>
      </c>
      <c r="D915" t="str">
        <f>INDEX(Rankings!C$2:'Rankings'!C$1149,MATCH(SMALL(Rankings!H$2:'Rankings'!H$1000,ROW()),Rankings!H$2:'Rankings'!H$1000,0))</f>
        <v>Ryan Vinoski</v>
      </c>
    </row>
    <row r="916" spans="2:4" hidden="1" outlineLevel="1" x14ac:dyDescent="0.25">
      <c r="B916" t="str">
        <f>INDEX(Rankings!C$2:'Rankings'!C$1149,MATCH(SMALL(Rankings!H$2:'Rankings'!H$1000,ROW()),Rankings!H$2:'Rankings'!H$1000,0))</f>
        <v>Ryan Vinoski</v>
      </c>
      <c r="C916" t="str">
        <f>INDEX(Rankings!C$2:'Rankings'!C$1149,MATCH(SMALL(Rankings!H$2:'Rankings'!H$1000,ROW()),Rankings!H$2:'Rankings'!H$1000,0))</f>
        <v>Ryan Vinoski</v>
      </c>
      <c r="D916" t="str">
        <f>INDEX(Rankings!C$2:'Rankings'!C$1149,MATCH(SMALL(Rankings!H$2:'Rankings'!H$1000,ROW()),Rankings!H$2:'Rankings'!H$1000,0))</f>
        <v>Ryan Vinoski</v>
      </c>
    </row>
    <row r="917" spans="2:4" hidden="1" outlineLevel="1" x14ac:dyDescent="0.25">
      <c r="B917" t="str">
        <f>INDEX(Rankings!C$2:'Rankings'!C$1149,MATCH(SMALL(Rankings!H$2:'Rankings'!H$1000,ROW()),Rankings!H$2:'Rankings'!H$1000,0))</f>
        <v>Ryan Vinoski</v>
      </c>
      <c r="C917" t="str">
        <f>INDEX(Rankings!C$2:'Rankings'!C$1149,MATCH(SMALL(Rankings!H$2:'Rankings'!H$1000,ROW()),Rankings!H$2:'Rankings'!H$1000,0))</f>
        <v>Ryan Vinoski</v>
      </c>
      <c r="D917" t="str">
        <f>INDEX(Rankings!C$2:'Rankings'!C$1149,MATCH(SMALL(Rankings!H$2:'Rankings'!H$1000,ROW()),Rankings!H$2:'Rankings'!H$1000,0))</f>
        <v>Ryan Vinoski</v>
      </c>
    </row>
    <row r="918" spans="2:4" hidden="1" outlineLevel="1" x14ac:dyDescent="0.25">
      <c r="B918" t="str">
        <f>INDEX(Rankings!C$2:'Rankings'!C$1149,MATCH(SMALL(Rankings!H$2:'Rankings'!H$1000,ROW()),Rankings!H$2:'Rankings'!H$1000,0))</f>
        <v>Ryan Vinoski</v>
      </c>
      <c r="C918" t="str">
        <f>INDEX(Rankings!C$2:'Rankings'!C$1149,MATCH(SMALL(Rankings!H$2:'Rankings'!H$1000,ROW()),Rankings!H$2:'Rankings'!H$1000,0))</f>
        <v>Ryan Vinoski</v>
      </c>
      <c r="D918" t="str">
        <f>INDEX(Rankings!C$2:'Rankings'!C$1149,MATCH(SMALL(Rankings!H$2:'Rankings'!H$1000,ROW()),Rankings!H$2:'Rankings'!H$1000,0))</f>
        <v>Ryan Vinoski</v>
      </c>
    </row>
    <row r="919" spans="2:4" hidden="1" outlineLevel="1" x14ac:dyDescent="0.25">
      <c r="B919" t="str">
        <f>INDEX(Rankings!C$2:'Rankings'!C$1149,MATCH(SMALL(Rankings!H$2:'Rankings'!H$1000,ROW()),Rankings!H$2:'Rankings'!H$1000,0))</f>
        <v>Ryan Vinoski</v>
      </c>
      <c r="C919" t="str">
        <f>INDEX(Rankings!C$2:'Rankings'!C$1149,MATCH(SMALL(Rankings!H$2:'Rankings'!H$1000,ROW()),Rankings!H$2:'Rankings'!H$1000,0))</f>
        <v>Ryan Vinoski</v>
      </c>
      <c r="D919" t="str">
        <f>INDEX(Rankings!C$2:'Rankings'!C$1149,MATCH(SMALL(Rankings!H$2:'Rankings'!H$1000,ROW()),Rankings!H$2:'Rankings'!H$1000,0))</f>
        <v>Ryan Vinoski</v>
      </c>
    </row>
    <row r="920" spans="2:4" hidden="1" outlineLevel="1" x14ac:dyDescent="0.25">
      <c r="B920" t="str">
        <f>INDEX(Rankings!C$2:'Rankings'!C$1149,MATCH(SMALL(Rankings!H$2:'Rankings'!H$1000,ROW()),Rankings!H$2:'Rankings'!H$1000,0))</f>
        <v>Ryan Vinoski</v>
      </c>
      <c r="C920" t="str">
        <f>INDEX(Rankings!C$2:'Rankings'!C$1149,MATCH(SMALL(Rankings!H$2:'Rankings'!H$1000,ROW()),Rankings!H$2:'Rankings'!H$1000,0))</f>
        <v>Ryan Vinoski</v>
      </c>
      <c r="D920" t="str">
        <f>INDEX(Rankings!C$2:'Rankings'!C$1149,MATCH(SMALL(Rankings!H$2:'Rankings'!H$1000,ROW()),Rankings!H$2:'Rankings'!H$1000,0))</f>
        <v>Ryan Vinoski</v>
      </c>
    </row>
    <row r="921" spans="2:4" hidden="1" outlineLevel="1" x14ac:dyDescent="0.25">
      <c r="B921" t="str">
        <f>INDEX(Rankings!C$2:'Rankings'!C$1149,MATCH(SMALL(Rankings!H$2:'Rankings'!H$1000,ROW()),Rankings!H$2:'Rankings'!H$1000,0))</f>
        <v>Ryan Vinoski</v>
      </c>
      <c r="C921" t="str">
        <f>INDEX(Rankings!C$2:'Rankings'!C$1149,MATCH(SMALL(Rankings!H$2:'Rankings'!H$1000,ROW()),Rankings!H$2:'Rankings'!H$1000,0))</f>
        <v>Ryan Vinoski</v>
      </c>
      <c r="D921" t="str">
        <f>INDEX(Rankings!C$2:'Rankings'!C$1149,MATCH(SMALL(Rankings!H$2:'Rankings'!H$1000,ROW()),Rankings!H$2:'Rankings'!H$1000,0))</f>
        <v>Ryan Vinoski</v>
      </c>
    </row>
    <row r="922" spans="2:4" hidden="1" outlineLevel="1" x14ac:dyDescent="0.25">
      <c r="B922" t="str">
        <f>INDEX(Rankings!C$2:'Rankings'!C$1149,MATCH(SMALL(Rankings!H$2:'Rankings'!H$1000,ROW()),Rankings!H$2:'Rankings'!H$1000,0))</f>
        <v>Ryan Vinoski</v>
      </c>
      <c r="C922" t="str">
        <f>INDEX(Rankings!C$2:'Rankings'!C$1149,MATCH(SMALL(Rankings!H$2:'Rankings'!H$1000,ROW()),Rankings!H$2:'Rankings'!H$1000,0))</f>
        <v>Ryan Vinoski</v>
      </c>
      <c r="D922" t="str">
        <f>INDEX(Rankings!C$2:'Rankings'!C$1149,MATCH(SMALL(Rankings!H$2:'Rankings'!H$1000,ROW()),Rankings!H$2:'Rankings'!H$1000,0))</f>
        <v>Ryan Vinoski</v>
      </c>
    </row>
    <row r="923" spans="2:4" hidden="1" outlineLevel="1" x14ac:dyDescent="0.25">
      <c r="B923" t="str">
        <f>INDEX(Rankings!C$2:'Rankings'!C$1149,MATCH(SMALL(Rankings!H$2:'Rankings'!H$1000,ROW()),Rankings!H$2:'Rankings'!H$1000,0))</f>
        <v>Ryan Vinoski</v>
      </c>
      <c r="C923" t="str">
        <f>INDEX(Rankings!C$2:'Rankings'!C$1149,MATCH(SMALL(Rankings!H$2:'Rankings'!H$1000,ROW()),Rankings!H$2:'Rankings'!H$1000,0))</f>
        <v>Ryan Vinoski</v>
      </c>
      <c r="D923" t="str">
        <f>INDEX(Rankings!C$2:'Rankings'!C$1149,MATCH(SMALL(Rankings!H$2:'Rankings'!H$1000,ROW()),Rankings!H$2:'Rankings'!H$1000,0))</f>
        <v>Ryan Vinoski</v>
      </c>
    </row>
    <row r="924" spans="2:4" hidden="1" outlineLevel="1" x14ac:dyDescent="0.25">
      <c r="B924" t="str">
        <f>INDEX(Rankings!C$2:'Rankings'!C$1149,MATCH(SMALL(Rankings!H$2:'Rankings'!H$1000,ROW()),Rankings!H$2:'Rankings'!H$1000,0))</f>
        <v>Ryan Vinoski</v>
      </c>
      <c r="C924" t="str">
        <f>INDEX(Rankings!C$2:'Rankings'!C$1149,MATCH(SMALL(Rankings!H$2:'Rankings'!H$1000,ROW()),Rankings!H$2:'Rankings'!H$1000,0))</f>
        <v>Ryan Vinoski</v>
      </c>
      <c r="D924" t="str">
        <f>INDEX(Rankings!C$2:'Rankings'!C$1149,MATCH(SMALL(Rankings!H$2:'Rankings'!H$1000,ROW()),Rankings!H$2:'Rankings'!H$1000,0))</f>
        <v>Ryan Vinoski</v>
      </c>
    </row>
    <row r="925" spans="2:4" hidden="1" outlineLevel="1" x14ac:dyDescent="0.25">
      <c r="B925" t="str">
        <f>INDEX(Rankings!C$2:'Rankings'!C$1149,MATCH(SMALL(Rankings!H$2:'Rankings'!H$1000,ROW()),Rankings!H$2:'Rankings'!H$1000,0))</f>
        <v>Ryan Vinoski</v>
      </c>
      <c r="C925" t="str">
        <f>INDEX(Rankings!C$2:'Rankings'!C$1149,MATCH(SMALL(Rankings!H$2:'Rankings'!H$1000,ROW()),Rankings!H$2:'Rankings'!H$1000,0))</f>
        <v>Ryan Vinoski</v>
      </c>
      <c r="D925" t="str">
        <f>INDEX(Rankings!C$2:'Rankings'!C$1149,MATCH(SMALL(Rankings!H$2:'Rankings'!H$1000,ROW()),Rankings!H$2:'Rankings'!H$1000,0))</f>
        <v>Ryan Vinoski</v>
      </c>
    </row>
    <row r="926" spans="2:4" hidden="1" outlineLevel="1" x14ac:dyDescent="0.25">
      <c r="B926" t="str">
        <f>INDEX(Rankings!C$2:'Rankings'!C$1149,MATCH(SMALL(Rankings!H$2:'Rankings'!H$1000,ROW()),Rankings!H$2:'Rankings'!H$1000,0))</f>
        <v>Ryan Vinoski</v>
      </c>
      <c r="C926" t="str">
        <f>INDEX(Rankings!C$2:'Rankings'!C$1149,MATCH(SMALL(Rankings!H$2:'Rankings'!H$1000,ROW()),Rankings!H$2:'Rankings'!H$1000,0))</f>
        <v>Ryan Vinoski</v>
      </c>
      <c r="D926" t="str">
        <f>INDEX(Rankings!C$2:'Rankings'!C$1149,MATCH(SMALL(Rankings!H$2:'Rankings'!H$1000,ROW()),Rankings!H$2:'Rankings'!H$1000,0))</f>
        <v>Ryan Vinoski</v>
      </c>
    </row>
    <row r="927" spans="2:4" hidden="1" outlineLevel="1" x14ac:dyDescent="0.25">
      <c r="B927" t="str">
        <f>INDEX(Rankings!C$2:'Rankings'!C$1149,MATCH(SMALL(Rankings!H$2:'Rankings'!H$1000,ROW()),Rankings!H$2:'Rankings'!H$1000,0))</f>
        <v>Ryan Vinoski</v>
      </c>
      <c r="C927" t="str">
        <f>INDEX(Rankings!C$2:'Rankings'!C$1149,MATCH(SMALL(Rankings!H$2:'Rankings'!H$1000,ROW()),Rankings!H$2:'Rankings'!H$1000,0))</f>
        <v>Ryan Vinoski</v>
      </c>
      <c r="D927" t="str">
        <f>INDEX(Rankings!C$2:'Rankings'!C$1149,MATCH(SMALL(Rankings!H$2:'Rankings'!H$1000,ROW()),Rankings!H$2:'Rankings'!H$1000,0))</f>
        <v>Ryan Vinoski</v>
      </c>
    </row>
    <row r="928" spans="2:4" hidden="1" outlineLevel="1" x14ac:dyDescent="0.25">
      <c r="B928" t="str">
        <f>INDEX(Rankings!C$2:'Rankings'!C$1149,MATCH(SMALL(Rankings!H$2:'Rankings'!H$1000,ROW()),Rankings!H$2:'Rankings'!H$1000,0))</f>
        <v>Ryan Vinoski</v>
      </c>
      <c r="C928" t="str">
        <f>INDEX(Rankings!C$2:'Rankings'!C$1149,MATCH(SMALL(Rankings!H$2:'Rankings'!H$1000,ROW()),Rankings!H$2:'Rankings'!H$1000,0))</f>
        <v>Ryan Vinoski</v>
      </c>
      <c r="D928" t="str">
        <f>INDEX(Rankings!C$2:'Rankings'!C$1149,MATCH(SMALL(Rankings!H$2:'Rankings'!H$1000,ROW()),Rankings!H$2:'Rankings'!H$1000,0))</f>
        <v>Ryan Vinoski</v>
      </c>
    </row>
    <row r="929" spans="2:4" hidden="1" outlineLevel="1" x14ac:dyDescent="0.25">
      <c r="B929" t="str">
        <f>INDEX(Rankings!C$2:'Rankings'!C$1149,MATCH(SMALL(Rankings!H$2:'Rankings'!H$1000,ROW()),Rankings!H$2:'Rankings'!H$1000,0))</f>
        <v>Ryan Vinoski</v>
      </c>
      <c r="C929" t="str">
        <f>INDEX(Rankings!C$2:'Rankings'!C$1149,MATCH(SMALL(Rankings!H$2:'Rankings'!H$1000,ROW()),Rankings!H$2:'Rankings'!H$1000,0))</f>
        <v>Ryan Vinoski</v>
      </c>
      <c r="D929" t="str">
        <f>INDEX(Rankings!C$2:'Rankings'!C$1149,MATCH(SMALL(Rankings!H$2:'Rankings'!H$1000,ROW()),Rankings!H$2:'Rankings'!H$1000,0))</f>
        <v>Ryan Vinoski</v>
      </c>
    </row>
    <row r="930" spans="2:4" hidden="1" outlineLevel="1" x14ac:dyDescent="0.25">
      <c r="B930" t="str">
        <f>INDEX(Rankings!C$2:'Rankings'!C$1149,MATCH(SMALL(Rankings!H$2:'Rankings'!H$1000,ROW()),Rankings!H$2:'Rankings'!H$1000,0))</f>
        <v>Ryan Vinoski</v>
      </c>
      <c r="C930" t="str">
        <f>INDEX(Rankings!C$2:'Rankings'!C$1149,MATCH(SMALL(Rankings!H$2:'Rankings'!H$1000,ROW()),Rankings!H$2:'Rankings'!H$1000,0))</f>
        <v>Ryan Vinoski</v>
      </c>
      <c r="D930" t="str">
        <f>INDEX(Rankings!C$2:'Rankings'!C$1149,MATCH(SMALL(Rankings!H$2:'Rankings'!H$1000,ROW()),Rankings!H$2:'Rankings'!H$1000,0))</f>
        <v>Ryan Vinoski</v>
      </c>
    </row>
    <row r="931" spans="2:4" hidden="1" outlineLevel="1" x14ac:dyDescent="0.25">
      <c r="B931" t="str">
        <f>INDEX(Rankings!C$2:'Rankings'!C$1149,MATCH(SMALL(Rankings!H$2:'Rankings'!H$1000,ROW()),Rankings!H$2:'Rankings'!H$1000,0))</f>
        <v>Ryan Vinoski</v>
      </c>
      <c r="C931" t="str">
        <f>INDEX(Rankings!C$2:'Rankings'!C$1149,MATCH(SMALL(Rankings!H$2:'Rankings'!H$1000,ROW()),Rankings!H$2:'Rankings'!H$1000,0))</f>
        <v>Ryan Vinoski</v>
      </c>
      <c r="D931" t="str">
        <f>INDEX(Rankings!C$2:'Rankings'!C$1149,MATCH(SMALL(Rankings!H$2:'Rankings'!H$1000,ROW()),Rankings!H$2:'Rankings'!H$1000,0))</f>
        <v>Ryan Vinoski</v>
      </c>
    </row>
    <row r="932" spans="2:4" hidden="1" outlineLevel="1" x14ac:dyDescent="0.25">
      <c r="B932" t="str">
        <f>INDEX(Rankings!C$2:'Rankings'!C$1149,MATCH(SMALL(Rankings!H$2:'Rankings'!H$1000,ROW()),Rankings!H$2:'Rankings'!H$1000,0))</f>
        <v>Ryan Vinoski</v>
      </c>
      <c r="C932" t="str">
        <f>INDEX(Rankings!C$2:'Rankings'!C$1149,MATCH(SMALL(Rankings!H$2:'Rankings'!H$1000,ROW()),Rankings!H$2:'Rankings'!H$1000,0))</f>
        <v>Ryan Vinoski</v>
      </c>
      <c r="D932" t="str">
        <f>INDEX(Rankings!C$2:'Rankings'!C$1149,MATCH(SMALL(Rankings!H$2:'Rankings'!H$1000,ROW()),Rankings!H$2:'Rankings'!H$1000,0))</f>
        <v>Ryan Vinoski</v>
      </c>
    </row>
    <row r="933" spans="2:4" hidden="1" outlineLevel="1" x14ac:dyDescent="0.25">
      <c r="B933" t="str">
        <f>INDEX(Rankings!C$2:'Rankings'!C$1149,MATCH(SMALL(Rankings!H$2:'Rankings'!H$1000,ROW()),Rankings!H$2:'Rankings'!H$1000,0))</f>
        <v>Ryan Vinoski</v>
      </c>
      <c r="C933" t="str">
        <f>INDEX(Rankings!C$2:'Rankings'!C$1149,MATCH(SMALL(Rankings!H$2:'Rankings'!H$1000,ROW()),Rankings!H$2:'Rankings'!H$1000,0))</f>
        <v>Ryan Vinoski</v>
      </c>
      <c r="D933" t="str">
        <f>INDEX(Rankings!C$2:'Rankings'!C$1149,MATCH(SMALL(Rankings!H$2:'Rankings'!H$1000,ROW()),Rankings!H$2:'Rankings'!H$1000,0))</f>
        <v>Ryan Vinoski</v>
      </c>
    </row>
    <row r="934" spans="2:4" hidden="1" outlineLevel="1" x14ac:dyDescent="0.25">
      <c r="B934" t="str">
        <f>INDEX(Rankings!C$2:'Rankings'!C$1149,MATCH(SMALL(Rankings!H$2:'Rankings'!H$1000,ROW()),Rankings!H$2:'Rankings'!H$1000,0))</f>
        <v>Ryan Vinoski</v>
      </c>
      <c r="C934" t="str">
        <f>INDEX(Rankings!C$2:'Rankings'!C$1149,MATCH(SMALL(Rankings!H$2:'Rankings'!H$1000,ROW()),Rankings!H$2:'Rankings'!H$1000,0))</f>
        <v>Ryan Vinoski</v>
      </c>
      <c r="D934" t="str">
        <f>INDEX(Rankings!C$2:'Rankings'!C$1149,MATCH(SMALL(Rankings!H$2:'Rankings'!H$1000,ROW()),Rankings!H$2:'Rankings'!H$1000,0))</f>
        <v>Ryan Vinoski</v>
      </c>
    </row>
    <row r="935" spans="2:4" hidden="1" outlineLevel="1" x14ac:dyDescent="0.25">
      <c r="B935" t="str">
        <f>INDEX(Rankings!C$2:'Rankings'!C$1149,MATCH(SMALL(Rankings!H$2:'Rankings'!H$1000,ROW()),Rankings!H$2:'Rankings'!H$1000,0))</f>
        <v>Ryan Vinoski</v>
      </c>
      <c r="C935" t="str">
        <f>INDEX(Rankings!C$2:'Rankings'!C$1149,MATCH(SMALL(Rankings!H$2:'Rankings'!H$1000,ROW()),Rankings!H$2:'Rankings'!H$1000,0))</f>
        <v>Ryan Vinoski</v>
      </c>
      <c r="D935" t="str">
        <f>INDEX(Rankings!C$2:'Rankings'!C$1149,MATCH(SMALL(Rankings!H$2:'Rankings'!H$1000,ROW()),Rankings!H$2:'Rankings'!H$1000,0))</f>
        <v>Ryan Vinoski</v>
      </c>
    </row>
    <row r="936" spans="2:4" hidden="1" outlineLevel="1" x14ac:dyDescent="0.25">
      <c r="B936" t="str">
        <f>INDEX(Rankings!C$2:'Rankings'!C$1149,MATCH(SMALL(Rankings!H$2:'Rankings'!H$1000,ROW()),Rankings!H$2:'Rankings'!H$1000,0))</f>
        <v>Ryan Vinoski</v>
      </c>
      <c r="C936" t="str">
        <f>INDEX(Rankings!C$2:'Rankings'!C$1149,MATCH(SMALL(Rankings!H$2:'Rankings'!H$1000,ROW()),Rankings!H$2:'Rankings'!H$1000,0))</f>
        <v>Ryan Vinoski</v>
      </c>
      <c r="D936" t="str">
        <f>INDEX(Rankings!C$2:'Rankings'!C$1149,MATCH(SMALL(Rankings!H$2:'Rankings'!H$1000,ROW()),Rankings!H$2:'Rankings'!H$1000,0))</f>
        <v>Ryan Vinoski</v>
      </c>
    </row>
    <row r="937" spans="2:4" hidden="1" outlineLevel="1" x14ac:dyDescent="0.25">
      <c r="B937" t="str">
        <f>INDEX(Rankings!C$2:'Rankings'!C$1149,MATCH(SMALL(Rankings!H$2:'Rankings'!H$1000,ROW()),Rankings!H$2:'Rankings'!H$1000,0))</f>
        <v>Ryan Vinoski</v>
      </c>
      <c r="C937" t="str">
        <f>INDEX(Rankings!C$2:'Rankings'!C$1149,MATCH(SMALL(Rankings!H$2:'Rankings'!H$1000,ROW()),Rankings!H$2:'Rankings'!H$1000,0))</f>
        <v>Ryan Vinoski</v>
      </c>
      <c r="D937" t="str">
        <f>INDEX(Rankings!C$2:'Rankings'!C$1149,MATCH(SMALL(Rankings!H$2:'Rankings'!H$1000,ROW()),Rankings!H$2:'Rankings'!H$1000,0))</f>
        <v>Ryan Vinoski</v>
      </c>
    </row>
    <row r="938" spans="2:4" hidden="1" outlineLevel="1" x14ac:dyDescent="0.25">
      <c r="B938" t="str">
        <f>INDEX(Rankings!C$2:'Rankings'!C$1149,MATCH(SMALL(Rankings!H$2:'Rankings'!H$1000,ROW()),Rankings!H$2:'Rankings'!H$1000,0))</f>
        <v>Ryan Vinoski</v>
      </c>
      <c r="C938" t="str">
        <f>INDEX(Rankings!C$2:'Rankings'!C$1149,MATCH(SMALL(Rankings!H$2:'Rankings'!H$1000,ROW()),Rankings!H$2:'Rankings'!H$1000,0))</f>
        <v>Ryan Vinoski</v>
      </c>
      <c r="D938" t="str">
        <f>INDEX(Rankings!C$2:'Rankings'!C$1149,MATCH(SMALL(Rankings!H$2:'Rankings'!H$1000,ROW()),Rankings!H$2:'Rankings'!H$1000,0))</f>
        <v>Ryan Vinoski</v>
      </c>
    </row>
    <row r="939" spans="2:4" hidden="1" outlineLevel="1" x14ac:dyDescent="0.25">
      <c r="B939" t="str">
        <f>INDEX(Rankings!C$2:'Rankings'!C$1149,MATCH(SMALL(Rankings!H$2:'Rankings'!H$1000,ROW()),Rankings!H$2:'Rankings'!H$1000,0))</f>
        <v>Ryan Vinoski</v>
      </c>
      <c r="C939" t="str">
        <f>INDEX(Rankings!C$2:'Rankings'!C$1149,MATCH(SMALL(Rankings!H$2:'Rankings'!H$1000,ROW()),Rankings!H$2:'Rankings'!H$1000,0))</f>
        <v>Ryan Vinoski</v>
      </c>
      <c r="D939" t="str">
        <f>INDEX(Rankings!C$2:'Rankings'!C$1149,MATCH(SMALL(Rankings!H$2:'Rankings'!H$1000,ROW()),Rankings!H$2:'Rankings'!H$1000,0))</f>
        <v>Ryan Vinoski</v>
      </c>
    </row>
    <row r="940" spans="2:4" hidden="1" outlineLevel="1" x14ac:dyDescent="0.25">
      <c r="B940" t="str">
        <f>INDEX(Rankings!C$2:'Rankings'!C$1149,MATCH(SMALL(Rankings!H$2:'Rankings'!H$1000,ROW()),Rankings!H$2:'Rankings'!H$1000,0))</f>
        <v>Ryan Vinoski</v>
      </c>
      <c r="C940" t="str">
        <f>INDEX(Rankings!C$2:'Rankings'!C$1149,MATCH(SMALL(Rankings!H$2:'Rankings'!H$1000,ROW()),Rankings!H$2:'Rankings'!H$1000,0))</f>
        <v>Ryan Vinoski</v>
      </c>
      <c r="D940" t="str">
        <f>INDEX(Rankings!C$2:'Rankings'!C$1149,MATCH(SMALL(Rankings!H$2:'Rankings'!H$1000,ROW()),Rankings!H$2:'Rankings'!H$1000,0))</f>
        <v>Ryan Vinoski</v>
      </c>
    </row>
    <row r="941" spans="2:4" hidden="1" outlineLevel="1" x14ac:dyDescent="0.25">
      <c r="B941" t="str">
        <f>INDEX(Rankings!C$2:'Rankings'!C$1149,MATCH(SMALL(Rankings!H$2:'Rankings'!H$1000,ROW()),Rankings!H$2:'Rankings'!H$1000,0))</f>
        <v>Ryan Vinoski</v>
      </c>
      <c r="C941" t="str">
        <f>INDEX(Rankings!C$2:'Rankings'!C$1149,MATCH(SMALL(Rankings!H$2:'Rankings'!H$1000,ROW()),Rankings!H$2:'Rankings'!H$1000,0))</f>
        <v>Ryan Vinoski</v>
      </c>
      <c r="D941" t="str">
        <f>INDEX(Rankings!C$2:'Rankings'!C$1149,MATCH(SMALL(Rankings!H$2:'Rankings'!H$1000,ROW()),Rankings!H$2:'Rankings'!H$1000,0))</f>
        <v>Ryan Vinoski</v>
      </c>
    </row>
    <row r="942" spans="2:4" hidden="1" outlineLevel="1" x14ac:dyDescent="0.25">
      <c r="B942" t="str">
        <f>INDEX(Rankings!C$2:'Rankings'!C$1149,MATCH(SMALL(Rankings!H$2:'Rankings'!H$1000,ROW()),Rankings!H$2:'Rankings'!H$1000,0))</f>
        <v>Ryan Vinoski</v>
      </c>
      <c r="C942" t="str">
        <f>INDEX(Rankings!C$2:'Rankings'!C$1149,MATCH(SMALL(Rankings!H$2:'Rankings'!H$1000,ROW()),Rankings!H$2:'Rankings'!H$1000,0))</f>
        <v>Ryan Vinoski</v>
      </c>
      <c r="D942" t="str">
        <f>INDEX(Rankings!C$2:'Rankings'!C$1149,MATCH(SMALL(Rankings!H$2:'Rankings'!H$1000,ROW()),Rankings!H$2:'Rankings'!H$1000,0))</f>
        <v>Ryan Vinoski</v>
      </c>
    </row>
    <row r="943" spans="2:4" hidden="1" outlineLevel="1" x14ac:dyDescent="0.25">
      <c r="B943" t="str">
        <f>INDEX(Rankings!C$2:'Rankings'!C$1149,MATCH(SMALL(Rankings!H$2:'Rankings'!H$1000,ROW()),Rankings!H$2:'Rankings'!H$1000,0))</f>
        <v>Ryan Vinoski</v>
      </c>
      <c r="C943" t="str">
        <f>INDEX(Rankings!C$2:'Rankings'!C$1149,MATCH(SMALL(Rankings!H$2:'Rankings'!H$1000,ROW()),Rankings!H$2:'Rankings'!H$1000,0))</f>
        <v>Ryan Vinoski</v>
      </c>
      <c r="D943" t="str">
        <f>INDEX(Rankings!C$2:'Rankings'!C$1149,MATCH(SMALL(Rankings!H$2:'Rankings'!H$1000,ROW()),Rankings!H$2:'Rankings'!H$1000,0))</f>
        <v>Ryan Vinoski</v>
      </c>
    </row>
    <row r="944" spans="2:4" hidden="1" outlineLevel="1" x14ac:dyDescent="0.25">
      <c r="B944" t="str">
        <f>INDEX(Rankings!C$2:'Rankings'!C$1149,MATCH(SMALL(Rankings!H$2:'Rankings'!H$1000,ROW()),Rankings!H$2:'Rankings'!H$1000,0))</f>
        <v>Ryan Vinoski</v>
      </c>
      <c r="C944" t="str">
        <f>INDEX(Rankings!C$2:'Rankings'!C$1149,MATCH(SMALL(Rankings!H$2:'Rankings'!H$1000,ROW()),Rankings!H$2:'Rankings'!H$1000,0))</f>
        <v>Ryan Vinoski</v>
      </c>
      <c r="D944" t="str">
        <f>INDEX(Rankings!C$2:'Rankings'!C$1149,MATCH(SMALL(Rankings!H$2:'Rankings'!H$1000,ROW()),Rankings!H$2:'Rankings'!H$1000,0))</f>
        <v>Ryan Vinoski</v>
      </c>
    </row>
    <row r="945" spans="2:4" hidden="1" outlineLevel="1" x14ac:dyDescent="0.25">
      <c r="B945" t="str">
        <f>INDEX(Rankings!C$2:'Rankings'!C$1149,MATCH(SMALL(Rankings!H$2:'Rankings'!H$1000,ROW()),Rankings!H$2:'Rankings'!H$1000,0))</f>
        <v>Ryan Vinoski</v>
      </c>
      <c r="C945" t="str">
        <f>INDEX(Rankings!C$2:'Rankings'!C$1149,MATCH(SMALL(Rankings!H$2:'Rankings'!H$1000,ROW()),Rankings!H$2:'Rankings'!H$1000,0))</f>
        <v>Ryan Vinoski</v>
      </c>
      <c r="D945" t="str">
        <f>INDEX(Rankings!C$2:'Rankings'!C$1149,MATCH(SMALL(Rankings!H$2:'Rankings'!H$1000,ROW()),Rankings!H$2:'Rankings'!H$1000,0))</f>
        <v>Ryan Vinoski</v>
      </c>
    </row>
    <row r="946" spans="2:4" hidden="1" outlineLevel="1" x14ac:dyDescent="0.25">
      <c r="B946" t="str">
        <f>INDEX(Rankings!C$2:'Rankings'!C$1149,MATCH(SMALL(Rankings!H$2:'Rankings'!H$1000,ROW()),Rankings!H$2:'Rankings'!H$1000,0))</f>
        <v>Ryan Vinoski</v>
      </c>
      <c r="C946" t="str">
        <f>INDEX(Rankings!C$2:'Rankings'!C$1149,MATCH(SMALL(Rankings!H$2:'Rankings'!H$1000,ROW()),Rankings!H$2:'Rankings'!H$1000,0))</f>
        <v>Ryan Vinoski</v>
      </c>
      <c r="D946" t="str">
        <f>INDEX(Rankings!C$2:'Rankings'!C$1149,MATCH(SMALL(Rankings!H$2:'Rankings'!H$1000,ROW()),Rankings!H$2:'Rankings'!H$1000,0))</f>
        <v>Ryan Vinoski</v>
      </c>
    </row>
    <row r="947" spans="2:4" hidden="1" outlineLevel="1" x14ac:dyDescent="0.25">
      <c r="B947" t="str">
        <f>INDEX(Rankings!C$2:'Rankings'!C$1149,MATCH(SMALL(Rankings!H$2:'Rankings'!H$1000,ROW()),Rankings!H$2:'Rankings'!H$1000,0))</f>
        <v>Ryan Vinoski</v>
      </c>
      <c r="C947" t="str">
        <f>INDEX(Rankings!C$2:'Rankings'!C$1149,MATCH(SMALL(Rankings!H$2:'Rankings'!H$1000,ROW()),Rankings!H$2:'Rankings'!H$1000,0))</f>
        <v>Ryan Vinoski</v>
      </c>
      <c r="D947" t="str">
        <f>INDEX(Rankings!C$2:'Rankings'!C$1149,MATCH(SMALL(Rankings!H$2:'Rankings'!H$1000,ROW()),Rankings!H$2:'Rankings'!H$1000,0))</f>
        <v>Ryan Vinoski</v>
      </c>
    </row>
    <row r="948" spans="2:4" hidden="1" outlineLevel="1" x14ac:dyDescent="0.25">
      <c r="B948" t="str">
        <f>INDEX(Rankings!C$2:'Rankings'!C$1149,MATCH(SMALL(Rankings!H$2:'Rankings'!H$1000,ROW()),Rankings!H$2:'Rankings'!H$1000,0))</f>
        <v>Ryan Vinoski</v>
      </c>
      <c r="C948" t="str">
        <f>INDEX(Rankings!C$2:'Rankings'!C$1149,MATCH(SMALL(Rankings!H$2:'Rankings'!H$1000,ROW()),Rankings!H$2:'Rankings'!H$1000,0))</f>
        <v>Ryan Vinoski</v>
      </c>
      <c r="D948" t="str">
        <f>INDEX(Rankings!C$2:'Rankings'!C$1149,MATCH(SMALL(Rankings!H$2:'Rankings'!H$1000,ROW()),Rankings!H$2:'Rankings'!H$1000,0))</f>
        <v>Ryan Vinoski</v>
      </c>
    </row>
    <row r="949" spans="2:4" hidden="1" outlineLevel="1" x14ac:dyDescent="0.25">
      <c r="B949" t="str">
        <f>INDEX(Rankings!C$2:'Rankings'!C$1149,MATCH(SMALL(Rankings!H$2:'Rankings'!H$1000,ROW()),Rankings!H$2:'Rankings'!H$1000,0))</f>
        <v>Ryan Vinoski</v>
      </c>
      <c r="C949" t="str">
        <f>INDEX(Rankings!C$2:'Rankings'!C$1149,MATCH(SMALL(Rankings!H$2:'Rankings'!H$1000,ROW()),Rankings!H$2:'Rankings'!H$1000,0))</f>
        <v>Ryan Vinoski</v>
      </c>
      <c r="D949" t="str">
        <f>INDEX(Rankings!C$2:'Rankings'!C$1149,MATCH(SMALL(Rankings!H$2:'Rankings'!H$1000,ROW()),Rankings!H$2:'Rankings'!H$1000,0))</f>
        <v>Ryan Vinoski</v>
      </c>
    </row>
    <row r="950" spans="2:4" hidden="1" outlineLevel="1" x14ac:dyDescent="0.25">
      <c r="B950" t="str">
        <f>INDEX(Rankings!C$2:'Rankings'!C$1149,MATCH(SMALL(Rankings!H$2:'Rankings'!H$1000,ROW()),Rankings!H$2:'Rankings'!H$1000,0))</f>
        <v>Ryan Vinoski</v>
      </c>
      <c r="C950" t="str">
        <f>INDEX(Rankings!C$2:'Rankings'!C$1149,MATCH(SMALL(Rankings!H$2:'Rankings'!H$1000,ROW()),Rankings!H$2:'Rankings'!H$1000,0))</f>
        <v>Ryan Vinoski</v>
      </c>
      <c r="D950" t="str">
        <f>INDEX(Rankings!C$2:'Rankings'!C$1149,MATCH(SMALL(Rankings!H$2:'Rankings'!H$1000,ROW()),Rankings!H$2:'Rankings'!H$1000,0))</f>
        <v>Ryan Vinoski</v>
      </c>
    </row>
    <row r="951" spans="2:4" hidden="1" outlineLevel="1" x14ac:dyDescent="0.25">
      <c r="B951" t="str">
        <f>INDEX(Rankings!C$2:'Rankings'!C$1149,MATCH(SMALL(Rankings!H$2:'Rankings'!H$1000,ROW()),Rankings!H$2:'Rankings'!H$1000,0))</f>
        <v>Ryan Vinoski</v>
      </c>
      <c r="C951" t="str">
        <f>INDEX(Rankings!C$2:'Rankings'!C$1149,MATCH(SMALL(Rankings!H$2:'Rankings'!H$1000,ROW()),Rankings!H$2:'Rankings'!H$1000,0))</f>
        <v>Ryan Vinoski</v>
      </c>
      <c r="D951" t="str">
        <f>INDEX(Rankings!C$2:'Rankings'!C$1149,MATCH(SMALL(Rankings!H$2:'Rankings'!H$1000,ROW()),Rankings!H$2:'Rankings'!H$1000,0))</f>
        <v>Ryan Vinoski</v>
      </c>
    </row>
    <row r="952" spans="2:4" hidden="1" outlineLevel="1" x14ac:dyDescent="0.25">
      <c r="B952" t="str">
        <f>INDEX(Rankings!C$2:'Rankings'!C$1149,MATCH(SMALL(Rankings!H$2:'Rankings'!H$1000,ROW()),Rankings!H$2:'Rankings'!H$1000,0))</f>
        <v>Ryan Vinoski</v>
      </c>
      <c r="C952" t="str">
        <f>INDEX(Rankings!C$2:'Rankings'!C$1149,MATCH(SMALL(Rankings!H$2:'Rankings'!H$1000,ROW()),Rankings!H$2:'Rankings'!H$1000,0))</f>
        <v>Ryan Vinoski</v>
      </c>
      <c r="D952" t="str">
        <f>INDEX(Rankings!C$2:'Rankings'!C$1149,MATCH(SMALL(Rankings!H$2:'Rankings'!H$1000,ROW()),Rankings!H$2:'Rankings'!H$1000,0))</f>
        <v>Ryan Vinoski</v>
      </c>
    </row>
    <row r="953" spans="2:4" hidden="1" outlineLevel="1" x14ac:dyDescent="0.25">
      <c r="B953" t="str">
        <f>INDEX(Rankings!C$2:'Rankings'!C$1149,MATCH(SMALL(Rankings!H$2:'Rankings'!H$1000,ROW()),Rankings!H$2:'Rankings'!H$1000,0))</f>
        <v>Ryan Vinoski</v>
      </c>
      <c r="C953" t="str">
        <f>INDEX(Rankings!C$2:'Rankings'!C$1149,MATCH(SMALL(Rankings!H$2:'Rankings'!H$1000,ROW()),Rankings!H$2:'Rankings'!H$1000,0))</f>
        <v>Ryan Vinoski</v>
      </c>
      <c r="D953" t="str">
        <f>INDEX(Rankings!C$2:'Rankings'!C$1149,MATCH(SMALL(Rankings!H$2:'Rankings'!H$1000,ROW()),Rankings!H$2:'Rankings'!H$1000,0))</f>
        <v>Ryan Vinoski</v>
      </c>
    </row>
    <row r="954" spans="2:4" hidden="1" outlineLevel="1" x14ac:dyDescent="0.25">
      <c r="B954" t="str">
        <f>INDEX(Rankings!C$2:'Rankings'!C$1149,MATCH(SMALL(Rankings!H$2:'Rankings'!H$1000,ROW()),Rankings!H$2:'Rankings'!H$1000,0))</f>
        <v>Ryan Vinoski</v>
      </c>
      <c r="C954" t="str">
        <f>INDEX(Rankings!C$2:'Rankings'!C$1149,MATCH(SMALL(Rankings!H$2:'Rankings'!H$1000,ROW()),Rankings!H$2:'Rankings'!H$1000,0))</f>
        <v>Ryan Vinoski</v>
      </c>
      <c r="D954" t="str">
        <f>INDEX(Rankings!C$2:'Rankings'!C$1149,MATCH(SMALL(Rankings!H$2:'Rankings'!H$1000,ROW()),Rankings!H$2:'Rankings'!H$1000,0))</f>
        <v>Ryan Vinoski</v>
      </c>
    </row>
    <row r="955" spans="2:4" hidden="1" outlineLevel="1" x14ac:dyDescent="0.25">
      <c r="B955" t="str">
        <f>INDEX(Rankings!C$2:'Rankings'!C$1149,MATCH(SMALL(Rankings!H$2:'Rankings'!H$1000,ROW()),Rankings!H$2:'Rankings'!H$1000,0))</f>
        <v>Ryan Vinoski</v>
      </c>
      <c r="C955" t="str">
        <f>INDEX(Rankings!C$2:'Rankings'!C$1149,MATCH(SMALL(Rankings!H$2:'Rankings'!H$1000,ROW()),Rankings!H$2:'Rankings'!H$1000,0))</f>
        <v>Ryan Vinoski</v>
      </c>
      <c r="D955" t="str">
        <f>INDEX(Rankings!C$2:'Rankings'!C$1149,MATCH(SMALL(Rankings!H$2:'Rankings'!H$1000,ROW()),Rankings!H$2:'Rankings'!H$1000,0))</f>
        <v>Ryan Vinoski</v>
      </c>
    </row>
    <row r="956" spans="2:4" hidden="1" outlineLevel="1" x14ac:dyDescent="0.25">
      <c r="B956" t="str">
        <f>INDEX(Rankings!C$2:'Rankings'!C$1149,MATCH(SMALL(Rankings!H$2:'Rankings'!H$1000,ROW()),Rankings!H$2:'Rankings'!H$1000,0))</f>
        <v>Ryan Vinoski</v>
      </c>
      <c r="C956" t="str">
        <f>INDEX(Rankings!C$2:'Rankings'!C$1149,MATCH(SMALL(Rankings!H$2:'Rankings'!H$1000,ROW()),Rankings!H$2:'Rankings'!H$1000,0))</f>
        <v>Ryan Vinoski</v>
      </c>
      <c r="D956" t="str">
        <f>INDEX(Rankings!C$2:'Rankings'!C$1149,MATCH(SMALL(Rankings!H$2:'Rankings'!H$1000,ROW()),Rankings!H$2:'Rankings'!H$1000,0))</f>
        <v>Ryan Vinoski</v>
      </c>
    </row>
    <row r="957" spans="2:4" hidden="1" outlineLevel="1" x14ac:dyDescent="0.25">
      <c r="B957" t="str">
        <f>INDEX(Rankings!C$2:'Rankings'!C$1149,MATCH(SMALL(Rankings!H$2:'Rankings'!H$1000,ROW()),Rankings!H$2:'Rankings'!H$1000,0))</f>
        <v>Ryan Vinoski</v>
      </c>
      <c r="C957" t="str">
        <f>INDEX(Rankings!C$2:'Rankings'!C$1149,MATCH(SMALL(Rankings!H$2:'Rankings'!H$1000,ROW()),Rankings!H$2:'Rankings'!H$1000,0))</f>
        <v>Ryan Vinoski</v>
      </c>
      <c r="D957" t="str">
        <f>INDEX(Rankings!C$2:'Rankings'!C$1149,MATCH(SMALL(Rankings!H$2:'Rankings'!H$1000,ROW()),Rankings!H$2:'Rankings'!H$1000,0))</f>
        <v>Ryan Vinoski</v>
      </c>
    </row>
    <row r="958" spans="2:4" hidden="1" outlineLevel="1" x14ac:dyDescent="0.25">
      <c r="B958" t="str">
        <f>INDEX(Rankings!C$2:'Rankings'!C$1149,MATCH(SMALL(Rankings!H$2:'Rankings'!H$1000,ROW()),Rankings!H$2:'Rankings'!H$1000,0))</f>
        <v>Ryan Vinoski</v>
      </c>
      <c r="C958" t="str">
        <f>INDEX(Rankings!C$2:'Rankings'!C$1149,MATCH(SMALL(Rankings!H$2:'Rankings'!H$1000,ROW()),Rankings!H$2:'Rankings'!H$1000,0))</f>
        <v>Ryan Vinoski</v>
      </c>
      <c r="D958" t="str">
        <f>INDEX(Rankings!C$2:'Rankings'!C$1149,MATCH(SMALL(Rankings!H$2:'Rankings'!H$1000,ROW()),Rankings!H$2:'Rankings'!H$1000,0))</f>
        <v>Ryan Vinoski</v>
      </c>
    </row>
    <row r="959" spans="2:4" hidden="1" outlineLevel="1" x14ac:dyDescent="0.25">
      <c r="B959" t="str">
        <f>INDEX(Rankings!C$2:'Rankings'!C$1149,MATCH(SMALL(Rankings!H$2:'Rankings'!H$1000,ROW()),Rankings!H$2:'Rankings'!H$1000,0))</f>
        <v>Ryan Vinoski</v>
      </c>
      <c r="C959" t="str">
        <f>INDEX(Rankings!C$2:'Rankings'!C$1149,MATCH(SMALL(Rankings!H$2:'Rankings'!H$1000,ROW()),Rankings!H$2:'Rankings'!H$1000,0))</f>
        <v>Ryan Vinoski</v>
      </c>
      <c r="D959" t="str">
        <f>INDEX(Rankings!C$2:'Rankings'!C$1149,MATCH(SMALL(Rankings!H$2:'Rankings'!H$1000,ROW()),Rankings!H$2:'Rankings'!H$1000,0))</f>
        <v>Ryan Vinoski</v>
      </c>
    </row>
    <row r="960" spans="2:4" hidden="1" outlineLevel="1" x14ac:dyDescent="0.25">
      <c r="B960" t="str">
        <f>INDEX(Rankings!C$2:'Rankings'!C$1149,MATCH(SMALL(Rankings!H$2:'Rankings'!H$1000,ROW()),Rankings!H$2:'Rankings'!H$1000,0))</f>
        <v>Ryan Vinoski</v>
      </c>
      <c r="C960" t="str">
        <f>INDEX(Rankings!C$2:'Rankings'!C$1149,MATCH(SMALL(Rankings!H$2:'Rankings'!H$1000,ROW()),Rankings!H$2:'Rankings'!H$1000,0))</f>
        <v>Ryan Vinoski</v>
      </c>
      <c r="D960" t="str">
        <f>INDEX(Rankings!C$2:'Rankings'!C$1149,MATCH(SMALL(Rankings!H$2:'Rankings'!H$1000,ROW()),Rankings!H$2:'Rankings'!H$1000,0))</f>
        <v>Ryan Vinoski</v>
      </c>
    </row>
    <row r="961" spans="2:4" hidden="1" outlineLevel="1" x14ac:dyDescent="0.25">
      <c r="B961" t="str">
        <f>INDEX(Rankings!C$2:'Rankings'!C$1149,MATCH(SMALL(Rankings!H$2:'Rankings'!H$1000,ROW()),Rankings!H$2:'Rankings'!H$1000,0))</f>
        <v>Ryan Vinoski</v>
      </c>
      <c r="C961" t="str">
        <f>INDEX(Rankings!C$2:'Rankings'!C$1149,MATCH(SMALL(Rankings!H$2:'Rankings'!H$1000,ROW()),Rankings!H$2:'Rankings'!H$1000,0))</f>
        <v>Ryan Vinoski</v>
      </c>
      <c r="D961" t="str">
        <f>INDEX(Rankings!C$2:'Rankings'!C$1149,MATCH(SMALL(Rankings!H$2:'Rankings'!H$1000,ROW()),Rankings!H$2:'Rankings'!H$1000,0))</f>
        <v>Ryan Vinoski</v>
      </c>
    </row>
    <row r="962" spans="2:4" hidden="1" outlineLevel="1" x14ac:dyDescent="0.25">
      <c r="B962" t="str">
        <f>INDEX(Rankings!C$2:'Rankings'!C$1149,MATCH(SMALL(Rankings!H$2:'Rankings'!H$1000,ROW()),Rankings!H$2:'Rankings'!H$1000,0))</f>
        <v>Ryan Vinoski</v>
      </c>
      <c r="C962" t="str">
        <f>INDEX(Rankings!C$2:'Rankings'!C$1149,MATCH(SMALL(Rankings!H$2:'Rankings'!H$1000,ROW()),Rankings!H$2:'Rankings'!H$1000,0))</f>
        <v>Ryan Vinoski</v>
      </c>
      <c r="D962" t="str">
        <f>INDEX(Rankings!C$2:'Rankings'!C$1149,MATCH(SMALL(Rankings!H$2:'Rankings'!H$1000,ROW()),Rankings!H$2:'Rankings'!H$1000,0))</f>
        <v>Ryan Vinoski</v>
      </c>
    </row>
    <row r="963" spans="2:4" hidden="1" outlineLevel="1" x14ac:dyDescent="0.25">
      <c r="B963" t="str">
        <f>INDEX(Rankings!C$2:'Rankings'!C$1149,MATCH(SMALL(Rankings!H$2:'Rankings'!H$1000,ROW()),Rankings!H$2:'Rankings'!H$1000,0))</f>
        <v>Ryan Vinoski</v>
      </c>
      <c r="C963" t="str">
        <f>INDEX(Rankings!C$2:'Rankings'!C$1149,MATCH(SMALL(Rankings!H$2:'Rankings'!H$1000,ROW()),Rankings!H$2:'Rankings'!H$1000,0))</f>
        <v>Ryan Vinoski</v>
      </c>
      <c r="D963" t="str">
        <f>INDEX(Rankings!C$2:'Rankings'!C$1149,MATCH(SMALL(Rankings!H$2:'Rankings'!H$1000,ROW()),Rankings!H$2:'Rankings'!H$1000,0))</f>
        <v>Ryan Vinoski</v>
      </c>
    </row>
    <row r="964" spans="2:4" hidden="1" outlineLevel="1" x14ac:dyDescent="0.25">
      <c r="B964" t="str">
        <f>INDEX(Rankings!C$2:'Rankings'!C$1149,MATCH(SMALL(Rankings!H$2:'Rankings'!H$1000,ROW()),Rankings!H$2:'Rankings'!H$1000,0))</f>
        <v>Ryan Vinoski</v>
      </c>
      <c r="C964" t="str">
        <f>INDEX(Rankings!C$2:'Rankings'!C$1149,MATCH(SMALL(Rankings!H$2:'Rankings'!H$1000,ROW()),Rankings!H$2:'Rankings'!H$1000,0))</f>
        <v>Ryan Vinoski</v>
      </c>
      <c r="D964" t="str">
        <f>INDEX(Rankings!C$2:'Rankings'!C$1149,MATCH(SMALL(Rankings!H$2:'Rankings'!H$1000,ROW()),Rankings!H$2:'Rankings'!H$1000,0))</f>
        <v>Ryan Vinoski</v>
      </c>
    </row>
    <row r="965" spans="2:4" hidden="1" outlineLevel="1" x14ac:dyDescent="0.25">
      <c r="B965" t="str">
        <f>INDEX(Rankings!C$2:'Rankings'!C$1149,MATCH(SMALL(Rankings!H$2:'Rankings'!H$1000,ROW()),Rankings!H$2:'Rankings'!H$1000,0))</f>
        <v>Ryan Vinoski</v>
      </c>
      <c r="C965" t="str">
        <f>INDEX(Rankings!C$2:'Rankings'!C$1149,MATCH(SMALL(Rankings!H$2:'Rankings'!H$1000,ROW()),Rankings!H$2:'Rankings'!H$1000,0))</f>
        <v>Ryan Vinoski</v>
      </c>
      <c r="D965" t="str">
        <f>INDEX(Rankings!C$2:'Rankings'!C$1149,MATCH(SMALL(Rankings!H$2:'Rankings'!H$1000,ROW()),Rankings!H$2:'Rankings'!H$1000,0))</f>
        <v>Ryan Vinoski</v>
      </c>
    </row>
    <row r="966" spans="2:4" hidden="1" outlineLevel="1" x14ac:dyDescent="0.25">
      <c r="B966" t="str">
        <f>INDEX(Rankings!C$2:'Rankings'!C$1149,MATCH(SMALL(Rankings!H$2:'Rankings'!H$1000,ROW()),Rankings!H$2:'Rankings'!H$1000,0))</f>
        <v>Ryan Vinoski</v>
      </c>
      <c r="C966" t="str">
        <f>INDEX(Rankings!C$2:'Rankings'!C$1149,MATCH(SMALL(Rankings!H$2:'Rankings'!H$1000,ROW()),Rankings!H$2:'Rankings'!H$1000,0))</f>
        <v>Ryan Vinoski</v>
      </c>
      <c r="D966" t="str">
        <f>INDEX(Rankings!C$2:'Rankings'!C$1149,MATCH(SMALL(Rankings!H$2:'Rankings'!H$1000,ROW()),Rankings!H$2:'Rankings'!H$1000,0))</f>
        <v>Ryan Vinoski</v>
      </c>
    </row>
    <row r="967" spans="2:4" hidden="1" outlineLevel="1" x14ac:dyDescent="0.25">
      <c r="B967" t="str">
        <f>INDEX(Rankings!C$2:'Rankings'!C$1149,MATCH(SMALL(Rankings!H$2:'Rankings'!H$1000,ROW()),Rankings!H$2:'Rankings'!H$1000,0))</f>
        <v>Ryan Vinoski</v>
      </c>
      <c r="C967" t="str">
        <f>INDEX(Rankings!C$2:'Rankings'!C$1149,MATCH(SMALL(Rankings!H$2:'Rankings'!H$1000,ROW()),Rankings!H$2:'Rankings'!H$1000,0))</f>
        <v>Ryan Vinoski</v>
      </c>
      <c r="D967" t="str">
        <f>INDEX(Rankings!C$2:'Rankings'!C$1149,MATCH(SMALL(Rankings!H$2:'Rankings'!H$1000,ROW()),Rankings!H$2:'Rankings'!H$1000,0))</f>
        <v>Ryan Vinoski</v>
      </c>
    </row>
    <row r="968" spans="2:4" hidden="1" outlineLevel="1" x14ac:dyDescent="0.25">
      <c r="B968" t="str">
        <f>INDEX(Rankings!C$2:'Rankings'!C$1149,MATCH(SMALL(Rankings!H$2:'Rankings'!H$1000,ROW()),Rankings!H$2:'Rankings'!H$1000,0))</f>
        <v>Ryan Vinoski</v>
      </c>
      <c r="C968" t="str">
        <f>INDEX(Rankings!C$2:'Rankings'!C$1149,MATCH(SMALL(Rankings!H$2:'Rankings'!H$1000,ROW()),Rankings!H$2:'Rankings'!H$1000,0))</f>
        <v>Ryan Vinoski</v>
      </c>
      <c r="D968" t="str">
        <f>INDEX(Rankings!C$2:'Rankings'!C$1149,MATCH(SMALL(Rankings!H$2:'Rankings'!H$1000,ROW()),Rankings!H$2:'Rankings'!H$1000,0))</f>
        <v>Ryan Vinoski</v>
      </c>
    </row>
    <row r="969" spans="2:4" hidden="1" outlineLevel="1" x14ac:dyDescent="0.25">
      <c r="B969" t="str">
        <f>INDEX(Rankings!C$2:'Rankings'!C$1149,MATCH(SMALL(Rankings!H$2:'Rankings'!H$1000,ROW()),Rankings!H$2:'Rankings'!H$1000,0))</f>
        <v>Ryan Vinoski</v>
      </c>
      <c r="C969" t="str">
        <f>INDEX(Rankings!C$2:'Rankings'!C$1149,MATCH(SMALL(Rankings!H$2:'Rankings'!H$1000,ROW()),Rankings!H$2:'Rankings'!H$1000,0))</f>
        <v>Ryan Vinoski</v>
      </c>
      <c r="D969" t="str">
        <f>INDEX(Rankings!C$2:'Rankings'!C$1149,MATCH(SMALL(Rankings!H$2:'Rankings'!H$1000,ROW()),Rankings!H$2:'Rankings'!H$1000,0))</f>
        <v>Ryan Vinoski</v>
      </c>
    </row>
    <row r="970" spans="2:4" hidden="1" outlineLevel="1" x14ac:dyDescent="0.25">
      <c r="B970" t="str">
        <f>INDEX(Rankings!C$2:'Rankings'!C$1149,MATCH(SMALL(Rankings!H$2:'Rankings'!H$1000,ROW()),Rankings!H$2:'Rankings'!H$1000,0))</f>
        <v>Ryan Vinoski</v>
      </c>
      <c r="C970" t="str">
        <f>INDEX(Rankings!C$2:'Rankings'!C$1149,MATCH(SMALL(Rankings!H$2:'Rankings'!H$1000,ROW()),Rankings!H$2:'Rankings'!H$1000,0))</f>
        <v>Ryan Vinoski</v>
      </c>
      <c r="D970" t="str">
        <f>INDEX(Rankings!C$2:'Rankings'!C$1149,MATCH(SMALL(Rankings!H$2:'Rankings'!H$1000,ROW()),Rankings!H$2:'Rankings'!H$1000,0))</f>
        <v>Ryan Vinoski</v>
      </c>
    </row>
    <row r="971" spans="2:4" hidden="1" outlineLevel="1" x14ac:dyDescent="0.25">
      <c r="B971" t="str">
        <f>INDEX(Rankings!C$2:'Rankings'!C$1149,MATCH(SMALL(Rankings!H$2:'Rankings'!H$1000,ROW()),Rankings!H$2:'Rankings'!H$1000,0))</f>
        <v>Ryan Vinoski</v>
      </c>
      <c r="C971" t="str">
        <f>INDEX(Rankings!C$2:'Rankings'!C$1149,MATCH(SMALL(Rankings!H$2:'Rankings'!H$1000,ROW()),Rankings!H$2:'Rankings'!H$1000,0))</f>
        <v>Ryan Vinoski</v>
      </c>
      <c r="D971" t="str">
        <f>INDEX(Rankings!C$2:'Rankings'!C$1149,MATCH(SMALL(Rankings!H$2:'Rankings'!H$1000,ROW()),Rankings!H$2:'Rankings'!H$1000,0))</f>
        <v>Ryan Vinoski</v>
      </c>
    </row>
    <row r="972" spans="2:4" hidden="1" outlineLevel="1" x14ac:dyDescent="0.25">
      <c r="B972" t="str">
        <f>INDEX(Rankings!C$2:'Rankings'!C$1149,MATCH(SMALL(Rankings!H$2:'Rankings'!H$1000,ROW()),Rankings!H$2:'Rankings'!H$1000,0))</f>
        <v>Ryan Vinoski</v>
      </c>
      <c r="C972" t="str">
        <f>INDEX(Rankings!C$2:'Rankings'!C$1149,MATCH(SMALL(Rankings!H$2:'Rankings'!H$1000,ROW()),Rankings!H$2:'Rankings'!H$1000,0))</f>
        <v>Ryan Vinoski</v>
      </c>
      <c r="D972" t="str">
        <f>INDEX(Rankings!C$2:'Rankings'!C$1149,MATCH(SMALL(Rankings!H$2:'Rankings'!H$1000,ROW()),Rankings!H$2:'Rankings'!H$1000,0))</f>
        <v>Ryan Vinoski</v>
      </c>
    </row>
    <row r="973" spans="2:4" hidden="1" outlineLevel="1" x14ac:dyDescent="0.25">
      <c r="B973" t="str">
        <f>INDEX(Rankings!C$2:'Rankings'!C$1149,MATCH(SMALL(Rankings!H$2:'Rankings'!H$1000,ROW()),Rankings!H$2:'Rankings'!H$1000,0))</f>
        <v>Ryan Vinoski</v>
      </c>
      <c r="C973" t="str">
        <f>INDEX(Rankings!C$2:'Rankings'!C$1149,MATCH(SMALL(Rankings!H$2:'Rankings'!H$1000,ROW()),Rankings!H$2:'Rankings'!H$1000,0))</f>
        <v>Ryan Vinoski</v>
      </c>
      <c r="D973" t="str">
        <f>INDEX(Rankings!C$2:'Rankings'!C$1149,MATCH(SMALL(Rankings!H$2:'Rankings'!H$1000,ROW()),Rankings!H$2:'Rankings'!H$1000,0))</f>
        <v>Ryan Vinoski</v>
      </c>
    </row>
    <row r="974" spans="2:4" hidden="1" outlineLevel="1" x14ac:dyDescent="0.25">
      <c r="B974" t="str">
        <f>INDEX(Rankings!C$2:'Rankings'!C$1149,MATCH(SMALL(Rankings!H$2:'Rankings'!H$1000,ROW()),Rankings!H$2:'Rankings'!H$1000,0))</f>
        <v>Ryan Vinoski</v>
      </c>
      <c r="C974" t="str">
        <f>INDEX(Rankings!C$2:'Rankings'!C$1149,MATCH(SMALL(Rankings!H$2:'Rankings'!H$1000,ROW()),Rankings!H$2:'Rankings'!H$1000,0))</f>
        <v>Ryan Vinoski</v>
      </c>
      <c r="D974" t="str">
        <f>INDEX(Rankings!C$2:'Rankings'!C$1149,MATCH(SMALL(Rankings!H$2:'Rankings'!H$1000,ROW()),Rankings!H$2:'Rankings'!H$1000,0))</f>
        <v>Ryan Vinoski</v>
      </c>
    </row>
    <row r="975" spans="2:4" hidden="1" outlineLevel="1" x14ac:dyDescent="0.25">
      <c r="B975" t="str">
        <f>INDEX(Rankings!C$2:'Rankings'!C$1149,MATCH(SMALL(Rankings!H$2:'Rankings'!H$1000,ROW()),Rankings!H$2:'Rankings'!H$1000,0))</f>
        <v>Ryan Vinoski</v>
      </c>
      <c r="C975" t="str">
        <f>INDEX(Rankings!C$2:'Rankings'!C$1149,MATCH(SMALL(Rankings!H$2:'Rankings'!H$1000,ROW()),Rankings!H$2:'Rankings'!H$1000,0))</f>
        <v>Ryan Vinoski</v>
      </c>
      <c r="D975" t="str">
        <f>INDEX(Rankings!C$2:'Rankings'!C$1149,MATCH(SMALL(Rankings!H$2:'Rankings'!H$1000,ROW()),Rankings!H$2:'Rankings'!H$1000,0))</f>
        <v>Ryan Vinoski</v>
      </c>
    </row>
    <row r="976" spans="2:4" hidden="1" outlineLevel="1" x14ac:dyDescent="0.25">
      <c r="B976" t="str">
        <f>INDEX(Rankings!C$2:'Rankings'!C$1149,MATCH(SMALL(Rankings!H$2:'Rankings'!H$1000,ROW()),Rankings!H$2:'Rankings'!H$1000,0))</f>
        <v>Ryan Vinoski</v>
      </c>
      <c r="C976" t="str">
        <f>INDEX(Rankings!C$2:'Rankings'!C$1149,MATCH(SMALL(Rankings!H$2:'Rankings'!H$1000,ROW()),Rankings!H$2:'Rankings'!H$1000,0))</f>
        <v>Ryan Vinoski</v>
      </c>
      <c r="D976" t="str">
        <f>INDEX(Rankings!C$2:'Rankings'!C$1149,MATCH(SMALL(Rankings!H$2:'Rankings'!H$1000,ROW()),Rankings!H$2:'Rankings'!H$1000,0))</f>
        <v>Ryan Vinoski</v>
      </c>
    </row>
    <row r="977" spans="2:4" hidden="1" outlineLevel="1" x14ac:dyDescent="0.25">
      <c r="B977" t="str">
        <f>INDEX(Rankings!C$2:'Rankings'!C$1149,MATCH(SMALL(Rankings!H$2:'Rankings'!H$1000,ROW()),Rankings!H$2:'Rankings'!H$1000,0))</f>
        <v>Ryan Vinoski</v>
      </c>
      <c r="C977" t="str">
        <f>INDEX(Rankings!C$2:'Rankings'!C$1149,MATCH(SMALL(Rankings!H$2:'Rankings'!H$1000,ROW()),Rankings!H$2:'Rankings'!H$1000,0))</f>
        <v>Ryan Vinoski</v>
      </c>
      <c r="D977" t="str">
        <f>INDEX(Rankings!C$2:'Rankings'!C$1149,MATCH(SMALL(Rankings!H$2:'Rankings'!H$1000,ROW()),Rankings!H$2:'Rankings'!H$1000,0))</f>
        <v>Ryan Vinoski</v>
      </c>
    </row>
    <row r="978" spans="2:4" hidden="1" outlineLevel="1" x14ac:dyDescent="0.25">
      <c r="B978" t="str">
        <f>INDEX(Rankings!C$2:'Rankings'!C$1149,MATCH(SMALL(Rankings!H$2:'Rankings'!H$1000,ROW()),Rankings!H$2:'Rankings'!H$1000,0))</f>
        <v>Ryan Vinoski</v>
      </c>
      <c r="C978" t="str">
        <f>INDEX(Rankings!C$2:'Rankings'!C$1149,MATCH(SMALL(Rankings!H$2:'Rankings'!H$1000,ROW()),Rankings!H$2:'Rankings'!H$1000,0))</f>
        <v>Ryan Vinoski</v>
      </c>
      <c r="D978" t="str">
        <f>INDEX(Rankings!C$2:'Rankings'!C$1149,MATCH(SMALL(Rankings!H$2:'Rankings'!H$1000,ROW()),Rankings!H$2:'Rankings'!H$1000,0))</f>
        <v>Ryan Vinoski</v>
      </c>
    </row>
    <row r="979" spans="2:4" hidden="1" outlineLevel="1" x14ac:dyDescent="0.25">
      <c r="B979" t="str">
        <f>INDEX(Rankings!C$2:'Rankings'!C$1149,MATCH(SMALL(Rankings!H$2:'Rankings'!H$1000,ROW()),Rankings!H$2:'Rankings'!H$1000,0))</f>
        <v>Ryan Vinoski</v>
      </c>
      <c r="C979" t="str">
        <f>INDEX(Rankings!C$2:'Rankings'!C$1149,MATCH(SMALL(Rankings!H$2:'Rankings'!H$1000,ROW()),Rankings!H$2:'Rankings'!H$1000,0))</f>
        <v>Ryan Vinoski</v>
      </c>
      <c r="D979" t="str">
        <f>INDEX(Rankings!C$2:'Rankings'!C$1149,MATCH(SMALL(Rankings!H$2:'Rankings'!H$1000,ROW()),Rankings!H$2:'Rankings'!H$1000,0))</f>
        <v>Ryan Vinoski</v>
      </c>
    </row>
    <row r="980" spans="2:4" hidden="1" outlineLevel="1" x14ac:dyDescent="0.25">
      <c r="B980" t="str">
        <f>INDEX(Rankings!C$2:'Rankings'!C$1149,MATCH(SMALL(Rankings!H$2:'Rankings'!H$1000,ROW()),Rankings!H$2:'Rankings'!H$1000,0))</f>
        <v>Ryan Vinoski</v>
      </c>
      <c r="C980" t="str">
        <f>INDEX(Rankings!C$2:'Rankings'!C$1149,MATCH(SMALL(Rankings!H$2:'Rankings'!H$1000,ROW()),Rankings!H$2:'Rankings'!H$1000,0))</f>
        <v>Ryan Vinoski</v>
      </c>
      <c r="D980" t="str">
        <f>INDEX(Rankings!C$2:'Rankings'!C$1149,MATCH(SMALL(Rankings!H$2:'Rankings'!H$1000,ROW()),Rankings!H$2:'Rankings'!H$1000,0))</f>
        <v>Ryan Vinoski</v>
      </c>
    </row>
    <row r="981" spans="2:4" hidden="1" outlineLevel="1" x14ac:dyDescent="0.25">
      <c r="B981" t="str">
        <f>INDEX(Rankings!C$2:'Rankings'!C$1149,MATCH(SMALL(Rankings!H$2:'Rankings'!H$1000,ROW()),Rankings!H$2:'Rankings'!H$1000,0))</f>
        <v>Ryan Vinoski</v>
      </c>
      <c r="C981" t="str">
        <f>INDEX(Rankings!C$2:'Rankings'!C$1149,MATCH(SMALL(Rankings!H$2:'Rankings'!H$1000,ROW()),Rankings!H$2:'Rankings'!H$1000,0))</f>
        <v>Ryan Vinoski</v>
      </c>
      <c r="D981" t="str">
        <f>INDEX(Rankings!C$2:'Rankings'!C$1149,MATCH(SMALL(Rankings!H$2:'Rankings'!H$1000,ROW()),Rankings!H$2:'Rankings'!H$1000,0))</f>
        <v>Ryan Vinoski</v>
      </c>
    </row>
    <row r="982" spans="2:4" hidden="1" outlineLevel="1" x14ac:dyDescent="0.25">
      <c r="B982" t="str">
        <f>INDEX(Rankings!C$2:'Rankings'!C$1149,MATCH(SMALL(Rankings!H$2:'Rankings'!H$1000,ROW()),Rankings!H$2:'Rankings'!H$1000,0))</f>
        <v>Ryan Vinoski</v>
      </c>
      <c r="C982" t="str">
        <f>INDEX(Rankings!C$2:'Rankings'!C$1149,MATCH(SMALL(Rankings!H$2:'Rankings'!H$1000,ROW()),Rankings!H$2:'Rankings'!H$1000,0))</f>
        <v>Ryan Vinoski</v>
      </c>
      <c r="D982" t="str">
        <f>INDEX(Rankings!C$2:'Rankings'!C$1149,MATCH(SMALL(Rankings!H$2:'Rankings'!H$1000,ROW()),Rankings!H$2:'Rankings'!H$1000,0))</f>
        <v>Ryan Vinoski</v>
      </c>
    </row>
    <row r="983" spans="2:4" hidden="1" outlineLevel="1" x14ac:dyDescent="0.25">
      <c r="B983" t="str">
        <f>INDEX(Rankings!C$2:'Rankings'!C$1149,MATCH(SMALL(Rankings!H$2:'Rankings'!H$1000,ROW()),Rankings!H$2:'Rankings'!H$1000,0))</f>
        <v>Ryan Vinoski</v>
      </c>
      <c r="C983" t="str">
        <f>INDEX(Rankings!C$2:'Rankings'!C$1149,MATCH(SMALL(Rankings!H$2:'Rankings'!H$1000,ROW()),Rankings!H$2:'Rankings'!H$1000,0))</f>
        <v>Ryan Vinoski</v>
      </c>
      <c r="D983" t="str">
        <f>INDEX(Rankings!C$2:'Rankings'!C$1149,MATCH(SMALL(Rankings!H$2:'Rankings'!H$1000,ROW()),Rankings!H$2:'Rankings'!H$1000,0))</f>
        <v>Ryan Vinoski</v>
      </c>
    </row>
    <row r="984" spans="2:4" hidden="1" outlineLevel="1" x14ac:dyDescent="0.25">
      <c r="B984" t="str">
        <f>INDEX(Rankings!C$2:'Rankings'!C$1149,MATCH(SMALL(Rankings!H$2:'Rankings'!H$1000,ROW()),Rankings!H$2:'Rankings'!H$1000,0))</f>
        <v>Ryan Vinoski</v>
      </c>
      <c r="C984" t="str">
        <f>INDEX(Rankings!C$2:'Rankings'!C$1149,MATCH(SMALL(Rankings!H$2:'Rankings'!H$1000,ROW()),Rankings!H$2:'Rankings'!H$1000,0))</f>
        <v>Ryan Vinoski</v>
      </c>
      <c r="D984" t="str">
        <f>INDEX(Rankings!C$2:'Rankings'!C$1149,MATCH(SMALL(Rankings!H$2:'Rankings'!H$1000,ROW()),Rankings!H$2:'Rankings'!H$1000,0))</f>
        <v>Ryan Vinoski</v>
      </c>
    </row>
    <row r="985" spans="2:4" hidden="1" outlineLevel="1" x14ac:dyDescent="0.25">
      <c r="B985" t="str">
        <f>INDEX(Rankings!C$2:'Rankings'!C$1149,MATCH(SMALL(Rankings!H$2:'Rankings'!H$1000,ROW()),Rankings!H$2:'Rankings'!H$1000,0))</f>
        <v>Ryan Vinoski</v>
      </c>
      <c r="C985" t="str">
        <f>INDEX(Rankings!C$2:'Rankings'!C$1149,MATCH(SMALL(Rankings!H$2:'Rankings'!H$1000,ROW()),Rankings!H$2:'Rankings'!H$1000,0))</f>
        <v>Ryan Vinoski</v>
      </c>
      <c r="D985" t="str">
        <f>INDEX(Rankings!C$2:'Rankings'!C$1149,MATCH(SMALL(Rankings!H$2:'Rankings'!H$1000,ROW()),Rankings!H$2:'Rankings'!H$1000,0))</f>
        <v>Ryan Vinoski</v>
      </c>
    </row>
    <row r="986" spans="2:4" hidden="1" outlineLevel="1" x14ac:dyDescent="0.25">
      <c r="B986" t="str">
        <f>INDEX(Rankings!C$2:'Rankings'!C$1149,MATCH(SMALL(Rankings!H$2:'Rankings'!H$1000,ROW()),Rankings!H$2:'Rankings'!H$1000,0))</f>
        <v>Ryan Vinoski</v>
      </c>
      <c r="C986" t="str">
        <f>INDEX(Rankings!C$2:'Rankings'!C$1149,MATCH(SMALL(Rankings!H$2:'Rankings'!H$1000,ROW()),Rankings!H$2:'Rankings'!H$1000,0))</f>
        <v>Ryan Vinoski</v>
      </c>
      <c r="D986" t="str">
        <f>INDEX(Rankings!C$2:'Rankings'!C$1149,MATCH(SMALL(Rankings!H$2:'Rankings'!H$1000,ROW()),Rankings!H$2:'Rankings'!H$1000,0))</f>
        <v>Ryan Vinoski</v>
      </c>
    </row>
    <row r="987" spans="2:4" hidden="1" outlineLevel="1" x14ac:dyDescent="0.25">
      <c r="B987" t="str">
        <f>INDEX(Rankings!C$2:'Rankings'!C$1149,MATCH(SMALL(Rankings!H$2:'Rankings'!H$1000,ROW()),Rankings!H$2:'Rankings'!H$1000,0))</f>
        <v>Ryan Vinoski</v>
      </c>
      <c r="C987" t="str">
        <f>INDEX(Rankings!C$2:'Rankings'!C$1149,MATCH(SMALL(Rankings!H$2:'Rankings'!H$1000,ROW()),Rankings!H$2:'Rankings'!H$1000,0))</f>
        <v>Ryan Vinoski</v>
      </c>
      <c r="D987" t="str">
        <f>INDEX(Rankings!C$2:'Rankings'!C$1149,MATCH(SMALL(Rankings!H$2:'Rankings'!H$1000,ROW()),Rankings!H$2:'Rankings'!H$1000,0))</f>
        <v>Ryan Vinoski</v>
      </c>
    </row>
    <row r="988" spans="2:4" hidden="1" outlineLevel="1" x14ac:dyDescent="0.25">
      <c r="B988" t="str">
        <f>INDEX(Rankings!C$2:'Rankings'!C$1149,MATCH(SMALL(Rankings!H$2:'Rankings'!H$1000,ROW()),Rankings!H$2:'Rankings'!H$1000,0))</f>
        <v>Ryan Vinoski</v>
      </c>
      <c r="C988" t="str">
        <f>INDEX(Rankings!C$2:'Rankings'!C$1149,MATCH(SMALL(Rankings!H$2:'Rankings'!H$1000,ROW()),Rankings!H$2:'Rankings'!H$1000,0))</f>
        <v>Ryan Vinoski</v>
      </c>
      <c r="D988" t="str">
        <f>INDEX(Rankings!C$2:'Rankings'!C$1149,MATCH(SMALL(Rankings!H$2:'Rankings'!H$1000,ROW()),Rankings!H$2:'Rankings'!H$1000,0))</f>
        <v>Ryan Vinoski</v>
      </c>
    </row>
    <row r="989" spans="2:4" hidden="1" outlineLevel="1" x14ac:dyDescent="0.25">
      <c r="B989" t="str">
        <f>INDEX(Rankings!C$2:'Rankings'!C$1149,MATCH(SMALL(Rankings!H$2:'Rankings'!H$1000,ROW()),Rankings!H$2:'Rankings'!H$1000,0))</f>
        <v>Ryan Vinoski</v>
      </c>
      <c r="C989" t="str">
        <f>INDEX(Rankings!C$2:'Rankings'!C$1149,MATCH(SMALL(Rankings!H$2:'Rankings'!H$1000,ROW()),Rankings!H$2:'Rankings'!H$1000,0))</f>
        <v>Ryan Vinoski</v>
      </c>
      <c r="D989" t="str">
        <f>INDEX(Rankings!C$2:'Rankings'!C$1149,MATCH(SMALL(Rankings!H$2:'Rankings'!H$1000,ROW()),Rankings!H$2:'Rankings'!H$1000,0))</f>
        <v>Ryan Vinoski</v>
      </c>
    </row>
    <row r="990" spans="2:4" hidden="1" outlineLevel="1" x14ac:dyDescent="0.25">
      <c r="B990" t="str">
        <f>INDEX(Rankings!C$2:'Rankings'!C$1149,MATCH(SMALL(Rankings!H$2:'Rankings'!H$1000,ROW()),Rankings!H$2:'Rankings'!H$1000,0))</f>
        <v>Ryan Vinoski</v>
      </c>
      <c r="C990" t="str">
        <f>INDEX(Rankings!C$2:'Rankings'!C$1149,MATCH(SMALL(Rankings!H$2:'Rankings'!H$1000,ROW()),Rankings!H$2:'Rankings'!H$1000,0))</f>
        <v>Ryan Vinoski</v>
      </c>
      <c r="D990" t="str">
        <f>INDEX(Rankings!C$2:'Rankings'!C$1149,MATCH(SMALL(Rankings!H$2:'Rankings'!H$1000,ROW()),Rankings!H$2:'Rankings'!H$1000,0))</f>
        <v>Ryan Vinoski</v>
      </c>
    </row>
    <row r="991" spans="2:4" hidden="1" outlineLevel="1" x14ac:dyDescent="0.25">
      <c r="B991" t="str">
        <f>INDEX(Rankings!C$2:'Rankings'!C$1149,MATCH(SMALL(Rankings!H$2:'Rankings'!H$1000,ROW()),Rankings!H$2:'Rankings'!H$1000,0))</f>
        <v>Ryan Vinoski</v>
      </c>
      <c r="C991" t="str">
        <f>INDEX(Rankings!C$2:'Rankings'!C$1149,MATCH(SMALL(Rankings!H$2:'Rankings'!H$1000,ROW()),Rankings!H$2:'Rankings'!H$1000,0))</f>
        <v>Ryan Vinoski</v>
      </c>
      <c r="D991" t="str">
        <f>INDEX(Rankings!C$2:'Rankings'!C$1149,MATCH(SMALL(Rankings!H$2:'Rankings'!H$1000,ROW()),Rankings!H$2:'Rankings'!H$1000,0))</f>
        <v>Ryan Vinoski</v>
      </c>
    </row>
    <row r="992" spans="2:4" hidden="1" outlineLevel="1" x14ac:dyDescent="0.25">
      <c r="B992" t="str">
        <f>INDEX(Rankings!C$2:'Rankings'!C$1149,MATCH(SMALL(Rankings!H$2:'Rankings'!H$1000,ROW()),Rankings!H$2:'Rankings'!H$1000,0))</f>
        <v>Ryan Vinoski</v>
      </c>
      <c r="C992" t="str">
        <f>INDEX(Rankings!C$2:'Rankings'!C$1149,MATCH(SMALL(Rankings!H$2:'Rankings'!H$1000,ROW()),Rankings!H$2:'Rankings'!H$1000,0))</f>
        <v>Ryan Vinoski</v>
      </c>
      <c r="D992" t="str">
        <f>INDEX(Rankings!C$2:'Rankings'!C$1149,MATCH(SMALL(Rankings!H$2:'Rankings'!H$1000,ROW()),Rankings!H$2:'Rankings'!H$1000,0))</f>
        <v>Ryan Vinoski</v>
      </c>
    </row>
    <row r="993" spans="2:4" hidden="1" outlineLevel="1" x14ac:dyDescent="0.25">
      <c r="B993" t="str">
        <f>INDEX(Rankings!C$2:'Rankings'!C$1149,MATCH(SMALL(Rankings!H$2:'Rankings'!H$1000,ROW()),Rankings!H$2:'Rankings'!H$1000,0))</f>
        <v>Ryan Vinoski</v>
      </c>
      <c r="C993" t="str">
        <f>INDEX(Rankings!C$2:'Rankings'!C$1149,MATCH(SMALL(Rankings!H$2:'Rankings'!H$1000,ROW()),Rankings!H$2:'Rankings'!H$1000,0))</f>
        <v>Ryan Vinoski</v>
      </c>
      <c r="D993" t="str">
        <f>INDEX(Rankings!C$2:'Rankings'!C$1149,MATCH(SMALL(Rankings!H$2:'Rankings'!H$1000,ROW()),Rankings!H$2:'Rankings'!H$1000,0))</f>
        <v>Ryan Vinoski</v>
      </c>
    </row>
    <row r="994" spans="2:4" hidden="1" outlineLevel="1" x14ac:dyDescent="0.25">
      <c r="B994" t="str">
        <f>INDEX(Rankings!C$2:'Rankings'!C$1149,MATCH(SMALL(Rankings!H$2:'Rankings'!H$1000,ROW()),Rankings!H$2:'Rankings'!H$1000,0))</f>
        <v>Ryan Vinoski</v>
      </c>
      <c r="C994" t="str">
        <f>INDEX(Rankings!C$2:'Rankings'!C$1149,MATCH(SMALL(Rankings!H$2:'Rankings'!H$1000,ROW()),Rankings!H$2:'Rankings'!H$1000,0))</f>
        <v>Ryan Vinoski</v>
      </c>
      <c r="D994" t="str">
        <f>INDEX(Rankings!C$2:'Rankings'!C$1149,MATCH(SMALL(Rankings!H$2:'Rankings'!H$1000,ROW()),Rankings!H$2:'Rankings'!H$1000,0))</f>
        <v>Ryan Vinoski</v>
      </c>
    </row>
    <row r="995" spans="2:4" hidden="1" outlineLevel="1" x14ac:dyDescent="0.25">
      <c r="B995" t="str">
        <f>INDEX(Rankings!C$2:'Rankings'!C$1149,MATCH(SMALL(Rankings!H$2:'Rankings'!H$1000,ROW()),Rankings!H$2:'Rankings'!H$1000,0))</f>
        <v>Ryan Vinoski</v>
      </c>
      <c r="C995" t="str">
        <f>INDEX(Rankings!C$2:'Rankings'!C$1149,MATCH(SMALL(Rankings!H$2:'Rankings'!H$1000,ROW()),Rankings!H$2:'Rankings'!H$1000,0))</f>
        <v>Ryan Vinoski</v>
      </c>
      <c r="D995" t="str">
        <f>INDEX(Rankings!C$2:'Rankings'!C$1149,MATCH(SMALL(Rankings!H$2:'Rankings'!H$1000,ROW()),Rankings!H$2:'Rankings'!H$1000,0))</f>
        <v>Ryan Vinoski</v>
      </c>
    </row>
    <row r="996" spans="2:4" hidden="1" outlineLevel="1" x14ac:dyDescent="0.25">
      <c r="B996" t="str">
        <f>INDEX(Rankings!C$2:'Rankings'!C$1149,MATCH(SMALL(Rankings!H$2:'Rankings'!H$1000,ROW()),Rankings!H$2:'Rankings'!H$1000,0))</f>
        <v>Ryan Vinoski</v>
      </c>
      <c r="C996" t="str">
        <f>INDEX(Rankings!C$2:'Rankings'!C$1149,MATCH(SMALL(Rankings!H$2:'Rankings'!H$1000,ROW()),Rankings!H$2:'Rankings'!H$1000,0))</f>
        <v>Ryan Vinoski</v>
      </c>
      <c r="D996" t="str">
        <f>INDEX(Rankings!C$2:'Rankings'!C$1149,MATCH(SMALL(Rankings!H$2:'Rankings'!H$1000,ROW()),Rankings!H$2:'Rankings'!H$1000,0))</f>
        <v>Ryan Vinoski</v>
      </c>
    </row>
    <row r="997" spans="2:4" hidden="1" outlineLevel="1" x14ac:dyDescent="0.25">
      <c r="B997" t="str">
        <f>INDEX(Rankings!C$2:'Rankings'!C$1149,MATCH(SMALL(Rankings!H$2:'Rankings'!H$1000,ROW()),Rankings!H$2:'Rankings'!H$1000,0))</f>
        <v>Ryan Vinoski</v>
      </c>
      <c r="C997" t="str">
        <f>INDEX(Rankings!C$2:'Rankings'!C$1149,MATCH(SMALL(Rankings!H$2:'Rankings'!H$1000,ROW()),Rankings!H$2:'Rankings'!H$1000,0))</f>
        <v>Ryan Vinoski</v>
      </c>
      <c r="D997" t="str">
        <f>INDEX(Rankings!C$2:'Rankings'!C$1149,MATCH(SMALL(Rankings!H$2:'Rankings'!H$1000,ROW()),Rankings!H$2:'Rankings'!H$1000,0))</f>
        <v>Ryan Vinoski</v>
      </c>
    </row>
    <row r="998" spans="2:4" hidden="1" outlineLevel="1" x14ac:dyDescent="0.25">
      <c r="B998" t="str">
        <f>INDEX(Rankings!C$2:'Rankings'!C$1149,MATCH(SMALL(Rankings!H$2:'Rankings'!H$1000,ROW()),Rankings!H$2:'Rankings'!H$1000,0))</f>
        <v>Ryan Vinoski</v>
      </c>
      <c r="C998" t="str">
        <f>INDEX(Rankings!C$2:'Rankings'!C$1149,MATCH(SMALL(Rankings!H$2:'Rankings'!H$1000,ROW()),Rankings!H$2:'Rankings'!H$1000,0))</f>
        <v>Ryan Vinoski</v>
      </c>
      <c r="D998" t="str">
        <f>INDEX(Rankings!C$2:'Rankings'!C$1149,MATCH(SMALL(Rankings!H$2:'Rankings'!H$1000,ROW()),Rankings!H$2:'Rankings'!H$1000,0))</f>
        <v>Ryan Vinoski</v>
      </c>
    </row>
    <row r="999" spans="2:4" hidden="1" outlineLevel="1" x14ac:dyDescent="0.25">
      <c r="B999" t="str">
        <f>INDEX(Rankings!C$2:'Rankings'!C$1149,MATCH(SMALL(Rankings!H$2:'Rankings'!H$1000,ROW()),Rankings!H$2:'Rankings'!H$1000,0))</f>
        <v>Ryan Vinoski</v>
      </c>
      <c r="C999" t="str">
        <f>INDEX(Rankings!C$2:'Rankings'!C$1149,MATCH(SMALL(Rankings!H$2:'Rankings'!H$1000,ROW()),Rankings!H$2:'Rankings'!H$1000,0))</f>
        <v>Ryan Vinoski</v>
      </c>
      <c r="D999" t="str">
        <f>INDEX(Rankings!C$2:'Rankings'!C$1149,MATCH(SMALL(Rankings!H$2:'Rankings'!H$1000,ROW()),Rankings!H$2:'Rankings'!H$1000,0))</f>
        <v>Ryan Vinoski</v>
      </c>
    </row>
    <row r="1000" spans="2:4" hidden="1" outlineLevel="1" x14ac:dyDescent="0.25">
      <c r="B1000"/>
    </row>
    <row r="1001" spans="2:4" hidden="1" outlineLevel="1" x14ac:dyDescent="0.25">
      <c r="B1001"/>
    </row>
    <row r="1002" spans="2:4" hidden="1" outlineLevel="1" x14ac:dyDescent="0.25">
      <c r="B1002"/>
    </row>
    <row r="1003" spans="2:4" hidden="1" outlineLevel="1" x14ac:dyDescent="0.25">
      <c r="B1003"/>
    </row>
    <row r="1004" spans="2:4" hidden="1" outlineLevel="1" x14ac:dyDescent="0.25">
      <c r="B1004"/>
    </row>
    <row r="1005" spans="2:4" hidden="1" outlineLevel="1" x14ac:dyDescent="0.25">
      <c r="B1005"/>
    </row>
    <row r="1006" spans="2:4" hidden="1" outlineLevel="1" x14ac:dyDescent="0.25">
      <c r="B1006"/>
    </row>
    <row r="1007" spans="2:4" hidden="1" outlineLevel="1" x14ac:dyDescent="0.25">
      <c r="B1007"/>
    </row>
    <row r="1008" spans="2:4" hidden="1" outlineLevel="1" x14ac:dyDescent="0.25">
      <c r="B1008"/>
    </row>
    <row r="1009" spans="2:2" hidden="1" outlineLevel="1" x14ac:dyDescent="0.25">
      <c r="B1009"/>
    </row>
    <row r="1010" spans="2:2" hidden="1" outlineLevel="1" x14ac:dyDescent="0.25">
      <c r="B1010"/>
    </row>
    <row r="1011" spans="2:2" hidden="1" outlineLevel="1" x14ac:dyDescent="0.25">
      <c r="B1011"/>
    </row>
    <row r="1012" spans="2:2" hidden="1" outlineLevel="1" x14ac:dyDescent="0.25">
      <c r="B1012"/>
    </row>
    <row r="1013" spans="2:2" hidden="1" outlineLevel="1" x14ac:dyDescent="0.25">
      <c r="B1013"/>
    </row>
    <row r="1014" spans="2:2" hidden="1" outlineLevel="1" x14ac:dyDescent="0.25">
      <c r="B1014"/>
    </row>
    <row r="1015" spans="2:2" hidden="1" outlineLevel="1" x14ac:dyDescent="0.25">
      <c r="B1015"/>
    </row>
    <row r="1016" spans="2:2" hidden="1" outlineLevel="1" x14ac:dyDescent="0.25">
      <c r="B1016"/>
    </row>
    <row r="1017" spans="2:2" hidden="1" outlineLevel="1" x14ac:dyDescent="0.25">
      <c r="B1017"/>
    </row>
    <row r="1018" spans="2:2" hidden="1" outlineLevel="1" x14ac:dyDescent="0.25">
      <c r="B1018"/>
    </row>
    <row r="1019" spans="2:2" hidden="1" outlineLevel="1" x14ac:dyDescent="0.25">
      <c r="B1019"/>
    </row>
    <row r="1020" spans="2:2" hidden="1" outlineLevel="1" x14ac:dyDescent="0.25">
      <c r="B1020"/>
    </row>
    <row r="1021" spans="2:2" hidden="1" outlineLevel="1" x14ac:dyDescent="0.25">
      <c r="B1021"/>
    </row>
    <row r="1022" spans="2:2" hidden="1" outlineLevel="1" x14ac:dyDescent="0.25">
      <c r="B1022"/>
    </row>
    <row r="1023" spans="2:2" hidden="1" outlineLevel="1" x14ac:dyDescent="0.25">
      <c r="B1023"/>
    </row>
    <row r="1024" spans="2:2" hidden="1" outlineLevel="1" x14ac:dyDescent="0.25">
      <c r="B1024"/>
    </row>
    <row r="1025" spans="2:2" hidden="1" outlineLevel="1" x14ac:dyDescent="0.25">
      <c r="B1025"/>
    </row>
    <row r="1026" spans="2:2" hidden="1" outlineLevel="1" x14ac:dyDescent="0.25">
      <c r="B1026"/>
    </row>
    <row r="1027" spans="2:2" hidden="1" outlineLevel="1" x14ac:dyDescent="0.25">
      <c r="B1027"/>
    </row>
    <row r="1028" spans="2:2" hidden="1" outlineLevel="1" x14ac:dyDescent="0.25">
      <c r="B1028"/>
    </row>
    <row r="1029" spans="2:2" hidden="1" outlineLevel="1" x14ac:dyDescent="0.25">
      <c r="B1029"/>
    </row>
    <row r="1030" spans="2:2" hidden="1" outlineLevel="1" x14ac:dyDescent="0.25">
      <c r="B1030"/>
    </row>
    <row r="1031" spans="2:2" hidden="1" outlineLevel="1" x14ac:dyDescent="0.25">
      <c r="B1031"/>
    </row>
    <row r="1032" spans="2:2" hidden="1" outlineLevel="1" x14ac:dyDescent="0.25">
      <c r="B1032"/>
    </row>
    <row r="1033" spans="2:2" hidden="1" outlineLevel="1" x14ac:dyDescent="0.25">
      <c r="B1033"/>
    </row>
    <row r="1034" spans="2:2" hidden="1" outlineLevel="1" x14ac:dyDescent="0.25">
      <c r="B1034"/>
    </row>
    <row r="1035" spans="2:2" hidden="1" outlineLevel="1" x14ac:dyDescent="0.25">
      <c r="B1035"/>
    </row>
    <row r="1036" spans="2:2" hidden="1" outlineLevel="1" x14ac:dyDescent="0.25">
      <c r="B1036"/>
    </row>
    <row r="1037" spans="2:2" hidden="1" outlineLevel="1" x14ac:dyDescent="0.25">
      <c r="B1037"/>
    </row>
    <row r="1038" spans="2:2" hidden="1" outlineLevel="1" x14ac:dyDescent="0.25">
      <c r="B1038"/>
    </row>
    <row r="1039" spans="2:2" hidden="1" outlineLevel="1" x14ac:dyDescent="0.25">
      <c r="B1039"/>
    </row>
    <row r="1040" spans="2:2" hidden="1" outlineLevel="1" x14ac:dyDescent="0.25">
      <c r="B1040"/>
    </row>
    <row r="1041" spans="2:2" hidden="1" outlineLevel="1" x14ac:dyDescent="0.25">
      <c r="B1041"/>
    </row>
    <row r="1042" spans="2:2" hidden="1" outlineLevel="1" x14ac:dyDescent="0.25">
      <c r="B1042"/>
    </row>
    <row r="1043" spans="2:2" hidden="1" outlineLevel="1" x14ac:dyDescent="0.25">
      <c r="B1043"/>
    </row>
    <row r="1044" spans="2:2" hidden="1" outlineLevel="1" x14ac:dyDescent="0.25">
      <c r="B1044"/>
    </row>
    <row r="1045" spans="2:2" hidden="1" outlineLevel="1" x14ac:dyDescent="0.25">
      <c r="B1045"/>
    </row>
    <row r="1046" spans="2:2" hidden="1" outlineLevel="1" x14ac:dyDescent="0.25">
      <c r="B1046"/>
    </row>
    <row r="1047" spans="2:2" hidden="1" outlineLevel="1" x14ac:dyDescent="0.25">
      <c r="B1047"/>
    </row>
    <row r="1048" spans="2:2" hidden="1" outlineLevel="1" x14ac:dyDescent="0.25">
      <c r="B1048"/>
    </row>
    <row r="1049" spans="2:2" hidden="1" outlineLevel="1" x14ac:dyDescent="0.25">
      <c r="B1049"/>
    </row>
    <row r="1050" spans="2:2" hidden="1" outlineLevel="1" x14ac:dyDescent="0.25">
      <c r="B1050"/>
    </row>
    <row r="1051" spans="2:2" hidden="1" outlineLevel="1" x14ac:dyDescent="0.25">
      <c r="B1051"/>
    </row>
    <row r="1052" spans="2:2" hidden="1" outlineLevel="1" x14ac:dyDescent="0.25">
      <c r="B1052"/>
    </row>
    <row r="1053" spans="2:2" hidden="1" outlineLevel="1" x14ac:dyDescent="0.25">
      <c r="B1053"/>
    </row>
    <row r="1054" spans="2:2" hidden="1" outlineLevel="1" x14ac:dyDescent="0.25">
      <c r="B1054"/>
    </row>
    <row r="1055" spans="2:2" hidden="1" outlineLevel="1" x14ac:dyDescent="0.25">
      <c r="B1055"/>
    </row>
    <row r="1056" spans="2:2" hidden="1" outlineLevel="1" x14ac:dyDescent="0.25">
      <c r="B1056"/>
    </row>
    <row r="1057" spans="2:2" hidden="1" outlineLevel="1" x14ac:dyDescent="0.25">
      <c r="B1057"/>
    </row>
    <row r="1058" spans="2:2" hidden="1" outlineLevel="1" x14ac:dyDescent="0.25">
      <c r="B1058"/>
    </row>
    <row r="1059" spans="2:2" hidden="1" outlineLevel="1" x14ac:dyDescent="0.25">
      <c r="B1059"/>
    </row>
    <row r="1060" spans="2:2" hidden="1" outlineLevel="1" x14ac:dyDescent="0.25">
      <c r="B1060"/>
    </row>
    <row r="1061" spans="2:2" hidden="1" outlineLevel="1" x14ac:dyDescent="0.25">
      <c r="B1061"/>
    </row>
    <row r="1062" spans="2:2" hidden="1" outlineLevel="1" x14ac:dyDescent="0.25">
      <c r="B1062"/>
    </row>
    <row r="1063" spans="2:2" hidden="1" outlineLevel="1" x14ac:dyDescent="0.25">
      <c r="B1063"/>
    </row>
    <row r="1064" spans="2:2" hidden="1" outlineLevel="1" x14ac:dyDescent="0.25">
      <c r="B1064"/>
    </row>
    <row r="1065" spans="2:2" hidden="1" outlineLevel="1" x14ac:dyDescent="0.25">
      <c r="B1065"/>
    </row>
    <row r="1066" spans="2:2" hidden="1" outlineLevel="1" x14ac:dyDescent="0.25">
      <c r="B1066"/>
    </row>
    <row r="1067" spans="2:2" hidden="1" outlineLevel="1" x14ac:dyDescent="0.25">
      <c r="B1067"/>
    </row>
    <row r="1068" spans="2:2" hidden="1" outlineLevel="1" x14ac:dyDescent="0.25">
      <c r="B1068"/>
    </row>
    <row r="1069" spans="2:2" hidden="1" outlineLevel="1" x14ac:dyDescent="0.25">
      <c r="B1069"/>
    </row>
    <row r="1070" spans="2:2" hidden="1" outlineLevel="1" x14ac:dyDescent="0.25">
      <c r="B1070"/>
    </row>
    <row r="1071" spans="2:2" hidden="1" outlineLevel="1" x14ac:dyDescent="0.25">
      <c r="B1071"/>
    </row>
    <row r="1072" spans="2:2" hidden="1" outlineLevel="1" x14ac:dyDescent="0.25">
      <c r="B1072"/>
    </row>
    <row r="1073" spans="2:2" hidden="1" outlineLevel="1" x14ac:dyDescent="0.25">
      <c r="B1073"/>
    </row>
    <row r="1074" spans="2:2" hidden="1" outlineLevel="1" x14ac:dyDescent="0.25">
      <c r="B1074"/>
    </row>
    <row r="1075" spans="2:2" hidden="1" outlineLevel="1" x14ac:dyDescent="0.25">
      <c r="B1075"/>
    </row>
    <row r="1076" spans="2:2" hidden="1" outlineLevel="1" x14ac:dyDescent="0.25">
      <c r="B1076"/>
    </row>
    <row r="1077" spans="2:2" hidden="1" outlineLevel="1" x14ac:dyDescent="0.25">
      <c r="B1077"/>
    </row>
    <row r="1078" spans="2:2" hidden="1" outlineLevel="1" x14ac:dyDescent="0.25">
      <c r="B1078"/>
    </row>
    <row r="1079" spans="2:2" hidden="1" outlineLevel="1" x14ac:dyDescent="0.25">
      <c r="B1079"/>
    </row>
    <row r="1080" spans="2:2" hidden="1" outlineLevel="1" x14ac:dyDescent="0.25">
      <c r="B1080"/>
    </row>
    <row r="1081" spans="2:2" hidden="1" outlineLevel="1" x14ac:dyDescent="0.25">
      <c r="B1081"/>
    </row>
    <row r="1082" spans="2:2" hidden="1" outlineLevel="1" x14ac:dyDescent="0.25">
      <c r="B1082"/>
    </row>
    <row r="1083" spans="2:2" hidden="1" outlineLevel="1" x14ac:dyDescent="0.25">
      <c r="B1083"/>
    </row>
    <row r="1084" spans="2:2" hidden="1" outlineLevel="1" x14ac:dyDescent="0.25">
      <c r="B1084"/>
    </row>
    <row r="1085" spans="2:2" hidden="1" outlineLevel="1" x14ac:dyDescent="0.25">
      <c r="B1085"/>
    </row>
    <row r="1086" spans="2:2" hidden="1" outlineLevel="1" x14ac:dyDescent="0.25">
      <c r="B1086"/>
    </row>
    <row r="1087" spans="2:2" hidden="1" outlineLevel="1" x14ac:dyDescent="0.25">
      <c r="B1087"/>
    </row>
    <row r="1088" spans="2:2" hidden="1" outlineLevel="1" x14ac:dyDescent="0.25">
      <c r="B1088"/>
    </row>
    <row r="1089" spans="2:2" hidden="1" outlineLevel="1" x14ac:dyDescent="0.25">
      <c r="B1089"/>
    </row>
    <row r="1090" spans="2:2" hidden="1" outlineLevel="1" x14ac:dyDescent="0.25">
      <c r="B1090"/>
    </row>
    <row r="1091" spans="2:2" hidden="1" outlineLevel="1" x14ac:dyDescent="0.25">
      <c r="B1091"/>
    </row>
    <row r="1092" spans="2:2" hidden="1" outlineLevel="1" x14ac:dyDescent="0.25">
      <c r="B1092"/>
    </row>
    <row r="1093" spans="2:2" hidden="1" outlineLevel="1" x14ac:dyDescent="0.25">
      <c r="B1093"/>
    </row>
    <row r="1094" spans="2:2" hidden="1" outlineLevel="1" x14ac:dyDescent="0.25">
      <c r="B1094"/>
    </row>
    <row r="1095" spans="2:2" hidden="1" outlineLevel="1" x14ac:dyDescent="0.25">
      <c r="B1095"/>
    </row>
    <row r="1096" spans="2:2" hidden="1" outlineLevel="1" x14ac:dyDescent="0.25">
      <c r="B1096"/>
    </row>
    <row r="1097" spans="2:2" hidden="1" outlineLevel="1" x14ac:dyDescent="0.25">
      <c r="B1097"/>
    </row>
    <row r="1098" spans="2:2" hidden="1" outlineLevel="1" x14ac:dyDescent="0.25">
      <c r="B1098"/>
    </row>
    <row r="1099" spans="2:2" hidden="1" outlineLevel="1" x14ac:dyDescent="0.25">
      <c r="B1099"/>
    </row>
    <row r="1100" spans="2:2" hidden="1" outlineLevel="1" x14ac:dyDescent="0.25">
      <c r="B1100"/>
    </row>
    <row r="1101" spans="2:2" collapsed="1" x14ac:dyDescent="0.25"/>
  </sheetData>
  <mergeCells count="2">
    <mergeCell ref="G7:G8"/>
    <mergeCell ref="G9:G10"/>
  </mergeCells>
  <phoneticPr fontId="0" type="noConversion"/>
  <dataValidations count="6">
    <dataValidation type="list" allowBlank="1" showInputMessage="1" showErrorMessage="1" sqref="B4">
      <formula1>"Open Pairs,Open Coop,Mixed Pairs, Women Pairs"</formula1>
    </dataValidation>
    <dataValidation type="list" allowBlank="1" showInputMessage="1" showErrorMessage="1" sqref="C4">
      <formula1>"Preliminairs, Quarter-Final,Semi-Final,Final"</formula1>
    </dataValidation>
    <dataValidation type="list" allowBlank="1" showInputMessage="1" showErrorMessage="1" sqref="D4">
      <formula1>"A,B,C,D"</formula1>
    </dataValidation>
    <dataValidation type="list" showInputMessage="1" showErrorMessage="1" errorTitle="Time" error="Duration of the Routines needed to calculate Difficulty Divider!" sqref="G5">
      <formula1>"3,4,5"</formula1>
    </dataValidation>
    <dataValidation type="list" errorStyle="warning" allowBlank="1" errorTitle="Wrong Player Name" error="Please input a valid player name!_x000a_If the name of the player does not appear in the dropdownlist, the player is not in the Rankings and this warning could be ignored." sqref="C13:D22 B14:B22 G14:G22">
      <formula1>$B$23:$B$1000</formula1>
    </dataValidation>
    <dataValidation type="list" errorStyle="warning" allowBlank="1" errorTitle="Wrong Player Name" error="Please input a valid player name!_x000a_If the name of the player does not appear in the dropdownlist, the player is not in the Rankings and this warning could be ignored." promptTitle="test" sqref="B13">
      <formula1>$B$23:$B$999</formula1>
    </dataValidation>
  </dataValidations>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&amp;R&amp;G</oddHeader>
  </headerFooter>
  <cellWatches>
    <cellWatch r="G7"/>
    <cellWatch r="H8"/>
    <cellWatch r="H9"/>
  </cellWatches>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sults"/>
  <dimension ref="A1:AB32"/>
  <sheetViews>
    <sheetView showGridLines="0" showRowColHeaders="0" showZeros="0" zoomScale="90" zoomScaleNormal="90" zoomScaleSheetLayoutView="100" zoomScalePageLayoutView="85" workbookViewId="0">
      <selection activeCell="L15" sqref="L15"/>
    </sheetView>
  </sheetViews>
  <sheetFormatPr defaultRowHeight="15" x14ac:dyDescent="0.25"/>
  <cols>
    <col min="1" max="1" width="4.28515625" style="13" customWidth="1"/>
    <col min="2" max="2" width="45.42578125" customWidth="1"/>
    <col min="3" max="4" width="6.140625" style="1" customWidth="1"/>
    <col min="5" max="5" width="6.140625" style="1" hidden="1" customWidth="1"/>
    <col min="6" max="6" width="5" style="2" customWidth="1"/>
    <col min="7" max="7" width="2.85546875" style="2" customWidth="1"/>
    <col min="8" max="8" width="5" style="2" customWidth="1"/>
    <col min="9" max="9" width="3" style="2" customWidth="1"/>
    <col min="10" max="10" width="5" style="2" hidden="1" customWidth="1"/>
    <col min="11" max="11" width="3.42578125" style="2" hidden="1" customWidth="1"/>
    <col min="12" max="13" width="6.140625" style="2" customWidth="1"/>
    <col min="14" max="14" width="6.140625" style="2" hidden="1" customWidth="1"/>
    <col min="15" max="15" width="7.5703125" style="2" customWidth="1"/>
    <col min="16" max="17" width="7.5703125" customWidth="1"/>
    <col min="18" max="18" width="7.85546875" customWidth="1"/>
    <col min="19" max="19" width="7.5703125" customWidth="1"/>
    <col min="20" max="20" width="3.85546875" customWidth="1"/>
    <col min="21" max="24" width="2" customWidth="1"/>
    <col min="25" max="256" width="11.42578125" customWidth="1"/>
  </cols>
  <sheetData>
    <row r="1" spans="1:28" ht="30" customHeight="1" x14ac:dyDescent="0.5">
      <c r="A1" s="270" t="str">
        <f>Starterlist!A1</f>
        <v>My Test Tournament</v>
      </c>
      <c r="B1" s="271"/>
      <c r="C1" s="271"/>
      <c r="D1" s="24" t="s">
        <v>13</v>
      </c>
      <c r="F1" s="24"/>
      <c r="G1" s="24"/>
      <c r="H1" s="10"/>
      <c r="I1" s="10"/>
      <c r="L1" s="24" t="s">
        <v>14</v>
      </c>
      <c r="M1" s="31"/>
      <c r="N1" s="31"/>
      <c r="P1" s="3" t="str">
        <f>Starterlist!D3</f>
        <v>Pool</v>
      </c>
      <c r="Q1" s="3"/>
    </row>
    <row r="2" spans="1:28" ht="19.5" customHeight="1" x14ac:dyDescent="0.35">
      <c r="A2" s="272" t="str">
        <f>Starterlist!A2</f>
        <v>Ryan's House</v>
      </c>
      <c r="B2" s="271"/>
      <c r="C2" s="271"/>
      <c r="D2" s="32" t="str">
        <f>Starterlist!B4</f>
        <v>Coop</v>
      </c>
      <c r="F2" s="32"/>
      <c r="G2" s="32"/>
      <c r="H2" s="32"/>
      <c r="I2" s="32"/>
      <c r="L2" s="32" t="str">
        <f>Starterlist!C4</f>
        <v>Semifinals</v>
      </c>
      <c r="M2" s="32"/>
      <c r="N2" s="32"/>
      <c r="O2" s="4"/>
      <c r="P2" s="4" t="str">
        <f>Starterlist!D4</f>
        <v>A</v>
      </c>
      <c r="Q2" s="4"/>
    </row>
    <row r="3" spans="1:28" ht="8.25" customHeight="1" thickBot="1" x14ac:dyDescent="0.3">
      <c r="B3" s="24"/>
      <c r="C3" s="10"/>
      <c r="D3" s="10"/>
      <c r="E3" s="10"/>
      <c r="F3" s="31"/>
      <c r="G3" s="31"/>
      <c r="H3" s="31"/>
      <c r="I3" s="31"/>
      <c r="J3" s="31"/>
      <c r="K3" s="31"/>
      <c r="L3" s="31"/>
      <c r="M3" s="31"/>
      <c r="N3" s="31"/>
    </row>
    <row r="4" spans="1:28" ht="71.25" customHeight="1" thickBot="1" x14ac:dyDescent="0.3">
      <c r="B4" s="24"/>
      <c r="C4" s="80">
        <f>Starterlist!G14</f>
        <v>0</v>
      </c>
      <c r="D4" s="80">
        <f>Starterlist!G15</f>
        <v>0</v>
      </c>
      <c r="E4" s="79">
        <f>Starterlist!G16</f>
        <v>0</v>
      </c>
      <c r="F4" s="174">
        <f>Starterlist!G17</f>
        <v>0</v>
      </c>
      <c r="G4" s="175"/>
      <c r="H4" s="174">
        <f>Starterlist!G18</f>
        <v>0</v>
      </c>
      <c r="I4" s="175"/>
      <c r="J4" s="174">
        <f>Starterlist!G19</f>
        <v>0</v>
      </c>
      <c r="K4" s="175"/>
      <c r="L4" s="79">
        <f>Starterlist!G20</f>
        <v>0</v>
      </c>
      <c r="M4" s="79">
        <f>Starterlist!G21</f>
        <v>0</v>
      </c>
      <c r="N4" s="79">
        <f>Starterlist!G22</f>
        <v>0</v>
      </c>
      <c r="O4" s="82" t="s">
        <v>1</v>
      </c>
      <c r="P4" s="83" t="s">
        <v>2</v>
      </c>
      <c r="Q4" s="84" t="s">
        <v>3</v>
      </c>
      <c r="R4" s="56"/>
      <c r="S4" s="56"/>
      <c r="U4" s="24"/>
      <c r="V4" s="24"/>
      <c r="W4" s="24"/>
      <c r="X4" s="24"/>
      <c r="Y4" s="24"/>
      <c r="Z4" s="24"/>
      <c r="AA4" s="24"/>
      <c r="AB4" s="24"/>
    </row>
    <row r="5" spans="1:28" ht="20.25" customHeight="1" thickBot="1" x14ac:dyDescent="0.4">
      <c r="A5" s="19" t="s">
        <v>9</v>
      </c>
      <c r="B5" s="25" t="s">
        <v>16</v>
      </c>
      <c r="C5" s="57" t="s">
        <v>5</v>
      </c>
      <c r="D5" s="60" t="s">
        <v>6</v>
      </c>
      <c r="E5" s="60" t="s">
        <v>46</v>
      </c>
      <c r="F5" s="273" t="s">
        <v>7</v>
      </c>
      <c r="G5" s="274"/>
      <c r="H5" s="275" t="s">
        <v>8</v>
      </c>
      <c r="I5" s="274"/>
      <c r="J5" s="61" t="s">
        <v>47</v>
      </c>
      <c r="K5" s="176"/>
      <c r="L5" s="62" t="s">
        <v>81</v>
      </c>
      <c r="M5" s="63" t="s">
        <v>82</v>
      </c>
      <c r="N5" s="81" t="s">
        <v>48</v>
      </c>
      <c r="O5" s="86"/>
      <c r="P5" s="87"/>
      <c r="Q5" s="85"/>
      <c r="R5" s="78" t="s">
        <v>4</v>
      </c>
      <c r="S5" s="77" t="s">
        <v>0</v>
      </c>
      <c r="U5" s="24"/>
      <c r="V5" s="24"/>
      <c r="W5" s="24"/>
      <c r="X5" s="24"/>
      <c r="Y5" s="24"/>
      <c r="Z5" s="24"/>
      <c r="AA5" s="24"/>
      <c r="AB5" s="24"/>
    </row>
    <row r="6" spans="1:28" ht="46.5" customHeight="1" thickBot="1" x14ac:dyDescent="0.3">
      <c r="A6" s="97">
        <v>1</v>
      </c>
      <c r="B6" s="123" t="str">
        <f>(Starterlist!B13)&amp;CHAR(10)&amp;(Starterlist!C13)&amp;CHAR(10)&amp;(Starterlist!D13)</f>
        <v xml:space="preserve">
</v>
      </c>
      <c r="C6" s="149" t="str">
        <f>IF(COUNTA(Starterlist!G$14)&gt;0,'EX 1'!H6,"")</f>
        <v/>
      </c>
      <c r="D6" s="150" t="str">
        <f>IF(COUNTA(Starterlist!G$15)&gt;0,'EX 2'!H6,"")</f>
        <v/>
      </c>
      <c r="E6" s="151" t="str">
        <f>IF(COUNTA(Starterlist!G$16)&gt;0,'EX 3'!H6,"")</f>
        <v/>
      </c>
      <c r="F6" s="183" t="str">
        <f>IF(COUNTA(Starterlist!G$17)&gt;0,'AI 1'!J6:J6,"")</f>
        <v/>
      </c>
      <c r="G6" s="263" t="str">
        <f>IF(COUNTA(Starterlist!G$17)&gt;0,('AI 1'!C6)&amp;CHAR(10)&amp;('AI 1'!D6)&amp;CHAR(10)&amp;('AI 1'!E6)&amp;CHAR(10)&amp;('AI 1'!F6)&amp;CHAR(10)&amp;('AI 1'!G6)&amp;CHAR(10)&amp;('AI 1'!H6),"")</f>
        <v/>
      </c>
      <c r="H6" s="185" t="str">
        <f>IF(COUNTA(Starterlist!G$18)&gt;0,'AI 2'!J6:J6,"")</f>
        <v/>
      </c>
      <c r="I6" s="263" t="str">
        <f>IF(COUNTA(Starterlist!G$17)&gt;0,('AI 2'!C6)&amp;CHAR(10)&amp;('AI 2'!D6)&amp;CHAR(10)&amp;('AI 2'!E6)&amp;CHAR(10)&amp;('AI 2'!F6)&amp;CHAR(10)&amp;('AI 2'!G6)&amp;CHAR(10)&amp;('AI 2'!H6),"")</f>
        <v/>
      </c>
      <c r="J6" s="185" t="str">
        <f>IF(COUNTA(Starterlist!G$19)&gt;0,'AI 3'!J6:J6,"")</f>
        <v/>
      </c>
      <c r="K6" s="263" t="str">
        <f>IF(COUNTA(Starterlist!G$17)&gt;0,('AI 3'!C6)&amp;CHAR(10)&amp;('AI 3'!D6)&amp;CHAR(10)&amp;('AI 3'!E6)&amp;CHAR(10)&amp;('AI 3'!F6)&amp;CHAR(10)&amp;('AI 3'!G6)&amp;CHAR(10)&amp;('AI 3'!H6),"")</f>
        <v/>
      </c>
      <c r="L6" s="152" t="str">
        <f>IF(COUNTA(Starterlist!G$20)&gt;0,'DIF 1'!Y6:Y6,"")</f>
        <v/>
      </c>
      <c r="M6" s="150" t="str">
        <f>IF(COUNTA(Starterlist!G$21)&gt;0,'DIF 2'!Y6:Y6,"")</f>
        <v/>
      </c>
      <c r="N6" s="151" t="str">
        <f>IF(COUNTA(Starterlist!G$22)&gt;0,'DIF 3'!Y6:Y6,"")</f>
        <v/>
      </c>
      <c r="O6" s="95">
        <f t="shared" ref="O6:O15" si="0">SUM(C6:E6)</f>
        <v>0</v>
      </c>
      <c r="P6" s="96">
        <f t="shared" ref="P6:P15" si="1">SUM(F6:J6)</f>
        <v>0</v>
      </c>
      <c r="Q6" s="93">
        <f t="shared" ref="Q6:Q13" si="2">SUM(L6:N6)</f>
        <v>0</v>
      </c>
      <c r="R6" s="92">
        <f t="shared" ref="R6:R13" si="3">SUM(O6:Q6)</f>
        <v>0</v>
      </c>
      <c r="S6" s="94" t="str">
        <f>IF(R6=0,"",RANK(R6,R$6:R$15))</f>
        <v/>
      </c>
      <c r="T6" s="173"/>
      <c r="U6" s="24"/>
      <c r="V6" s="24"/>
      <c r="W6" s="24"/>
      <c r="X6" s="24"/>
      <c r="Y6" s="24"/>
      <c r="Z6" s="24"/>
      <c r="AA6" s="24"/>
      <c r="AB6" s="24"/>
    </row>
    <row r="7" spans="1:28" ht="46.5" customHeight="1" thickBot="1" x14ac:dyDescent="0.3">
      <c r="A7" s="49">
        <v>2</v>
      </c>
      <c r="B7" s="123" t="str">
        <f>(Starterlist!B14)&amp;CHAR(10)&amp;(Starterlist!C14)&amp;CHAR(10)&amp;(Starterlist!D14)</f>
        <v xml:space="preserve">
</v>
      </c>
      <c r="C7" s="149" t="str">
        <f>IF(COUNTA(Starterlist!G$14)&gt;0,'EX 1'!H7,"")</f>
        <v/>
      </c>
      <c r="D7" s="150" t="str">
        <f>IF(COUNTA(Starterlist!G$15)&gt;0,'EX 2'!H7,"")</f>
        <v/>
      </c>
      <c r="E7" s="151" t="str">
        <f>IF(COUNTA(Starterlist!G$16)&gt;0,'EX 3'!H7,"")</f>
        <v/>
      </c>
      <c r="F7" s="183" t="str">
        <f>IF(COUNTA(Starterlist!G$17)&gt;0,'AI 1'!J7:J7,"")</f>
        <v/>
      </c>
      <c r="G7" s="263" t="str">
        <f>IF(COUNTA(Starterlist!G$17)&gt;0,('AI 1'!C7)&amp;CHAR(10)&amp;('AI 1'!D7)&amp;CHAR(10)&amp;('AI 1'!E7)&amp;CHAR(10)&amp;('AI 1'!F7)&amp;CHAR(10)&amp;('AI 1'!G7)&amp;CHAR(10)&amp;('AI 1'!H7),"")</f>
        <v/>
      </c>
      <c r="H7" s="185" t="str">
        <f>IF(COUNTA(Starterlist!G$18)&gt;0,'AI 2'!J7:J7,"")</f>
        <v/>
      </c>
      <c r="I7" s="263" t="str">
        <f>IF(COUNTA(Starterlist!G$17)&gt;0,('AI 2'!C7)&amp;CHAR(10)&amp;('AI 2'!D7)&amp;CHAR(10)&amp;('AI 2'!E7)&amp;CHAR(10)&amp;('AI 2'!F7)&amp;CHAR(10)&amp;('AI 2'!G7)&amp;CHAR(10)&amp;('AI 1'!H7),"")</f>
        <v/>
      </c>
      <c r="J7" s="185" t="str">
        <f>IF(COUNTA(Starterlist!G$19)&gt;0,'AI 3'!J7:J7,"")</f>
        <v/>
      </c>
      <c r="K7" s="263" t="str">
        <f>IF(COUNTA(Starterlist!G$17)&gt;0,('AI 3'!C7)&amp;CHAR(10)&amp;('AI 3'!D7)&amp;CHAR(10)&amp;('AI 3'!E7)&amp;CHAR(10)&amp;('AI 3'!F7)&amp;CHAR(10)&amp;('AI 3'!G7)&amp;CHAR(10)&amp;('AI 3'!H7),"")</f>
        <v/>
      </c>
      <c r="L7" s="152" t="str">
        <f>IF(COUNTA(Starterlist!G$20)&gt;0,'DIF 1'!Y8:Y8,"")</f>
        <v/>
      </c>
      <c r="M7" s="150" t="str">
        <f>IF(COUNTA(Starterlist!G$21)&gt;0,'DIF 2'!Y8:Y8,"")</f>
        <v/>
      </c>
      <c r="N7" s="151" t="str">
        <f>IF(COUNTA(Starterlist!G$22)&gt;0,'DIF 3'!Y8:Y8,"")</f>
        <v/>
      </c>
      <c r="O7" s="95">
        <f t="shared" si="0"/>
        <v>0</v>
      </c>
      <c r="P7" s="96">
        <f t="shared" si="1"/>
        <v>0</v>
      </c>
      <c r="Q7" s="93">
        <f t="shared" si="2"/>
        <v>0</v>
      </c>
      <c r="R7" s="92">
        <f t="shared" si="3"/>
        <v>0</v>
      </c>
      <c r="S7" s="94" t="str">
        <f t="shared" ref="S7:S15" si="4">IF(R7=0,"",RANK(R7,R$6:R$15))</f>
        <v/>
      </c>
      <c r="U7" s="41"/>
      <c r="V7" s="24"/>
      <c r="W7" s="24"/>
      <c r="X7" s="24"/>
      <c r="Y7" s="24"/>
      <c r="Z7" s="24"/>
      <c r="AA7" s="24"/>
      <c r="AB7" s="24"/>
    </row>
    <row r="8" spans="1:28" ht="46.5" customHeight="1" thickBot="1" x14ac:dyDescent="0.3">
      <c r="A8" s="49">
        <v>3</v>
      </c>
      <c r="B8" s="123" t="str">
        <f>(Starterlist!B15)&amp;CHAR(10)&amp;(Starterlist!C15)&amp;CHAR(10)&amp;(Starterlist!D15)</f>
        <v xml:space="preserve">
</v>
      </c>
      <c r="C8" s="149" t="str">
        <f>IF(COUNTA(Starterlist!G$14)&gt;0,'EX 1'!H8,"")</f>
        <v/>
      </c>
      <c r="D8" s="150" t="str">
        <f>IF(COUNTA(Starterlist!G$15)&gt;0,'EX 2'!H8,"")</f>
        <v/>
      </c>
      <c r="E8" s="151" t="str">
        <f>IF(COUNTA(Starterlist!G$16)&gt;0,'EX 3'!H8,"")</f>
        <v/>
      </c>
      <c r="F8" s="183" t="str">
        <f>IF(COUNTA(Starterlist!G$17)&gt;0,'AI 1'!J8:J8,"")</f>
        <v/>
      </c>
      <c r="G8" s="263" t="str">
        <f>IF(COUNTA(Starterlist!G$17)&gt;0,('AI 1'!C8)&amp;CHAR(10)&amp;('AI 1'!D8)&amp;CHAR(10)&amp;('AI 1'!E8)&amp;CHAR(10)&amp;('AI 1'!F8)&amp;CHAR(10)&amp;('AI 1'!G8)&amp;CHAR(10)&amp;('AI 1'!H8),"")</f>
        <v/>
      </c>
      <c r="H8" s="185" t="str">
        <f>IF(COUNTA(Starterlist!G$18)&gt;0,'AI 2'!J8:J8,"")</f>
        <v/>
      </c>
      <c r="I8" s="263" t="str">
        <f>IF(COUNTA(Starterlist!G$17)&gt;0,('AI 2'!C8)&amp;CHAR(10)&amp;('AI 2'!D8)&amp;CHAR(10)&amp;('AI 2'!E8)&amp;CHAR(10)&amp;('AI 2'!F8)&amp;CHAR(10)&amp;('AI 2'!G8)&amp;CHAR(10)&amp;('AI 1'!H8),"")</f>
        <v/>
      </c>
      <c r="J8" s="185" t="str">
        <f>IF(COUNTA(Starterlist!G$19)&gt;0,'AI 3'!J8:J8,"")</f>
        <v/>
      </c>
      <c r="K8" s="263" t="str">
        <f>IF(COUNTA(Starterlist!G$17)&gt;0,('AI 3'!C8)&amp;CHAR(10)&amp;('AI 3'!D8)&amp;CHAR(10)&amp;('AI 3'!E8)&amp;CHAR(10)&amp;('AI 3'!F8)&amp;CHAR(10)&amp;('AI 3'!G8)&amp;CHAR(10)&amp;('AI 3'!H8),"")</f>
        <v/>
      </c>
      <c r="L8" s="152" t="str">
        <f>IF(COUNTA(Starterlist!G$20)&gt;0,'DIF 1'!Y10:Y10,"")</f>
        <v/>
      </c>
      <c r="M8" s="150" t="str">
        <f>IF(COUNTA(Starterlist!G$21)&gt;0,'DIF 2'!Y10:Y10,"")</f>
        <v/>
      </c>
      <c r="N8" s="151" t="str">
        <f>IF(COUNTA(Starterlist!G$22)&gt;0,'DIF 3'!Y10:Y10,"")</f>
        <v/>
      </c>
      <c r="O8" s="95">
        <f t="shared" si="0"/>
        <v>0</v>
      </c>
      <c r="P8" s="96">
        <f t="shared" si="1"/>
        <v>0</v>
      </c>
      <c r="Q8" s="93">
        <f t="shared" si="2"/>
        <v>0</v>
      </c>
      <c r="R8" s="92">
        <f t="shared" si="3"/>
        <v>0</v>
      </c>
      <c r="S8" s="94" t="str">
        <f t="shared" si="4"/>
        <v/>
      </c>
      <c r="U8" s="40"/>
      <c r="V8" s="24"/>
      <c r="W8" s="24"/>
      <c r="X8" s="24"/>
      <c r="Y8" s="24"/>
      <c r="Z8" s="24"/>
      <c r="AA8" s="24"/>
      <c r="AB8" s="24"/>
    </row>
    <row r="9" spans="1:28" ht="46.5" customHeight="1" thickBot="1" x14ac:dyDescent="0.3">
      <c r="A9" s="109">
        <v>4</v>
      </c>
      <c r="B9" s="124" t="str">
        <f>(Starterlist!B16)&amp;CHAR(10)&amp;(Starterlist!C16)&amp;CHAR(10)&amp;(Starterlist!D16)</f>
        <v xml:space="preserve">
</v>
      </c>
      <c r="C9" s="153" t="str">
        <f>IF(COUNTA(Starterlist!G$14)&gt;0,'EX 1'!H9,"")</f>
        <v/>
      </c>
      <c r="D9" s="154" t="str">
        <f>IF(COUNTA(Starterlist!G$15)&gt;0,'EX 2'!H9,"")</f>
        <v/>
      </c>
      <c r="E9" s="155" t="str">
        <f>IF(COUNTA(Starterlist!G$16)&gt;0,'EX 3'!H9,"")</f>
        <v/>
      </c>
      <c r="F9" s="184" t="str">
        <f>IF(COUNTA(Starterlist!G$17)&gt;0,'AI 1'!J9:J9,"")</f>
        <v/>
      </c>
      <c r="G9" s="263" t="str">
        <f>IF(COUNTA(Starterlist!G$17)&gt;0,('AI 1'!C9)&amp;CHAR(10)&amp;('AI 1'!D9)&amp;CHAR(10)&amp;('AI 1'!E9)&amp;CHAR(10)&amp;('AI 1'!F9)&amp;CHAR(10)&amp;('AI 1'!G9)&amp;CHAR(10)&amp;('AI 1'!H9),"")</f>
        <v/>
      </c>
      <c r="H9" s="186" t="str">
        <f>IF(COUNTA(Starterlist!G$18)&gt;0,'AI 2'!J9:J9,"")</f>
        <v/>
      </c>
      <c r="I9" s="263" t="str">
        <f>IF(COUNTA(Starterlist!G$17)&gt;0,('AI 2'!C9)&amp;CHAR(10)&amp;('AI 2'!D9)&amp;CHAR(10)&amp;('AI 2'!E9)&amp;CHAR(10)&amp;('AI 2'!F9)&amp;CHAR(10)&amp;('AI 2'!G9)&amp;CHAR(10)&amp;('AI 1'!H9),"")</f>
        <v/>
      </c>
      <c r="J9" s="186" t="str">
        <f>IF(COUNTA(Starterlist!G$19)&gt;0,'AI 3'!J9:J9,"")</f>
        <v/>
      </c>
      <c r="K9" s="263" t="str">
        <f>IF(COUNTA(Starterlist!G$17)&gt;0,('AI 3'!C9)&amp;CHAR(10)&amp;('AI 3'!D9)&amp;CHAR(10)&amp;('AI 3'!E9)&amp;CHAR(10)&amp;('AI 3'!F9)&amp;CHAR(10)&amp;('AI 3'!G9)&amp;CHAR(10)&amp;('AI 3'!H9),"")</f>
        <v/>
      </c>
      <c r="L9" s="156" t="str">
        <f>IF(COUNTA(Starterlist!G$20)&gt;0,'DIF 1'!Y12:Y12,"")</f>
        <v/>
      </c>
      <c r="M9" s="154" t="str">
        <f>IF(COUNTA(Starterlist!G$21)&gt;0,'DIF 2'!Y12:Y12,"")</f>
        <v/>
      </c>
      <c r="N9" s="155" t="str">
        <f>IF(COUNTA(Starterlist!G$22)&gt;0,'DIF 3'!Y12:Y12,"")</f>
        <v/>
      </c>
      <c r="O9" s="110">
        <f t="shared" si="0"/>
        <v>0</v>
      </c>
      <c r="P9" s="111">
        <f t="shared" si="1"/>
        <v>0</v>
      </c>
      <c r="Q9" s="112">
        <f t="shared" si="2"/>
        <v>0</v>
      </c>
      <c r="R9" s="113">
        <f t="shared" si="3"/>
        <v>0</v>
      </c>
      <c r="S9" s="114" t="str">
        <f t="shared" si="4"/>
        <v/>
      </c>
      <c r="U9" s="40"/>
      <c r="V9" s="24"/>
      <c r="W9" s="24"/>
      <c r="X9" s="24"/>
      <c r="Y9" s="24"/>
      <c r="Z9" s="24"/>
      <c r="AA9" s="24"/>
      <c r="AB9" s="24"/>
    </row>
    <row r="10" spans="1:28" ht="46.5" customHeight="1" thickBot="1" x14ac:dyDescent="0.3">
      <c r="A10" s="181">
        <v>5</v>
      </c>
      <c r="B10" s="182" t="str">
        <f>(Starterlist!B17)&amp;CHAR(10)&amp;(Starterlist!C17)&amp;CHAR(10)&amp;(Starterlist!D17)</f>
        <v xml:space="preserve">
</v>
      </c>
      <c r="C10" s="238" t="str">
        <f>IF(COUNTA(Starterlist!G$14)&gt;0,'EX 1'!H10,"")</f>
        <v/>
      </c>
      <c r="D10" s="239" t="str">
        <f>IF(COUNTA(Starterlist!G$15)&gt;0,'EX 2'!H10,"")</f>
        <v/>
      </c>
      <c r="E10" s="240" t="str">
        <f>IF(COUNTA(Starterlist!G$16)&gt;0,'EX 3'!H10,"")</f>
        <v/>
      </c>
      <c r="F10" s="241" t="str">
        <f>IF(COUNTA(Starterlist!G$17)&gt;0,'AI 1'!J10:J10,"")</f>
        <v/>
      </c>
      <c r="G10" s="263" t="str">
        <f>IF(COUNTA(Starterlist!G$17)&gt;0,('AI 1'!C10)&amp;CHAR(10)&amp;('AI 1'!D10)&amp;CHAR(10)&amp;('AI 1'!E10)&amp;CHAR(10)&amp;('AI 1'!F10)&amp;CHAR(10)&amp;('AI 1'!G10)&amp;CHAR(10)&amp;('AI 1'!H10),"")</f>
        <v/>
      </c>
      <c r="H10" s="242" t="str">
        <f>IF(COUNTA(Starterlist!G$18)&gt;0,'AI 2'!J10:J10,"")</f>
        <v/>
      </c>
      <c r="I10" s="263" t="str">
        <f>IF(COUNTA(Starterlist!G$17)&gt;0,('AI 2'!C10)&amp;CHAR(10)&amp;('AI 2'!D10)&amp;CHAR(10)&amp;('AI 2'!E10)&amp;CHAR(10)&amp;('AI 2'!F10)&amp;CHAR(10)&amp;('AI 2'!G10)&amp;CHAR(10)&amp;('AI 1'!H10),"")</f>
        <v/>
      </c>
      <c r="J10" s="242" t="str">
        <f>IF(COUNTA(Starterlist!G$19)&gt;0,'AI 3'!J10:J10,"")</f>
        <v/>
      </c>
      <c r="K10" s="263" t="str">
        <f>IF(COUNTA(Starterlist!G$17)&gt;0,('AI 3'!C10)&amp;CHAR(10)&amp;('AI 3'!D10)&amp;CHAR(10)&amp;('AI 3'!E10)&amp;CHAR(10)&amp;('AI 3'!F10)&amp;CHAR(10)&amp;('AI 3'!G10)&amp;CHAR(10)&amp;('AI 3'!H10),"")</f>
        <v/>
      </c>
      <c r="L10" s="156" t="str">
        <f>IF(COUNTA(Starterlist!G$20)&gt;0,'DIF 1'!Y14:Y14,"")</f>
        <v/>
      </c>
      <c r="M10" s="154" t="str">
        <f>IF(COUNTA(Starterlist!G$21)&gt;0,'DIF 2'!Y14:Y14,"")</f>
        <v/>
      </c>
      <c r="N10" s="155" t="str">
        <f>IF(COUNTA(Starterlist!G$22)&gt;0,'DIF 3'!Y14:Y14,"")</f>
        <v/>
      </c>
      <c r="O10" s="110">
        <f t="shared" si="0"/>
        <v>0</v>
      </c>
      <c r="P10" s="111">
        <f t="shared" si="1"/>
        <v>0</v>
      </c>
      <c r="Q10" s="112">
        <f t="shared" si="2"/>
        <v>0</v>
      </c>
      <c r="R10" s="113">
        <f t="shared" si="3"/>
        <v>0</v>
      </c>
      <c r="S10" s="114" t="str">
        <f t="shared" si="4"/>
        <v/>
      </c>
      <c r="U10" s="41"/>
      <c r="V10" s="24"/>
      <c r="W10" s="24"/>
      <c r="X10" s="24"/>
      <c r="Y10" s="24"/>
      <c r="Z10" s="24"/>
      <c r="AA10" s="24"/>
      <c r="AB10" s="24"/>
    </row>
    <row r="11" spans="1:28" ht="46.5" customHeight="1" thickBot="1" x14ac:dyDescent="0.3">
      <c r="A11" s="109">
        <v>6</v>
      </c>
      <c r="B11" s="124" t="str">
        <f>(Starterlist!B18)&amp;CHAR(10)&amp;(Starterlist!C18)&amp;CHAR(10)&amp;(Starterlist!D18)</f>
        <v xml:space="preserve">
</v>
      </c>
      <c r="C11" s="153" t="str">
        <f>IF(COUNTA(Starterlist!G$14)&gt;0,'EX 1'!H11,"")</f>
        <v/>
      </c>
      <c r="D11" s="154" t="str">
        <f>IF(COUNTA(Starterlist!G$15)&gt;0,'EX 2'!H11,"")</f>
        <v/>
      </c>
      <c r="E11" s="155" t="str">
        <f>IF(COUNTA(Starterlist!G$16)&gt;0,'EX 3'!H11,"")</f>
        <v/>
      </c>
      <c r="F11" s="184" t="str">
        <f>IF(COUNTA(Starterlist!G$17)&gt;0,'AI 1'!J11:J11,"")</f>
        <v/>
      </c>
      <c r="G11" s="263" t="str">
        <f>IF(COUNTA(Starterlist!G$17)&gt;0,('AI 1'!C11)&amp;CHAR(10)&amp;('AI 1'!D11)&amp;CHAR(10)&amp;('AI 1'!E11)&amp;CHAR(10)&amp;('AI 1'!F11)&amp;CHAR(10)&amp;('AI 1'!G11)&amp;CHAR(10)&amp;('AI 1'!H11),"")</f>
        <v/>
      </c>
      <c r="H11" s="186" t="str">
        <f>IF(COUNTA(Starterlist!G$18)&gt;0,'AI 2'!J11:J11,"")</f>
        <v/>
      </c>
      <c r="I11" s="263" t="str">
        <f>IF(COUNTA(Starterlist!G$17)&gt;0,('AI 2'!C11)&amp;CHAR(10)&amp;('AI 2'!D11)&amp;CHAR(10)&amp;('AI 2'!E11)&amp;CHAR(10)&amp;('AI 2'!F11)&amp;CHAR(10)&amp;('AI 2'!G11)&amp;CHAR(10)&amp;('AI 1'!H11),"")</f>
        <v/>
      </c>
      <c r="J11" s="186" t="str">
        <f>IF(COUNTA(Starterlist!G$19)&gt;0,'AI 3'!J11:J11,"")</f>
        <v/>
      </c>
      <c r="K11" s="263" t="str">
        <f>IF(COUNTA(Starterlist!G$17)&gt;0,('AI 3'!C11)&amp;CHAR(10)&amp;('AI 3'!D11)&amp;CHAR(10)&amp;('AI 3'!E11)&amp;CHAR(10)&amp;('AI 3'!F11)&amp;CHAR(10)&amp;('AI 3'!G11)&amp;CHAR(10)&amp;('AI 3'!H11),"")</f>
        <v/>
      </c>
      <c r="L11" s="156" t="str">
        <f>IF(COUNTA(Starterlist!G$20)&gt;0,'DIF 1'!Y16:Y16,"")</f>
        <v/>
      </c>
      <c r="M11" s="154" t="str">
        <f>IF(COUNTA(Starterlist!G$21)&gt;0,'DIF 2'!Y16:Y16,"")</f>
        <v/>
      </c>
      <c r="N11" s="155" t="str">
        <f>IF(COUNTA(Starterlist!G$22)&gt;0,'DIF 3'!Y16:Y16,"")</f>
        <v/>
      </c>
      <c r="O11" s="110">
        <f t="shared" si="0"/>
        <v>0</v>
      </c>
      <c r="P11" s="111">
        <f t="shared" si="1"/>
        <v>0</v>
      </c>
      <c r="Q11" s="112">
        <f t="shared" si="2"/>
        <v>0</v>
      </c>
      <c r="R11" s="113">
        <f t="shared" si="3"/>
        <v>0</v>
      </c>
      <c r="S11" s="94" t="str">
        <f t="shared" si="4"/>
        <v/>
      </c>
      <c r="U11" s="40"/>
      <c r="V11" s="24"/>
      <c r="W11" s="24"/>
      <c r="X11" s="24"/>
      <c r="Y11" s="24"/>
      <c r="Z11" s="24"/>
      <c r="AA11" s="24"/>
      <c r="AB11" s="24"/>
    </row>
    <row r="12" spans="1:28" ht="46.5" customHeight="1" thickBot="1" x14ac:dyDescent="0.3">
      <c r="A12" s="109">
        <v>7</v>
      </c>
      <c r="B12" s="124" t="str">
        <f>(Starterlist!B19)&amp;CHAR(10)&amp;(Starterlist!C19)&amp;CHAR(10)&amp;(Starterlist!D19)</f>
        <v xml:space="preserve">
</v>
      </c>
      <c r="C12" s="153" t="str">
        <f>IF(COUNTA(Starterlist!G$14)&gt;0,'EX 1'!H12,"")</f>
        <v/>
      </c>
      <c r="D12" s="154" t="str">
        <f>IF(COUNTA(Starterlist!G$15)&gt;0,'EX 2'!H12,"")</f>
        <v/>
      </c>
      <c r="E12" s="155" t="str">
        <f>IF(COUNTA(Starterlist!G$16)&gt;0,'EX 3'!H12,"")</f>
        <v/>
      </c>
      <c r="F12" s="184" t="str">
        <f>IF(COUNTA(Starterlist!G$17)&gt;0,'AI 1'!J12:J12,"")</f>
        <v/>
      </c>
      <c r="G12" s="263" t="str">
        <f>IF(COUNTA(Starterlist!G$17)&gt;0,('AI 1'!C12)&amp;CHAR(10)&amp;('AI 1'!D12)&amp;CHAR(10)&amp;('AI 1'!E12)&amp;CHAR(10)&amp;('AI 1'!F12)&amp;CHAR(10)&amp;('AI 1'!G12)&amp;CHAR(10)&amp;('AI 1'!H12),"")</f>
        <v/>
      </c>
      <c r="H12" s="186" t="str">
        <f>IF(COUNTA(Starterlist!G$18)&gt;0,'AI 2'!J12:J12,"")</f>
        <v/>
      </c>
      <c r="I12" s="263" t="str">
        <f>IF(COUNTA(Starterlist!G$17)&gt;0,('AI 2'!C12)&amp;CHAR(10)&amp;('AI 2'!D12)&amp;CHAR(10)&amp;('AI 2'!E12)&amp;CHAR(10)&amp;('AI 2'!F12)&amp;CHAR(10)&amp;('AI 2'!G12)&amp;CHAR(10)&amp;('AI 1'!H12),"")</f>
        <v/>
      </c>
      <c r="J12" s="186" t="str">
        <f>IF(COUNTA(Starterlist!G$19)&gt;0,'AI 3'!J12:J12,"")</f>
        <v/>
      </c>
      <c r="K12" s="263" t="str">
        <f>IF(COUNTA(Starterlist!G$17)&gt;0,('AI 3'!C12)&amp;CHAR(10)&amp;('AI 3'!D12)&amp;CHAR(10)&amp;('AI 3'!E12)&amp;CHAR(10)&amp;('AI 3'!F12)&amp;CHAR(10)&amp;('AI 3'!G12)&amp;CHAR(10)&amp;('AI 3'!H12),"")</f>
        <v/>
      </c>
      <c r="L12" s="156" t="str">
        <f>IF(COUNTA(Starterlist!G$20)&gt;0,'DIF 1'!Y18:Y18,"")</f>
        <v/>
      </c>
      <c r="M12" s="154" t="str">
        <f>IF(COUNTA(Starterlist!G$21)&gt;0,'DIF 2'!Y18:Y18,"")</f>
        <v/>
      </c>
      <c r="N12" s="155" t="str">
        <f>IF(COUNTA(Starterlist!G$22)&gt;0,'DIF 3'!Y18:Y18,"")</f>
        <v/>
      </c>
      <c r="O12" s="110">
        <f t="shared" si="0"/>
        <v>0</v>
      </c>
      <c r="P12" s="111">
        <f t="shared" si="1"/>
        <v>0</v>
      </c>
      <c r="Q12" s="112">
        <f t="shared" si="2"/>
        <v>0</v>
      </c>
      <c r="R12" s="113">
        <f t="shared" si="3"/>
        <v>0</v>
      </c>
      <c r="S12" s="114" t="str">
        <f t="shared" si="4"/>
        <v/>
      </c>
      <c r="U12" s="40"/>
      <c r="V12" s="24"/>
      <c r="W12" s="24"/>
      <c r="X12" s="24"/>
      <c r="Y12" s="24"/>
      <c r="Z12" s="24"/>
      <c r="AA12" s="24"/>
      <c r="AB12" s="24"/>
    </row>
    <row r="13" spans="1:28" ht="46.5" customHeight="1" thickBot="1" x14ac:dyDescent="0.3">
      <c r="A13" s="109">
        <v>8</v>
      </c>
      <c r="B13" s="124" t="str">
        <f>(Starterlist!B20)&amp;CHAR(10)&amp;(Starterlist!C20)&amp;CHAR(10)&amp;(Starterlist!D20)</f>
        <v xml:space="preserve">
</v>
      </c>
      <c r="C13" s="153" t="str">
        <f>IF(COUNTA(Starterlist!G$14)&gt;0,'EX 1'!H13,"")</f>
        <v/>
      </c>
      <c r="D13" s="154" t="str">
        <f>IF(COUNTA(Starterlist!G$15)&gt;0,'EX 2'!H13,"")</f>
        <v/>
      </c>
      <c r="E13" s="155" t="str">
        <f>IF(COUNTA(Starterlist!G$16)&gt;0,'EX 3'!H13,"")</f>
        <v/>
      </c>
      <c r="F13" s="184" t="str">
        <f>IF(COUNTA(Starterlist!G$17)&gt;0,'AI 1'!J13:J13,"")</f>
        <v/>
      </c>
      <c r="G13" s="263" t="str">
        <f>IF(COUNTA(Starterlist!G$17)&gt;0,('AI 1'!C13)&amp;CHAR(10)&amp;('AI 1'!D13)&amp;CHAR(10)&amp;('AI 1'!E13)&amp;CHAR(10)&amp;('AI 1'!F13)&amp;CHAR(10)&amp;('AI 1'!G13)&amp;CHAR(10)&amp;('AI 1'!H13),"")</f>
        <v/>
      </c>
      <c r="H13" s="186" t="str">
        <f>IF(COUNTA(Starterlist!G$18)&gt;0,'AI 2'!J13:J13,"")</f>
        <v/>
      </c>
      <c r="I13" s="263" t="str">
        <f>IF(COUNTA(Starterlist!G$17)&gt;0,('AI 2'!C13)&amp;CHAR(10)&amp;('AI 2'!D13)&amp;CHAR(10)&amp;('AI 2'!E13)&amp;CHAR(10)&amp;('AI 2'!F13)&amp;CHAR(10)&amp;('AI 2'!G13)&amp;CHAR(10)&amp;('AI 1'!H13),"")</f>
        <v/>
      </c>
      <c r="J13" s="186" t="str">
        <f>IF(COUNTA(Starterlist!G$19)&gt;0,'AI 3'!J13:J13,"")</f>
        <v/>
      </c>
      <c r="K13" s="263" t="str">
        <f>IF(COUNTA(Starterlist!G$17)&gt;0,('AI 3'!C13)&amp;CHAR(10)&amp;('AI 3'!D13)&amp;CHAR(10)&amp;('AI 3'!E13)&amp;CHAR(10)&amp;('AI 3'!F13)&amp;CHAR(10)&amp;('AI 3'!G13)&amp;CHAR(10)&amp;('AI 3'!H13),"")</f>
        <v/>
      </c>
      <c r="L13" s="156" t="str">
        <f>IF(COUNTA(Starterlist!G$20)&gt;0,'DIF 1'!Y20:Y20,"")</f>
        <v/>
      </c>
      <c r="M13" s="154" t="str">
        <f>IF(COUNTA(Starterlist!G$21)&gt;0,'DIF 2'!Y20:Y20,"")</f>
        <v/>
      </c>
      <c r="N13" s="155" t="str">
        <f>IF(COUNTA(Starterlist!G$22)&gt;0,'DIF 3'!Y20:Y20,"")</f>
        <v/>
      </c>
      <c r="O13" s="110">
        <f t="shared" si="0"/>
        <v>0</v>
      </c>
      <c r="P13" s="111">
        <f t="shared" si="1"/>
        <v>0</v>
      </c>
      <c r="Q13" s="112">
        <f t="shared" si="2"/>
        <v>0</v>
      </c>
      <c r="R13" s="113">
        <f t="shared" si="3"/>
        <v>0</v>
      </c>
      <c r="S13" s="114" t="str">
        <f t="shared" si="4"/>
        <v/>
      </c>
      <c r="U13" s="41"/>
      <c r="V13" s="24"/>
      <c r="W13" s="24"/>
      <c r="X13" s="24"/>
      <c r="Y13" s="24"/>
      <c r="Z13" s="24"/>
      <c r="AA13" s="24"/>
      <c r="AB13" s="24"/>
    </row>
    <row r="14" spans="1:28" ht="46.5" hidden="1" customHeight="1" thickBot="1" x14ac:dyDescent="0.3">
      <c r="A14" s="109">
        <v>9</v>
      </c>
      <c r="B14" s="124" t="str">
        <f>(Starterlist!B21)&amp;CHAR(10)&amp;(Starterlist!C21)&amp;CHAR(10)&amp;(Starterlist!D21)</f>
        <v xml:space="preserve">
</v>
      </c>
      <c r="C14" s="153" t="str">
        <f>IF(COUNTA(Starterlist!G$14)&gt;0,'EX 1'!H14,"")</f>
        <v/>
      </c>
      <c r="D14" s="154" t="str">
        <f>IF(COUNTA(Starterlist!G$15)&gt;0,'EX 2'!H14,"")</f>
        <v/>
      </c>
      <c r="E14" s="155" t="str">
        <f>IF(COUNTA(Starterlist!G$16)&gt;0,'EX 3'!H14,"")</f>
        <v/>
      </c>
      <c r="F14" s="184" t="str">
        <f>IF(COUNTA(Starterlist!G$17)&gt;0,'AI 1'!J14:J14,"")</f>
        <v/>
      </c>
      <c r="G14" s="263" t="str">
        <f>IF(COUNTA(Starterlist!G$17)&gt;0,('AI 1'!C14)&amp;CHAR(10)&amp;('AI 1'!D14)&amp;CHAR(10)&amp;('AI 1'!E14)&amp;CHAR(10)&amp;('AI 1'!F14)&amp;CHAR(10)&amp;('AI 1'!G14)&amp;CHAR(10)&amp;('AI 1'!H14),"")</f>
        <v/>
      </c>
      <c r="H14" s="186" t="str">
        <f>IF(COUNTA(Starterlist!G$18)&gt;0,'AI 2'!J14:J14,"")</f>
        <v/>
      </c>
      <c r="I14" s="263" t="str">
        <f>IF(COUNTA(Starterlist!G$17)&gt;0,('AI 2'!C14)&amp;CHAR(10)&amp;('AI 2'!D14)&amp;CHAR(10)&amp;('AI 2'!E14)&amp;CHAR(10)&amp;('AI 2'!F14)&amp;CHAR(10)&amp;('AI 2'!G14)&amp;CHAR(10)&amp;('AI 1'!H14),"")</f>
        <v/>
      </c>
      <c r="J14" s="186" t="str">
        <f>IF(COUNTA(Starterlist!G$19)&gt;0,'AI 3'!J14:J14,"")</f>
        <v/>
      </c>
      <c r="K14" s="263" t="str">
        <f>IF(COUNTA(Starterlist!G$17)&gt;0,('AI 3'!C14)&amp;CHAR(10)&amp;('AI 3'!D14)&amp;CHAR(10)&amp;('AI 3'!E14)&amp;CHAR(10)&amp;('AI 3'!F14)&amp;CHAR(10)&amp;('AI 3'!G14)&amp;CHAR(10)&amp;('AI 3'!H14),"")</f>
        <v/>
      </c>
      <c r="L14" s="156" t="str">
        <f>IF(COUNTA(Starterlist!G$20)&gt;0,'DIF 1'!Y22:Y22,"")</f>
        <v/>
      </c>
      <c r="M14" s="154" t="str">
        <f>IF(COUNTA(Starterlist!G$21)&gt;0,'DIF 2'!Y22:Y22,"")</f>
        <v/>
      </c>
      <c r="N14" s="155" t="str">
        <f>IF(COUNTA(Starterlist!G$22)&gt;0,'DIF 3'!Y22:Y22,"")</f>
        <v/>
      </c>
      <c r="O14" s="110">
        <f t="shared" si="0"/>
        <v>0</v>
      </c>
      <c r="P14" s="111">
        <f t="shared" si="1"/>
        <v>0</v>
      </c>
      <c r="Q14" s="112">
        <f>SUM(L14:N14)</f>
        <v>0</v>
      </c>
      <c r="R14" s="113">
        <f>SUM(O14:Q14)</f>
        <v>0</v>
      </c>
      <c r="S14" s="94" t="str">
        <f t="shared" si="4"/>
        <v/>
      </c>
      <c r="U14" s="40"/>
      <c r="V14" s="24"/>
      <c r="W14" s="24"/>
      <c r="X14" s="24"/>
      <c r="Y14" s="24"/>
      <c r="Z14" s="24"/>
      <c r="AA14" s="24"/>
      <c r="AB14" s="24"/>
    </row>
    <row r="15" spans="1:28" ht="46.5" hidden="1" customHeight="1" thickBot="1" x14ac:dyDescent="0.3">
      <c r="A15" s="109">
        <v>10</v>
      </c>
      <c r="B15" s="124" t="str">
        <f>(Starterlist!B22)&amp;CHAR(10)&amp;(Starterlist!C22)&amp;CHAR(10)&amp;(Starterlist!D22)</f>
        <v xml:space="preserve">
</v>
      </c>
      <c r="C15" s="153" t="str">
        <f>IF(COUNTA(Starterlist!G$14)&gt;0,'EX 1'!H15,"")</f>
        <v/>
      </c>
      <c r="D15" s="154" t="str">
        <f>IF(COUNTA(Starterlist!G$15)&gt;0,'EX 2'!H15,"")</f>
        <v/>
      </c>
      <c r="E15" s="155" t="str">
        <f>IF(COUNTA(Starterlist!G$16)&gt;0,'EX 3'!H15,"")</f>
        <v/>
      </c>
      <c r="F15" s="184" t="str">
        <f>IF(COUNTA(Starterlist!G$17)&gt;0,'AI 1'!J15:J15,"")</f>
        <v/>
      </c>
      <c r="G15" s="264" t="str">
        <f>IF(COUNTA(Starterlist!G$17)&gt;0,('AI 1'!C15)&amp;CHAR(10)&amp;('AI 1'!D15)&amp;CHAR(10)&amp;('AI 1'!E15)&amp;CHAR(10)&amp;('AI 1'!F15)&amp;CHAR(10)&amp;('AI 1'!G15)&amp;CHAR(10)&amp;('AI 1'!H15),"")</f>
        <v/>
      </c>
      <c r="H15" s="186" t="str">
        <f>IF(COUNTA(Starterlist!G$18)&gt;0,'AI 2'!J15:J15,"")</f>
        <v/>
      </c>
      <c r="I15" s="264" t="str">
        <f>IF(COUNTA(Starterlist!G$17)&gt;0,('AI 2'!C15)&amp;CHAR(10)&amp;('AI 2'!D15)&amp;CHAR(10)&amp;('AI 2'!E15)&amp;CHAR(10)&amp;('AI 2'!F15)&amp;CHAR(10)&amp;('AI 2'!G15)&amp;CHAR(10)&amp;('AI 1'!H15),"")</f>
        <v/>
      </c>
      <c r="J15" s="186" t="str">
        <f>IF(COUNTA(Starterlist!G$19)&gt;0,'AI 3'!J15:J15,"")</f>
        <v/>
      </c>
      <c r="K15" s="264" t="str">
        <f>IF(COUNTA(Starterlist!G$17)&gt;0,('AI 3'!C15)&amp;CHAR(10)&amp;('AI 3'!D15)&amp;CHAR(10)&amp;('AI 3'!E15)&amp;CHAR(10)&amp;('AI 3'!F15)&amp;CHAR(10)&amp;('AI 3'!G15)&amp;CHAR(10)&amp;('AI 3'!H15),"")</f>
        <v/>
      </c>
      <c r="L15" s="156" t="str">
        <f>IF(COUNTA(Starterlist!G$20)&gt;0,'DIF 1'!Y24:Y24,"")</f>
        <v/>
      </c>
      <c r="M15" s="154" t="str">
        <f>IF(COUNTA(Starterlist!G$21)&gt;0,'DIF 2'!Y24:Y24,"")</f>
        <v/>
      </c>
      <c r="N15" s="155" t="str">
        <f>IF(COUNTA(Starterlist!G$22)&gt;0,'DIF 3'!Y24:Y24,"")</f>
        <v/>
      </c>
      <c r="O15" s="110">
        <f t="shared" si="0"/>
        <v>0</v>
      </c>
      <c r="P15" s="111">
        <f t="shared" si="1"/>
        <v>0</v>
      </c>
      <c r="Q15" s="112">
        <f>SUM(L15:N15)</f>
        <v>0</v>
      </c>
      <c r="R15" s="113">
        <f>SUM(O15:Q15)</f>
        <v>0</v>
      </c>
      <c r="S15" s="114" t="str">
        <f t="shared" si="4"/>
        <v/>
      </c>
    </row>
    <row r="16" spans="1:28" ht="14.25" hidden="1" customHeight="1" x14ac:dyDescent="0.25">
      <c r="A16" s="41"/>
      <c r="B16" s="24"/>
      <c r="C16" s="24"/>
      <c r="D16" s="24"/>
      <c r="E16" s="24"/>
      <c r="F16" s="24"/>
      <c r="G16" s="24"/>
      <c r="H16" s="24"/>
      <c r="I16" s="24"/>
      <c r="J16" s="24"/>
      <c r="K16" s="24"/>
      <c r="L16"/>
      <c r="M16"/>
      <c r="N16"/>
      <c r="O16"/>
    </row>
    <row r="17" spans="1:28" ht="14.25" customHeight="1" x14ac:dyDescent="0.25">
      <c r="A17" s="40"/>
      <c r="B17" s="24"/>
      <c r="C17" s="24"/>
      <c r="D17" s="24"/>
      <c r="E17" s="24"/>
      <c r="F17" s="24"/>
      <c r="G17" s="24"/>
      <c r="H17" s="24"/>
      <c r="I17" s="24"/>
      <c r="J17" s="24"/>
      <c r="K17" s="24"/>
      <c r="L17"/>
      <c r="M17"/>
      <c r="N17"/>
      <c r="O17"/>
    </row>
    <row r="18" spans="1:28" ht="14.25" customHeight="1" x14ac:dyDescent="0.25">
      <c r="A18" s="40"/>
      <c r="B18" s="24"/>
      <c r="C18" s="24"/>
      <c r="D18" s="24"/>
      <c r="E18" s="24"/>
      <c r="F18" s="24"/>
      <c r="G18" s="24"/>
      <c r="H18" s="24"/>
      <c r="I18" s="24"/>
      <c r="J18" s="24"/>
      <c r="K18" s="24"/>
      <c r="L18"/>
      <c r="M18"/>
      <c r="N18"/>
      <c r="O18"/>
    </row>
    <row r="19" spans="1:28" ht="14.25" customHeight="1" x14ac:dyDescent="0.25">
      <c r="A19" s="41"/>
      <c r="B19" s="24"/>
      <c r="C19" s="24"/>
      <c r="D19" s="24"/>
      <c r="E19" s="24"/>
      <c r="F19" s="24"/>
      <c r="G19" s="24"/>
      <c r="H19" s="24"/>
      <c r="I19" s="24"/>
      <c r="J19" s="24"/>
      <c r="K19" s="24"/>
      <c r="L19"/>
      <c r="M19"/>
      <c r="N19"/>
      <c r="O19"/>
    </row>
    <row r="20" spans="1:28" ht="14.25" customHeight="1" x14ac:dyDescent="0.25">
      <c r="A20" s="40"/>
      <c r="B20" s="24"/>
      <c r="C20" s="24"/>
      <c r="D20" s="24"/>
      <c r="E20" s="24"/>
      <c r="F20" s="24"/>
      <c r="G20" s="24"/>
      <c r="H20" s="24"/>
      <c r="I20" s="24"/>
      <c r="J20" s="24"/>
      <c r="K20" s="24"/>
      <c r="L20"/>
      <c r="M20"/>
      <c r="N20"/>
      <c r="O20"/>
    </row>
    <row r="21" spans="1:28" ht="14.25" customHeight="1" x14ac:dyDescent="0.25">
      <c r="A21" s="40"/>
      <c r="B21" s="24"/>
      <c r="C21" s="24"/>
      <c r="D21" s="24"/>
      <c r="E21" s="24"/>
      <c r="F21" s="24"/>
      <c r="G21" s="24"/>
      <c r="H21" s="24"/>
      <c r="I21" s="24"/>
      <c r="J21" s="24"/>
      <c r="K21" s="24"/>
      <c r="L21"/>
      <c r="M21"/>
      <c r="N21"/>
      <c r="O21"/>
    </row>
    <row r="22" spans="1:28" ht="14.25" customHeight="1" x14ac:dyDescent="0.25">
      <c r="A22" s="41"/>
      <c r="B22" s="24"/>
      <c r="C22" s="24"/>
      <c r="D22" s="24"/>
      <c r="E22" s="24"/>
      <c r="F22" s="24"/>
      <c r="G22" s="24"/>
      <c r="H22" s="24"/>
      <c r="I22" s="24"/>
      <c r="J22" s="24"/>
      <c r="K22" s="24"/>
      <c r="L22"/>
      <c r="M22"/>
      <c r="N22"/>
      <c r="O22"/>
    </row>
    <row r="23" spans="1:28" ht="16.5" customHeight="1" x14ac:dyDescent="0.25">
      <c r="U23" s="40"/>
      <c r="V23" s="24"/>
      <c r="W23" s="24"/>
      <c r="X23" s="24"/>
      <c r="Y23" s="24"/>
      <c r="Z23" s="24"/>
      <c r="AA23" s="24"/>
      <c r="AB23" s="24"/>
    </row>
    <row r="24" spans="1:28" ht="15.75" customHeight="1" x14ac:dyDescent="0.25">
      <c r="U24" s="40"/>
      <c r="V24" s="24"/>
      <c r="W24" s="24"/>
      <c r="X24" s="24"/>
      <c r="Y24" s="24"/>
      <c r="Z24" s="24"/>
      <c r="AA24" s="24"/>
      <c r="AB24" s="24"/>
    </row>
    <row r="25" spans="1:28" ht="15.75" customHeight="1" x14ac:dyDescent="0.25">
      <c r="U25" s="41"/>
      <c r="V25" s="24"/>
      <c r="W25" s="24"/>
      <c r="X25" s="24"/>
      <c r="Y25" s="24"/>
      <c r="Z25" s="24"/>
      <c r="AA25" s="24"/>
      <c r="AB25" s="24"/>
    </row>
    <row r="26" spans="1:28" ht="16.5" customHeight="1" x14ac:dyDescent="0.25">
      <c r="U26" s="40"/>
      <c r="V26" s="24"/>
      <c r="W26" s="24"/>
      <c r="X26" s="24"/>
      <c r="Y26" s="24"/>
      <c r="Z26" s="24"/>
      <c r="AA26" s="24"/>
      <c r="AB26" s="24"/>
    </row>
    <row r="27" spans="1:28" ht="15.75" customHeight="1" x14ac:dyDescent="0.25">
      <c r="U27" s="40"/>
      <c r="V27" s="24"/>
      <c r="W27" s="24"/>
      <c r="X27" s="24"/>
      <c r="Y27" s="24"/>
      <c r="Z27" s="24"/>
      <c r="AA27" s="24"/>
      <c r="AB27" s="24"/>
    </row>
    <row r="28" spans="1:28" ht="15.75" customHeight="1" x14ac:dyDescent="0.25">
      <c r="U28" s="41"/>
      <c r="V28" s="24"/>
      <c r="W28" s="24"/>
      <c r="X28" s="24"/>
      <c r="Y28" s="24"/>
      <c r="Z28" s="24"/>
      <c r="AA28" s="24"/>
      <c r="AB28" s="24"/>
    </row>
    <row r="29" spans="1:28" ht="16.5" customHeight="1" x14ac:dyDescent="0.25">
      <c r="U29" s="24"/>
      <c r="V29" s="24"/>
      <c r="W29" s="24"/>
      <c r="X29" s="24"/>
      <c r="Y29" s="24"/>
      <c r="Z29" s="24"/>
      <c r="AA29" s="24"/>
      <c r="AB29" s="24"/>
    </row>
    <row r="32" spans="1:28" ht="42" customHeight="1" x14ac:dyDescent="0.25"/>
  </sheetData>
  <sheetProtection password="D565" sheet="1" objects="1" scenarios="1"/>
  <mergeCells count="4">
    <mergeCell ref="A1:C1"/>
    <mergeCell ref="A2:C2"/>
    <mergeCell ref="F5:G5"/>
    <mergeCell ref="H5:I5"/>
  </mergeCells>
  <phoneticPr fontId="0" type="noConversion"/>
  <printOptions horizontalCentered="1" verticalCentered="1"/>
  <pageMargins left="0.19685039370078741" right="0.47244094488188981" top="0.5607843137254902" bottom="0.11862745098039215" header="0.31496062992125984" footer="0.31496062992125984"/>
  <pageSetup paperSize="9" scale="88" orientation="landscape" horizontalDpi="300" verticalDpi="300" r:id="rId1"/>
  <headerFooter alignWithMargins="0">
    <oddHeader>&amp;C&amp;18Results</oddHeader>
  </headerFooter>
  <drawing r:id="rId2"/>
  <webPublishItems count="3">
    <webPublishItem id="32157" divId="DM2009_Pairs_Final_32157" sourceType="sheet" destinationFile="C:\Privat\Dokumente\Frisbee\Events\2009\DM\DM2009-Results\web\DM2009_Pairs_Final2.htm"/>
    <webPublishItem id="29573" divId="Scoresheets_1.2_29573" sourceType="sheet" destinationFile="C:\Privat\Dokumente\Frisbee\Events\2009\DM\Scoresheets_1.mht"/>
    <webPublishItem id="20070" divId="DM2009_Pairs_Final_20070" sourceType="range" sourceRef="B1:T29" destinationFile="C:\Privat\Dokumente\Frisbee\Events\2009\DM\DM2009-Results\web\DM2009_Pairs_Final.htm"/>
  </webPublishItem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1">
    <tabColor indexed="43"/>
  </sheetPr>
  <dimension ref="A1:X15"/>
  <sheetViews>
    <sheetView showGridLines="0" showZeros="0" zoomScale="90" zoomScaleNormal="90" zoomScaleSheetLayoutView="85" zoomScalePageLayoutView="85" workbookViewId="0">
      <selection activeCell="M8" sqref="M8"/>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Coop</v>
      </c>
      <c r="E2" s="9" t="str">
        <f>Starterlist!C4</f>
        <v>Semifinals</v>
      </c>
      <c r="G2" s="9" t="str">
        <f>Starterlist!D4</f>
        <v>A</v>
      </c>
      <c r="H2" s="276">
        <f>Starterlist!G14</f>
        <v>0</v>
      </c>
      <c r="I2" s="276"/>
      <c r="J2" s="11"/>
      <c r="K2" s="13"/>
    </row>
    <row r="3" spans="1:24" ht="8.25" customHeight="1" thickBot="1" x14ac:dyDescent="0.3">
      <c r="B3" s="13"/>
      <c r="C3" s="8"/>
      <c r="D3" s="8"/>
      <c r="E3" s="11"/>
      <c r="F3" s="11"/>
      <c r="G3" s="11"/>
      <c r="H3" s="11"/>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37">
        <v>-0.1</v>
      </c>
      <c r="D5" s="37">
        <v>-0.2</v>
      </c>
      <c r="E5" s="37">
        <v>-0.3</v>
      </c>
      <c r="F5" s="38">
        <v>-0.5</v>
      </c>
      <c r="G5" s="39"/>
      <c r="H5" s="125" t="s">
        <v>269</v>
      </c>
      <c r="I5" s="39"/>
      <c r="J5" s="243"/>
      <c r="K5" s="13"/>
      <c r="L5" s="13"/>
      <c r="M5" s="13"/>
      <c r="N5" s="13"/>
      <c r="O5" s="13"/>
      <c r="P5" s="13"/>
      <c r="Q5" s="13"/>
      <c r="R5" s="13"/>
      <c r="S5" s="13"/>
      <c r="T5" s="13"/>
      <c r="U5" s="13"/>
      <c r="V5" s="13"/>
      <c r="W5" s="13"/>
      <c r="X5" s="13"/>
    </row>
    <row r="6" spans="1:24" ht="43.5" customHeight="1" thickBot="1" x14ac:dyDescent="0.3">
      <c r="A6" s="109">
        <v>1</v>
      </c>
      <c r="B6" s="124" t="str">
        <f>(Starterlist!B13)&amp;CHAR(10)&amp;(Starterlist!C13)&amp;CHAR(10)&amp;(Starterlist!D13)</f>
        <v xml:space="preserve">
</v>
      </c>
      <c r="C6" s="119"/>
      <c r="D6" s="119"/>
      <c r="E6" s="119"/>
      <c r="F6" s="120"/>
      <c r="G6" s="121">
        <f t="shared" ref="G6:G13" si="0">(0.1*C6)+(0.2*D6)+(0.3*E6)+(0.5*F6)</f>
        <v>0</v>
      </c>
      <c r="H6" s="117" t="str">
        <f t="shared" ref="H6:H13" si="1">IF(G6=0,"",10-G6)</f>
        <v/>
      </c>
      <c r="I6" s="118" t="str">
        <f>IF(H6="","",RANK(H6,H$5:H$15))</f>
        <v/>
      </c>
      <c r="J6" s="243"/>
      <c r="K6" s="13"/>
      <c r="L6" s="13"/>
      <c r="M6" s="13"/>
      <c r="N6" s="13"/>
      <c r="O6" s="13"/>
      <c r="P6" s="13"/>
      <c r="Q6" s="13"/>
      <c r="R6" s="13"/>
      <c r="S6" s="13"/>
      <c r="T6" s="13"/>
      <c r="U6" s="13"/>
      <c r="V6" s="13"/>
      <c r="W6" s="13"/>
      <c r="X6" s="13"/>
    </row>
    <row r="7" spans="1:24" ht="43.5" customHeight="1" thickBot="1" x14ac:dyDescent="0.3">
      <c r="A7" s="109">
        <v>2</v>
      </c>
      <c r="B7" s="124" t="str">
        <f>(Starterlist!B14)&amp;CHAR(10)&amp;(Starterlist!C14)&amp;CHAR(10)&amp;(Starterlist!D14)</f>
        <v xml:space="preserve">
</v>
      </c>
      <c r="C7" s="119"/>
      <c r="D7" s="119"/>
      <c r="E7" s="119"/>
      <c r="F7" s="120"/>
      <c r="G7" s="121">
        <f t="shared" si="0"/>
        <v>0</v>
      </c>
      <c r="H7" s="117" t="str">
        <f t="shared" si="1"/>
        <v/>
      </c>
      <c r="I7" s="118" t="str">
        <f t="shared" ref="I7:I15" si="2">IF(H7="","",RANK(H7,H$5:H$15))</f>
        <v/>
      </c>
      <c r="J7" s="243"/>
      <c r="K7" s="13"/>
      <c r="L7" s="13"/>
      <c r="M7" s="13"/>
      <c r="N7" s="13"/>
      <c r="O7" s="13"/>
      <c r="P7" s="13"/>
      <c r="Q7" s="13"/>
      <c r="R7" s="13"/>
      <c r="S7" s="13"/>
      <c r="T7" s="13"/>
      <c r="U7" s="13"/>
      <c r="V7" s="13"/>
      <c r="W7" s="13"/>
      <c r="X7" s="13"/>
    </row>
    <row r="8" spans="1:24" ht="43.5" customHeight="1" thickBot="1" x14ac:dyDescent="0.3">
      <c r="A8" s="109">
        <v>3</v>
      </c>
      <c r="B8" s="124" t="str">
        <f>(Starterlist!B15)&amp;CHAR(10)&amp;(Starterlist!C15)&amp;CHAR(10)&amp;(Starterlist!D15)</f>
        <v xml:space="preserve">
</v>
      </c>
      <c r="C8" s="119"/>
      <c r="D8" s="119"/>
      <c r="E8" s="119"/>
      <c r="F8" s="120"/>
      <c r="G8" s="121">
        <f t="shared" si="0"/>
        <v>0</v>
      </c>
      <c r="H8" s="117" t="str">
        <f t="shared" si="1"/>
        <v/>
      </c>
      <c r="I8" s="118" t="str">
        <f t="shared" si="2"/>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1"/>
        <v/>
      </c>
      <c r="I9" s="118" t="str">
        <f t="shared" si="2"/>
        <v/>
      </c>
      <c r="J9" s="243"/>
      <c r="K9" s="13"/>
      <c r="L9" s="13"/>
      <c r="M9" s="13"/>
      <c r="N9" s="13"/>
      <c r="O9" s="13"/>
      <c r="P9" s="13"/>
      <c r="Q9" s="13"/>
      <c r="R9" s="13"/>
      <c r="S9" s="13"/>
      <c r="T9" s="13"/>
      <c r="U9" s="13"/>
      <c r="V9" s="13"/>
      <c r="W9" s="13"/>
      <c r="X9" s="13"/>
    </row>
    <row r="10" spans="1:24" ht="43.5" customHeight="1" thickBot="1" x14ac:dyDescent="0.3">
      <c r="A10" s="181">
        <v>5</v>
      </c>
      <c r="B10" s="182" t="str">
        <f>(Starterlist!B17)&amp;CHAR(10)&amp;(Starterlist!C17)&amp;CHAR(10)&amp;(Starterlist!D17)</f>
        <v xml:space="preserve">
</v>
      </c>
      <c r="C10" s="119"/>
      <c r="D10" s="234"/>
      <c r="E10" s="234"/>
      <c r="F10" s="235"/>
      <c r="G10" s="236">
        <f t="shared" si="0"/>
        <v>0</v>
      </c>
      <c r="H10" s="237" t="str">
        <f t="shared" si="1"/>
        <v/>
      </c>
      <c r="I10" s="180" t="str">
        <f t="shared" si="2"/>
        <v/>
      </c>
      <c r="J10" s="243"/>
      <c r="K10" s="13"/>
      <c r="L10" s="13"/>
      <c r="M10" s="13"/>
      <c r="N10" s="13"/>
      <c r="O10" s="13"/>
      <c r="P10" s="13"/>
      <c r="Q10" s="13"/>
      <c r="R10" s="13"/>
      <c r="S10" s="13"/>
      <c r="T10" s="13"/>
      <c r="U10" s="13"/>
      <c r="V10" s="13"/>
      <c r="W10" s="13"/>
      <c r="X10" s="13"/>
    </row>
    <row r="11" spans="1:24" ht="43.5" customHeight="1" thickBot="1" x14ac:dyDescent="0.3">
      <c r="A11" s="109">
        <v>6</v>
      </c>
      <c r="B11" s="124" t="str">
        <f>(Starterlist!B18)&amp;CHAR(10)&amp;(Starterlist!C18)&amp;CHAR(10)&amp;(Starterlist!D18)</f>
        <v xml:space="preserve">
</v>
      </c>
      <c r="C11" s="119"/>
      <c r="D11" s="119"/>
      <c r="E11" s="119"/>
      <c r="F11" s="120"/>
      <c r="G11" s="121">
        <f t="shared" si="0"/>
        <v>0</v>
      </c>
      <c r="H11" s="117" t="str">
        <f t="shared" si="1"/>
        <v/>
      </c>
      <c r="I11" s="118" t="str">
        <f t="shared" si="2"/>
        <v/>
      </c>
      <c r="J11" s="243"/>
      <c r="K11" s="13"/>
      <c r="L11" s="13"/>
      <c r="M11" s="13"/>
      <c r="N11" s="13"/>
      <c r="O11" s="13"/>
      <c r="P11" s="13"/>
      <c r="Q11" s="13"/>
      <c r="R11" s="13"/>
      <c r="S11" s="13"/>
      <c r="T11" s="13"/>
      <c r="U11" s="13"/>
      <c r="V11" s="13"/>
      <c r="W11" s="13"/>
      <c r="X11" s="13"/>
    </row>
    <row r="12" spans="1:24" ht="43.5" customHeight="1" thickBot="1" x14ac:dyDescent="0.3">
      <c r="A12" s="109">
        <v>7</v>
      </c>
      <c r="B12" s="124" t="str">
        <f>(Starterlist!B19)&amp;CHAR(10)&amp;(Starterlist!C19)&amp;CHAR(10)&amp;(Starterlist!D19)</f>
        <v xml:space="preserve">
</v>
      </c>
      <c r="C12" s="119"/>
      <c r="D12" s="119"/>
      <c r="E12" s="119"/>
      <c r="F12" s="120"/>
      <c r="G12" s="121">
        <f t="shared" si="0"/>
        <v>0</v>
      </c>
      <c r="H12" s="117" t="str">
        <f t="shared" si="1"/>
        <v/>
      </c>
      <c r="I12" s="118" t="str">
        <f t="shared" si="2"/>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1"/>
        <v/>
      </c>
      <c r="I13" s="118" t="str">
        <f t="shared" si="2"/>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2"/>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2"/>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2">
    <tabColor indexed="43"/>
  </sheetPr>
  <dimension ref="A1:X15"/>
  <sheetViews>
    <sheetView showGridLines="0" showZeros="0" zoomScale="90" zoomScaleNormal="90" zoomScaleSheetLayoutView="85" zoomScalePageLayoutView="85" workbookViewId="0">
      <selection activeCell="N10" sqref="N10"/>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style="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Coop</v>
      </c>
      <c r="E2" s="9" t="str">
        <f>Starterlist!C4</f>
        <v>Semifinals</v>
      </c>
      <c r="G2" s="9" t="str">
        <f>Starterlist!D4</f>
        <v>A</v>
      </c>
      <c r="H2" s="276">
        <f>Starterlist!G15</f>
        <v>0</v>
      </c>
      <c r="I2" s="276"/>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37">
        <v>-0.1</v>
      </c>
      <c r="D5" s="37">
        <v>-0.2</v>
      </c>
      <c r="E5" s="37">
        <v>-0.3</v>
      </c>
      <c r="F5" s="38">
        <v>-0.5</v>
      </c>
      <c r="G5" s="39"/>
      <c r="H5" s="125" t="s">
        <v>269</v>
      </c>
      <c r="I5" s="39"/>
      <c r="J5" s="243"/>
      <c r="K5" s="13"/>
      <c r="L5" s="13"/>
      <c r="M5" s="13"/>
      <c r="N5" s="13"/>
      <c r="O5" s="13"/>
      <c r="P5" s="13"/>
      <c r="Q5" s="13"/>
      <c r="R5" s="13"/>
      <c r="S5" s="13"/>
      <c r="T5" s="13"/>
      <c r="U5" s="13"/>
      <c r="V5" s="13"/>
      <c r="W5" s="13"/>
      <c r="X5" s="13"/>
    </row>
    <row r="6" spans="1:24" ht="43.5" customHeight="1" thickBot="1" x14ac:dyDescent="0.3">
      <c r="A6" s="49">
        <v>1</v>
      </c>
      <c r="B6" s="123" t="str">
        <f>(Starterlist!B13)&amp;CHAR(10)&amp;(Starterlist!C13)&amp;CHAR(10)&amp;(Starterlist!D13)</f>
        <v xml:space="preserve">
</v>
      </c>
      <c r="C6" s="102"/>
      <c r="D6" s="102"/>
      <c r="E6" s="102"/>
      <c r="F6" s="103"/>
      <c r="G6" s="100">
        <f t="shared" ref="G6:G13" si="0">(0.1*C6)+(0.2*D6)+(0.3*E6)+(0.5*F6)</f>
        <v>0</v>
      </c>
      <c r="H6" s="99" t="str">
        <f>IF(G6=0,"",10-G6)</f>
        <v/>
      </c>
      <c r="I6" s="98" t="str">
        <f>IF(H6="","",RANK(H6,H$5:H$15))</f>
        <v/>
      </c>
      <c r="J6" s="243"/>
      <c r="K6" s="13"/>
      <c r="L6" s="13"/>
      <c r="M6" s="13"/>
      <c r="N6" s="13"/>
      <c r="O6" s="13"/>
      <c r="P6" s="13"/>
      <c r="Q6" s="13"/>
      <c r="R6" s="13"/>
      <c r="S6" s="13"/>
      <c r="T6" s="13"/>
      <c r="U6" s="13"/>
      <c r="V6" s="13"/>
      <c r="W6" s="13"/>
      <c r="X6" s="13"/>
    </row>
    <row r="7" spans="1:24" ht="43.5" customHeight="1" thickBot="1" x14ac:dyDescent="0.3">
      <c r="A7" s="49">
        <v>2</v>
      </c>
      <c r="B7" s="123" t="str">
        <f>(Starterlist!B14)&amp;CHAR(10)&amp;(Starterlist!C14)&amp;CHAR(10)&amp;(Starterlist!D14)</f>
        <v xml:space="preserve">
</v>
      </c>
      <c r="C7" s="102"/>
      <c r="D7" s="102"/>
      <c r="E7" s="102"/>
      <c r="F7" s="103"/>
      <c r="G7" s="100">
        <f t="shared" si="0"/>
        <v>0</v>
      </c>
      <c r="H7" s="99" t="str">
        <f>IF(G7=0,"",10-G7)</f>
        <v/>
      </c>
      <c r="I7" s="98" t="str">
        <f t="shared" ref="I7:I15" si="1">IF(H7="","",RANK(H7,H$5:H$15))</f>
        <v/>
      </c>
      <c r="J7" s="243"/>
      <c r="K7" s="13"/>
      <c r="L7" s="13"/>
      <c r="M7" s="13"/>
      <c r="N7" s="13"/>
      <c r="O7" s="13"/>
      <c r="P7" s="13"/>
      <c r="Q7" s="13"/>
      <c r="R7" s="13"/>
      <c r="S7" s="13"/>
      <c r="T7" s="13"/>
      <c r="U7" s="13"/>
      <c r="V7" s="13"/>
      <c r="W7" s="13"/>
      <c r="X7" s="13"/>
    </row>
    <row r="8" spans="1:24" ht="43.5" customHeight="1" thickBot="1" x14ac:dyDescent="0.3">
      <c r="A8" s="49">
        <v>3</v>
      </c>
      <c r="B8" s="123" t="str">
        <f>(Starterlist!B15)&amp;CHAR(10)&amp;(Starterlist!C15)&amp;CHAR(10)&amp;(Starterlist!D15)</f>
        <v xml:space="preserve">
</v>
      </c>
      <c r="C8" s="102"/>
      <c r="D8" s="102"/>
      <c r="E8" s="102"/>
      <c r="F8" s="103"/>
      <c r="G8" s="100">
        <f t="shared" si="0"/>
        <v>0</v>
      </c>
      <c r="H8" s="99" t="str">
        <f t="shared" ref="H8:H13" si="2">IF(G8=0,"",10-G8)</f>
        <v/>
      </c>
      <c r="I8" s="98" t="str">
        <f t="shared" si="1"/>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2"/>
        <v/>
      </c>
      <c r="I9" s="118" t="str">
        <f t="shared" si="1"/>
        <v/>
      </c>
      <c r="J9" s="243"/>
      <c r="K9" s="13"/>
      <c r="L9" s="13"/>
      <c r="M9" s="13"/>
      <c r="N9" s="13"/>
      <c r="O9" s="13"/>
      <c r="P9" s="13"/>
      <c r="Q9" s="13"/>
      <c r="R9" s="13"/>
      <c r="S9" s="13"/>
      <c r="T9" s="13"/>
      <c r="U9" s="13"/>
      <c r="V9" s="13"/>
      <c r="W9" s="13"/>
      <c r="X9" s="13"/>
    </row>
    <row r="10" spans="1:24" ht="43.5" customHeight="1" thickBot="1" x14ac:dyDescent="0.3">
      <c r="A10" s="227">
        <v>5</v>
      </c>
      <c r="B10" s="228" t="str">
        <f>(Starterlist!B17)&amp;CHAR(10)&amp;(Starterlist!C17)&amp;CHAR(10)&amp;(Starterlist!D17)</f>
        <v xml:space="preserve">
</v>
      </c>
      <c r="C10" s="229"/>
      <c r="D10" s="229"/>
      <c r="E10" s="229"/>
      <c r="F10" s="230"/>
      <c r="G10" s="231">
        <f t="shared" si="0"/>
        <v>0</v>
      </c>
      <c r="H10" s="232" t="str">
        <f t="shared" si="2"/>
        <v/>
      </c>
      <c r="I10" s="233" t="str">
        <f t="shared" si="1"/>
        <v/>
      </c>
      <c r="J10" s="243"/>
      <c r="K10" s="13"/>
      <c r="L10" s="13"/>
      <c r="M10" s="13"/>
      <c r="N10" s="13"/>
      <c r="O10" s="13"/>
      <c r="P10" s="13"/>
      <c r="Q10" s="13"/>
      <c r="R10" s="13"/>
      <c r="S10" s="13"/>
      <c r="T10" s="13"/>
      <c r="U10" s="13"/>
      <c r="V10" s="13"/>
      <c r="W10" s="13"/>
      <c r="X10" s="13"/>
    </row>
    <row r="11" spans="1:24" ht="43.5" customHeight="1" thickBot="1" x14ac:dyDescent="0.3">
      <c r="A11" s="49">
        <v>6</v>
      </c>
      <c r="B11" s="123" t="str">
        <f>(Starterlist!B18)&amp;CHAR(10)&amp;(Starterlist!C18)&amp;CHAR(10)&amp;(Starterlist!D18)</f>
        <v xml:space="preserve">
</v>
      </c>
      <c r="C11" s="102"/>
      <c r="D11" s="102"/>
      <c r="E11" s="102"/>
      <c r="F11" s="103"/>
      <c r="G11" s="100">
        <f t="shared" si="0"/>
        <v>0</v>
      </c>
      <c r="H11" s="99" t="str">
        <f t="shared" si="2"/>
        <v/>
      </c>
      <c r="I11" s="98" t="str">
        <f t="shared" si="1"/>
        <v/>
      </c>
      <c r="J11" s="243"/>
      <c r="K11" s="13"/>
      <c r="L11" s="13"/>
      <c r="M11" s="13"/>
      <c r="N11" s="13"/>
      <c r="O11" s="13"/>
      <c r="P11" s="13"/>
      <c r="Q11" s="13"/>
      <c r="R11" s="13"/>
      <c r="S11" s="13"/>
      <c r="T11" s="13"/>
      <c r="U11" s="13"/>
      <c r="V11" s="13"/>
      <c r="W11" s="13"/>
      <c r="X11" s="13"/>
    </row>
    <row r="12" spans="1:24" ht="43.5" customHeight="1" thickBot="1" x14ac:dyDescent="0.3">
      <c r="A12" s="49">
        <v>7</v>
      </c>
      <c r="B12" s="123" t="str">
        <f>(Starterlist!B19)&amp;CHAR(10)&amp;(Starterlist!C19)&amp;CHAR(10)&amp;(Starterlist!D19)</f>
        <v xml:space="preserve">
</v>
      </c>
      <c r="C12" s="102"/>
      <c r="D12" s="102"/>
      <c r="E12" s="102"/>
      <c r="F12" s="103"/>
      <c r="G12" s="100">
        <f t="shared" si="0"/>
        <v>0</v>
      </c>
      <c r="H12" s="99" t="str">
        <f t="shared" si="2"/>
        <v/>
      </c>
      <c r="I12" s="98" t="str">
        <f t="shared" si="1"/>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2"/>
        <v/>
      </c>
      <c r="I13" s="118" t="str">
        <f t="shared" si="1"/>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1"/>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1"/>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3">
    <tabColor indexed="43"/>
  </sheetPr>
  <dimension ref="A1:X15"/>
  <sheetViews>
    <sheetView showGridLines="0" showZeros="0" showRuler="0" zoomScale="90" zoomScaleNormal="90" zoomScaleSheetLayoutView="85" zoomScalePageLayoutView="85" workbookViewId="0">
      <selection activeCell="C6" sqref="C6:F15"/>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style="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Coop</v>
      </c>
      <c r="E2" s="9" t="str">
        <f>Starterlist!C4</f>
        <v>Semifinals</v>
      </c>
      <c r="G2" s="9" t="str">
        <f>Starterlist!D4</f>
        <v>A</v>
      </c>
      <c r="H2" s="276">
        <f>Starterlist!G16</f>
        <v>0</v>
      </c>
      <c r="I2" s="276"/>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25">
        <v>-0.1</v>
      </c>
      <c r="D5" s="25">
        <v>-0.2</v>
      </c>
      <c r="E5" s="25">
        <v>-0.3</v>
      </c>
      <c r="F5" s="26">
        <v>-0.5</v>
      </c>
      <c r="G5" s="28"/>
      <c r="H5" s="125" t="s">
        <v>269</v>
      </c>
      <c r="I5" s="39"/>
      <c r="J5" s="243"/>
      <c r="K5" s="13"/>
      <c r="L5" s="13"/>
      <c r="M5" s="13"/>
      <c r="N5" s="13"/>
      <c r="O5" s="13"/>
      <c r="P5" s="13"/>
      <c r="Q5" s="13"/>
      <c r="R5" s="13"/>
      <c r="S5" s="13"/>
      <c r="T5" s="13"/>
      <c r="U5" s="13"/>
      <c r="V5" s="13"/>
      <c r="W5" s="13"/>
      <c r="X5" s="13"/>
    </row>
    <row r="6" spans="1:24" ht="43.5" customHeight="1" thickBot="1" x14ac:dyDescent="0.3">
      <c r="A6" s="49">
        <v>1</v>
      </c>
      <c r="B6" s="123" t="str">
        <f>(Starterlist!B13)&amp;CHAR(10)&amp;(Starterlist!C13)&amp;CHAR(10)&amp;(Starterlist!D13)</f>
        <v xml:space="preserve">
</v>
      </c>
      <c r="C6" s="102"/>
      <c r="D6" s="102"/>
      <c r="E6" s="102"/>
      <c r="F6" s="103"/>
      <c r="G6" s="100">
        <f t="shared" ref="G6:G13" si="0">(0.1*C6)+(0.2*D6)+(0.3*E6)+(0.5*F6)</f>
        <v>0</v>
      </c>
      <c r="H6" s="99" t="str">
        <f>IF(G6=0,"",10-G6)</f>
        <v/>
      </c>
      <c r="I6" s="98" t="str">
        <f>IF(H6="","",RANK(H6,H$5:H$15))</f>
        <v/>
      </c>
      <c r="J6" s="243"/>
      <c r="K6" s="13"/>
      <c r="L6" s="13"/>
      <c r="M6" s="13"/>
      <c r="N6" s="13"/>
      <c r="O6" s="13"/>
      <c r="P6" s="13"/>
      <c r="Q6" s="13"/>
      <c r="R6" s="13"/>
      <c r="S6" s="13"/>
      <c r="T6" s="13"/>
      <c r="U6" s="13"/>
      <c r="V6" s="13"/>
      <c r="W6" s="13"/>
      <c r="X6" s="13"/>
    </row>
    <row r="7" spans="1:24" ht="43.5" customHeight="1" thickBot="1" x14ac:dyDescent="0.3">
      <c r="A7" s="49">
        <v>2</v>
      </c>
      <c r="B7" s="123" t="str">
        <f>(Starterlist!B14)&amp;CHAR(10)&amp;(Starterlist!C14)&amp;CHAR(10)&amp;(Starterlist!D14)</f>
        <v xml:space="preserve">
</v>
      </c>
      <c r="C7" s="102"/>
      <c r="D7" s="102"/>
      <c r="E7" s="102"/>
      <c r="F7" s="103"/>
      <c r="G7" s="100">
        <f t="shared" si="0"/>
        <v>0</v>
      </c>
      <c r="H7" s="99" t="str">
        <f>IF(G7=0,"",10-G7)</f>
        <v/>
      </c>
      <c r="I7" s="98" t="str">
        <f t="shared" ref="I7:I15" si="1">IF(H7="","",RANK(H7,H$5:H$15))</f>
        <v/>
      </c>
      <c r="J7" s="243"/>
      <c r="K7" s="13"/>
      <c r="L7" s="13"/>
      <c r="M7" s="13"/>
      <c r="N7" s="13"/>
      <c r="O7" s="13"/>
      <c r="P7" s="13"/>
      <c r="Q7" s="13"/>
      <c r="R7" s="13"/>
      <c r="S7" s="13"/>
      <c r="T7" s="13"/>
      <c r="U7" s="13"/>
      <c r="V7" s="13"/>
      <c r="W7" s="13"/>
      <c r="X7" s="13"/>
    </row>
    <row r="8" spans="1:24" ht="43.5" customHeight="1" thickBot="1" x14ac:dyDescent="0.3">
      <c r="A8" s="49">
        <v>3</v>
      </c>
      <c r="B8" s="123" t="str">
        <f>(Starterlist!B15)&amp;CHAR(10)&amp;(Starterlist!C15)&amp;CHAR(10)&amp;(Starterlist!D15)</f>
        <v xml:space="preserve">
</v>
      </c>
      <c r="C8" s="102"/>
      <c r="D8" s="102"/>
      <c r="E8" s="102"/>
      <c r="F8" s="103"/>
      <c r="G8" s="100">
        <f t="shared" si="0"/>
        <v>0</v>
      </c>
      <c r="H8" s="99" t="str">
        <f t="shared" ref="H8:H13" si="2">IF(G8=0,"",10-G8)</f>
        <v/>
      </c>
      <c r="I8" s="98" t="str">
        <f t="shared" si="1"/>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2"/>
        <v/>
      </c>
      <c r="I9" s="118" t="str">
        <f t="shared" si="1"/>
        <v/>
      </c>
      <c r="J9" s="243"/>
      <c r="K9" s="13"/>
      <c r="L9" s="13"/>
      <c r="M9" s="13"/>
      <c r="N9" s="13"/>
      <c r="O9" s="13"/>
      <c r="P9" s="13"/>
      <c r="Q9" s="13"/>
      <c r="R9" s="13"/>
      <c r="S9" s="13"/>
      <c r="T9" s="13"/>
      <c r="U9" s="13"/>
      <c r="V9" s="13"/>
      <c r="W9" s="13"/>
      <c r="X9" s="13"/>
    </row>
    <row r="10" spans="1:24" ht="43.5" customHeight="1" thickBot="1" x14ac:dyDescent="0.3">
      <c r="A10" s="227">
        <v>5</v>
      </c>
      <c r="B10" s="228" t="str">
        <f>(Starterlist!B17)&amp;CHAR(10)&amp;(Starterlist!C17)&amp;CHAR(10)&amp;(Starterlist!D17)</f>
        <v xml:space="preserve">
</v>
      </c>
      <c r="C10" s="229"/>
      <c r="D10" s="229"/>
      <c r="E10" s="229"/>
      <c r="F10" s="230"/>
      <c r="G10" s="231">
        <f t="shared" si="0"/>
        <v>0</v>
      </c>
      <c r="H10" s="232" t="str">
        <f t="shared" si="2"/>
        <v/>
      </c>
      <c r="I10" s="233" t="str">
        <f t="shared" si="1"/>
        <v/>
      </c>
      <c r="J10" s="243"/>
      <c r="K10" s="13"/>
      <c r="L10" s="13"/>
      <c r="M10" s="13"/>
      <c r="N10" s="13"/>
      <c r="O10" s="13"/>
      <c r="P10" s="13"/>
      <c r="Q10" s="13"/>
      <c r="R10" s="13"/>
      <c r="S10" s="13"/>
      <c r="T10" s="13"/>
      <c r="U10" s="13"/>
      <c r="V10" s="13"/>
      <c r="W10" s="13"/>
      <c r="X10" s="13"/>
    </row>
    <row r="11" spans="1:24" ht="43.5" customHeight="1" thickBot="1" x14ac:dyDescent="0.3">
      <c r="A11" s="49">
        <v>6</v>
      </c>
      <c r="B11" s="123" t="str">
        <f>(Starterlist!B18)&amp;CHAR(10)&amp;(Starterlist!C18)&amp;CHAR(10)&amp;(Starterlist!D18)</f>
        <v xml:space="preserve">
</v>
      </c>
      <c r="C11" s="102"/>
      <c r="D11" s="102"/>
      <c r="E11" s="102"/>
      <c r="F11" s="103"/>
      <c r="G11" s="100">
        <f t="shared" si="0"/>
        <v>0</v>
      </c>
      <c r="H11" s="99" t="str">
        <f t="shared" si="2"/>
        <v/>
      </c>
      <c r="I11" s="98" t="str">
        <f t="shared" si="1"/>
        <v/>
      </c>
      <c r="J11" s="243"/>
      <c r="K11" s="13"/>
      <c r="L11" s="13"/>
      <c r="M11" s="13"/>
      <c r="N11" s="13"/>
      <c r="O11" s="13"/>
      <c r="P11" s="13"/>
      <c r="Q11" s="13"/>
      <c r="R11" s="13"/>
      <c r="S11" s="13"/>
      <c r="T11" s="13"/>
      <c r="U11" s="13"/>
      <c r="V11" s="13"/>
      <c r="W11" s="13"/>
      <c r="X11" s="13"/>
    </row>
    <row r="12" spans="1:24" ht="43.5" customHeight="1" thickBot="1" x14ac:dyDescent="0.3">
      <c r="A12" s="49">
        <v>7</v>
      </c>
      <c r="B12" s="123" t="str">
        <f>(Starterlist!B19)&amp;CHAR(10)&amp;(Starterlist!C19)&amp;CHAR(10)&amp;(Starterlist!D19)</f>
        <v xml:space="preserve">
</v>
      </c>
      <c r="C12" s="102"/>
      <c r="D12" s="102"/>
      <c r="E12" s="102"/>
      <c r="F12" s="103"/>
      <c r="G12" s="100">
        <f t="shared" si="0"/>
        <v>0</v>
      </c>
      <c r="H12" s="99" t="str">
        <f t="shared" si="2"/>
        <v/>
      </c>
      <c r="I12" s="98" t="str">
        <f t="shared" si="1"/>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2"/>
        <v/>
      </c>
      <c r="I13" s="118" t="str">
        <f t="shared" si="1"/>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1"/>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1"/>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1">
    <tabColor indexed="42"/>
  </sheetPr>
  <dimension ref="A1:K29"/>
  <sheetViews>
    <sheetView showGridLines="0" showZeros="0" topLeftCell="A9" zoomScale="115" zoomScaleNormal="115" zoomScaleSheetLayoutView="85" zoomScalePageLayoutView="85" workbookViewId="0">
      <selection activeCell="H21" sqref="H21"/>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Coop</v>
      </c>
      <c r="E2" s="9" t="str">
        <f>Starterlist!C4</f>
        <v>Semifinals</v>
      </c>
      <c r="G2" s="9" t="str">
        <f>Starterlist!D4</f>
        <v>A</v>
      </c>
      <c r="H2" s="9"/>
      <c r="I2" s="45">
        <f>Starterlist!G17</f>
        <v>0</v>
      </c>
    </row>
    <row r="3" spans="1:11" ht="8.25" customHeight="1" thickBot="1" x14ac:dyDescent="0.3"/>
    <row r="4" spans="1:11" ht="38.25" customHeight="1" thickBot="1" x14ac:dyDescent="0.4">
      <c r="C4" s="18" t="s">
        <v>21</v>
      </c>
      <c r="D4" s="18" t="s">
        <v>20</v>
      </c>
      <c r="E4" s="18" t="s">
        <v>258</v>
      </c>
      <c r="F4" s="162" t="s">
        <v>184</v>
      </c>
      <c r="G4" s="18" t="s">
        <v>183</v>
      </c>
      <c r="H4" s="257" t="s">
        <v>477</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1337</v>
      </c>
      <c r="J5" s="221" t="s">
        <v>1323</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6"/>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2">
    <tabColor indexed="42"/>
  </sheetPr>
  <dimension ref="A1:K29"/>
  <sheetViews>
    <sheetView showGridLines="0" showZeros="0" topLeftCell="A9" zoomScale="115" zoomScaleNormal="115" zoomScaleSheetLayoutView="85" zoomScalePageLayoutView="85" workbookViewId="0">
      <selection activeCell="I14" sqref="I14"/>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Coop</v>
      </c>
      <c r="E2" s="9" t="str">
        <f>Starterlist!C4</f>
        <v>Semifinals</v>
      </c>
      <c r="G2" s="9" t="str">
        <f>Starterlist!D4</f>
        <v>A</v>
      </c>
      <c r="H2" s="9"/>
      <c r="I2" s="45">
        <f>Starterlist!G18</f>
        <v>0</v>
      </c>
    </row>
    <row r="3" spans="1:11" ht="8.25" customHeight="1" thickBot="1" x14ac:dyDescent="0.3"/>
    <row r="4" spans="1:11" ht="38.25" customHeight="1" thickBot="1" x14ac:dyDescent="0.4">
      <c r="C4" s="18" t="s">
        <v>21</v>
      </c>
      <c r="D4" s="18" t="s">
        <v>20</v>
      </c>
      <c r="E4" s="18" t="s">
        <v>258</v>
      </c>
      <c r="F4" s="162" t="s">
        <v>184</v>
      </c>
      <c r="G4" s="18" t="s">
        <v>183</v>
      </c>
      <c r="H4" s="257" t="s">
        <v>477</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1337</v>
      </c>
      <c r="J5" s="221" t="s">
        <v>1323</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6"/>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3">
    <tabColor indexed="42"/>
  </sheetPr>
  <dimension ref="A1:K29"/>
  <sheetViews>
    <sheetView showGridLines="0" showZeros="0" topLeftCell="A5" zoomScale="115" zoomScaleNormal="115" zoomScaleSheetLayoutView="85" zoomScalePageLayoutView="85" workbookViewId="0">
      <selection activeCell="I10" sqref="I10"/>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Coop</v>
      </c>
      <c r="E2" s="9" t="str">
        <f>Starterlist!C4</f>
        <v>Semifinals</v>
      </c>
      <c r="G2" s="9" t="str">
        <f>Starterlist!D4</f>
        <v>A</v>
      </c>
      <c r="H2" s="9"/>
      <c r="I2" s="45">
        <f>Starterlist!G19</f>
        <v>0</v>
      </c>
    </row>
    <row r="3" spans="1:11" ht="8.25" customHeight="1" thickBot="1" x14ac:dyDescent="0.3"/>
    <row r="4" spans="1:11" ht="38.25" customHeight="1" thickBot="1" x14ac:dyDescent="0.4">
      <c r="C4" s="18" t="s">
        <v>21</v>
      </c>
      <c r="D4" s="18" t="s">
        <v>20</v>
      </c>
      <c r="E4" s="18" t="s">
        <v>258</v>
      </c>
      <c r="F4" s="162" t="s">
        <v>184</v>
      </c>
      <c r="G4" s="18" t="s">
        <v>183</v>
      </c>
      <c r="H4" s="257" t="s">
        <v>477</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1337</v>
      </c>
      <c r="J5" s="221" t="s">
        <v>1323</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5"/>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1">
    <tabColor indexed="47"/>
  </sheetPr>
  <dimension ref="A1:Z25"/>
  <sheetViews>
    <sheetView showGridLines="0" showZeros="0" zoomScale="90" zoomScaleNormal="90" zoomScaleSheetLayoutView="100" zoomScalePageLayoutView="85" workbookViewId="0">
      <selection activeCell="C6" sqref="C6:V25"/>
    </sheetView>
  </sheetViews>
  <sheetFormatPr defaultColWidth="10.28515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0.28515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Coop</v>
      </c>
      <c r="J2" s="9" t="str">
        <f>Starterlist!C4</f>
        <v>Semifinals</v>
      </c>
      <c r="K2" s="9"/>
      <c r="O2" s="6"/>
      <c r="P2" s="11"/>
      <c r="Q2" s="9" t="str">
        <f>Starterlist!D4</f>
        <v>A</v>
      </c>
      <c r="U2" s="30">
        <f>Starterlist!G20</f>
        <v>0</v>
      </c>
    </row>
    <row r="3" spans="1:26" ht="8.25" customHeight="1" x14ac:dyDescent="0.25">
      <c r="B3" s="13"/>
      <c r="C3" s="8"/>
      <c r="D3" s="8"/>
      <c r="E3" s="8"/>
      <c r="F3" s="11"/>
      <c r="G3" s="11"/>
      <c r="H3" s="11"/>
      <c r="I3" s="8"/>
      <c r="J3" s="8"/>
      <c r="K3" s="8"/>
    </row>
    <row r="4" spans="1:26" ht="38.25" customHeight="1" thickBot="1" x14ac:dyDescent="0.3">
      <c r="A4" s="13"/>
      <c r="B4" s="13"/>
      <c r="C4" s="277" t="s">
        <v>1322</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224"/>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sheetData>
  <mergeCells count="51">
    <mergeCell ref="Z24:Z25"/>
    <mergeCell ref="Z20:Z21"/>
    <mergeCell ref="A24:A25"/>
    <mergeCell ref="B24:B25"/>
    <mergeCell ref="X24:X25"/>
    <mergeCell ref="Y24:Y25"/>
    <mergeCell ref="B22:B23"/>
    <mergeCell ref="Y22:Y23"/>
    <mergeCell ref="B20:B21"/>
    <mergeCell ref="X20:X21"/>
    <mergeCell ref="Y20:Y21"/>
    <mergeCell ref="A22:A23"/>
    <mergeCell ref="A18:A19"/>
    <mergeCell ref="Y18:Y19"/>
    <mergeCell ref="Z22:Z23"/>
    <mergeCell ref="B18:B19"/>
    <mergeCell ref="X18:X19"/>
    <mergeCell ref="A20:A21"/>
    <mergeCell ref="Z18:Z19"/>
    <mergeCell ref="Z14:Z15"/>
    <mergeCell ref="A16:A17"/>
    <mergeCell ref="B16:B17"/>
    <mergeCell ref="X16:X17"/>
    <mergeCell ref="Z16:Z17"/>
    <mergeCell ref="Y14:Y15"/>
    <mergeCell ref="Z8:Z9"/>
    <mergeCell ref="X22:X23"/>
    <mergeCell ref="Z10:Z11"/>
    <mergeCell ref="A12:A13"/>
    <mergeCell ref="B12:B13"/>
    <mergeCell ref="X12:X13"/>
    <mergeCell ref="Z12:Z13"/>
    <mergeCell ref="A14:A15"/>
    <mergeCell ref="B14:B15"/>
    <mergeCell ref="X14:X15"/>
    <mergeCell ref="Y16:Y17"/>
    <mergeCell ref="A10:A11"/>
    <mergeCell ref="B10:B11"/>
    <mergeCell ref="X10:X11"/>
    <mergeCell ref="Y10:Y11"/>
    <mergeCell ref="Y12:Y13"/>
    <mergeCell ref="A8:A9"/>
    <mergeCell ref="B8:B9"/>
    <mergeCell ref="X8:X9"/>
    <mergeCell ref="Y6:Y7"/>
    <mergeCell ref="Y8:Y9"/>
    <mergeCell ref="C4:M4"/>
    <mergeCell ref="B6:B7"/>
    <mergeCell ref="A6:A7"/>
    <mergeCell ref="X6:X7"/>
    <mergeCell ref="Z6:Z7"/>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2">
    <tabColor indexed="47"/>
  </sheetPr>
  <dimension ref="A1:Z29"/>
  <sheetViews>
    <sheetView showGridLines="0" showZeros="0" zoomScale="90" zoomScaleNormal="90" zoomScaleSheetLayoutView="100" zoomScalePageLayoutView="85" workbookViewId="0">
      <selection activeCell="AC17" sqref="AC17"/>
    </sheetView>
  </sheetViews>
  <sheetFormatPr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1.140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Coop</v>
      </c>
      <c r="J2" s="9" t="str">
        <f>Starterlist!C4</f>
        <v>Semifinals</v>
      </c>
      <c r="K2" s="9"/>
      <c r="O2" s="6"/>
      <c r="P2" s="11"/>
      <c r="Q2" s="9" t="str">
        <f>Starterlist!D4</f>
        <v>A</v>
      </c>
      <c r="U2" s="30">
        <f>Starterlist!G21</f>
        <v>0</v>
      </c>
    </row>
    <row r="3" spans="1:26" ht="8.25" customHeight="1" x14ac:dyDescent="0.25">
      <c r="B3" s="13"/>
      <c r="C3" s="8"/>
      <c r="D3" s="8"/>
      <c r="E3" s="8"/>
      <c r="F3" s="11"/>
      <c r="G3" s="11"/>
      <c r="H3" s="11"/>
      <c r="I3" s="8"/>
      <c r="J3" s="8"/>
      <c r="K3" s="8"/>
    </row>
    <row r="4" spans="1:26" ht="38.25" customHeight="1" thickBot="1" x14ac:dyDescent="0.3">
      <c r="A4" s="13"/>
      <c r="B4" s="13"/>
      <c r="C4" s="277" t="s">
        <v>1322</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190"/>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row r="26" spans="1:26" ht="16.5" customHeight="1" x14ac:dyDescent="0.25"/>
    <row r="27" spans="1:26" ht="15.75" customHeight="1" x14ac:dyDescent="0.25"/>
    <row r="28" spans="1:26" ht="15.75" customHeight="1" x14ac:dyDescent="0.25"/>
    <row r="29" spans="1:26" ht="16.5" customHeight="1" x14ac:dyDescent="0.25"/>
  </sheetData>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3">
    <tabColor indexed="47"/>
  </sheetPr>
  <dimension ref="A1:Z29"/>
  <sheetViews>
    <sheetView showGridLines="0" showZeros="0" tabSelected="1" topLeftCell="A9" zoomScale="90" zoomScaleNormal="90" zoomScaleSheetLayoutView="100" zoomScalePageLayoutView="85" workbookViewId="0">
      <selection activeCell="Y32" sqref="Y32"/>
    </sheetView>
  </sheetViews>
  <sheetFormatPr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1.140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Coop</v>
      </c>
      <c r="J2" s="9" t="str">
        <f>Starterlist!C4</f>
        <v>Semifinals</v>
      </c>
      <c r="K2" s="9"/>
      <c r="O2" s="6"/>
      <c r="P2" s="11"/>
      <c r="Q2" s="9" t="str">
        <f>Starterlist!D4</f>
        <v>A</v>
      </c>
      <c r="U2" s="30">
        <f>Starterlist!G22</f>
        <v>0</v>
      </c>
    </row>
    <row r="3" spans="1:26" ht="8.25" customHeight="1" x14ac:dyDescent="0.25">
      <c r="B3" s="13"/>
      <c r="C3" s="8"/>
      <c r="D3" s="8"/>
      <c r="E3" s="8"/>
      <c r="F3" s="11"/>
      <c r="G3" s="11"/>
      <c r="H3" s="11"/>
      <c r="I3" s="8"/>
      <c r="J3" s="8"/>
      <c r="K3" s="8"/>
    </row>
    <row r="4" spans="1:26" ht="38.25" customHeight="1" thickBot="1" x14ac:dyDescent="0.3">
      <c r="A4" s="13"/>
      <c r="B4" s="13"/>
      <c r="C4" s="277" t="s">
        <v>1322</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190"/>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row r="26" spans="1:26" ht="16.5" customHeight="1" x14ac:dyDescent="0.25"/>
    <row r="27" spans="1:26" ht="15.75" customHeight="1" x14ac:dyDescent="0.25"/>
    <row r="28" spans="1:26" ht="15.75" customHeight="1" x14ac:dyDescent="0.25"/>
    <row r="29" spans="1:26" ht="16.5" customHeight="1" x14ac:dyDescent="0.25"/>
  </sheetData>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oderatorInfo"/>
  <dimension ref="A1:T31"/>
  <sheetViews>
    <sheetView showGridLines="0" showRowColHeaders="0" showZeros="0" zoomScale="90" zoomScaleNormal="90" zoomScaleSheetLayoutView="85" zoomScalePageLayoutView="70" workbookViewId="0">
      <selection activeCell="K12" sqref="K12"/>
    </sheetView>
  </sheetViews>
  <sheetFormatPr defaultColWidth="11.140625" defaultRowHeight="15" x14ac:dyDescent="0.25"/>
  <cols>
    <col min="1" max="1" width="4.28515625" style="5" customWidth="1"/>
    <col min="2" max="2" width="35.28515625" style="5" customWidth="1"/>
    <col min="3" max="3" width="19.140625" style="6" customWidth="1"/>
    <col min="4" max="4" width="21.5703125" style="6" customWidth="1"/>
    <col min="5" max="5" width="26.140625" style="6" customWidth="1"/>
    <col min="6" max="6" width="10.7109375" style="7" customWidth="1"/>
    <col min="7" max="7" width="1.85546875" style="5" customWidth="1"/>
    <col min="8" max="8" width="12.140625" style="5" customWidth="1"/>
    <col min="9" max="9" width="30" style="5" customWidth="1"/>
    <col min="10" max="16384" width="11.140625" style="5"/>
  </cols>
  <sheetData>
    <row r="1" spans="1:20" ht="30" customHeight="1" x14ac:dyDescent="0.5">
      <c r="A1" s="34" t="str">
        <f>Starterlist!A1</f>
        <v>My Test Tournament</v>
      </c>
      <c r="C1" s="13" t="s">
        <v>13</v>
      </c>
      <c r="D1" s="13" t="s">
        <v>14</v>
      </c>
      <c r="E1" s="13" t="str">
        <f>Starterlist!D3</f>
        <v>Pool</v>
      </c>
      <c r="F1" s="13"/>
    </row>
    <row r="2" spans="1:20" ht="19.5" customHeight="1" x14ac:dyDescent="0.35">
      <c r="A2" s="13" t="str">
        <f>Starterlist!A2</f>
        <v>Ryan's House</v>
      </c>
      <c r="B2" s="12"/>
      <c r="C2" s="9" t="str">
        <f>Starterlist!B4</f>
        <v>Coop</v>
      </c>
      <c r="D2" s="9" t="str">
        <f>Starterlist!C4</f>
        <v>Semifinals</v>
      </c>
      <c r="E2" s="9" t="str">
        <f>Starterlist!D4</f>
        <v>A</v>
      </c>
      <c r="F2" s="9"/>
    </row>
    <row r="3" spans="1:20" ht="16.5" customHeight="1" x14ac:dyDescent="0.35">
      <c r="A3" s="13"/>
      <c r="B3" s="12"/>
      <c r="C3" s="9"/>
      <c r="D3" s="9"/>
      <c r="E3" s="9"/>
      <c r="F3" s="9"/>
    </row>
    <row r="4" spans="1:20" ht="36.75" customHeight="1" thickBot="1" x14ac:dyDescent="0.4">
      <c r="B4" s="13"/>
      <c r="C4" s="8"/>
      <c r="D4" s="8"/>
      <c r="E4" s="11"/>
      <c r="F4" s="11"/>
      <c r="H4" s="214" t="s">
        <v>12</v>
      </c>
      <c r="I4" s="5">
        <f>Starterlist!G11</f>
        <v>0</v>
      </c>
    </row>
    <row r="5" spans="1:20" ht="38.25" customHeight="1" thickBot="1" x14ac:dyDescent="0.4">
      <c r="A5" s="19" t="s">
        <v>9</v>
      </c>
      <c r="B5" s="18" t="s">
        <v>16</v>
      </c>
      <c r="C5" s="18" t="s">
        <v>57</v>
      </c>
      <c r="D5" s="18" t="s">
        <v>56</v>
      </c>
      <c r="E5" s="18" t="s">
        <v>53</v>
      </c>
      <c r="F5" s="18" t="s">
        <v>55</v>
      </c>
      <c r="H5" s="289" t="str">
        <f>Starterlist!F14</f>
        <v>Execution</v>
      </c>
      <c r="I5" s="244">
        <f>Starterlist!G14</f>
        <v>0</v>
      </c>
    </row>
    <row r="6" spans="1:20" ht="44.25" customHeight="1" thickBot="1" x14ac:dyDescent="0.3">
      <c r="A6" s="49">
        <v>1</v>
      </c>
      <c r="B6" s="107" t="str">
        <f>(Starterlist!B13)&amp;CHAR(10)&amp;(Starterlist!C13)&amp;CHAR(10)&amp;(Starterlist!D13)</f>
        <v xml:space="preserve">
</v>
      </c>
      <c r="C6" s="101"/>
      <c r="D6" s="101"/>
      <c r="E6" s="101"/>
      <c r="F6" s="101"/>
      <c r="H6" s="290">
        <f>Starterlist!F15</f>
        <v>0</v>
      </c>
      <c r="I6" s="244">
        <f>Starterlist!G15</f>
        <v>0</v>
      </c>
    </row>
    <row r="7" spans="1:20" ht="44.25" customHeight="1" thickBot="1" x14ac:dyDescent="0.3">
      <c r="A7" s="49">
        <v>2</v>
      </c>
      <c r="B7" s="107" t="str">
        <f>(Starterlist!B14)&amp;CHAR(10)&amp;(Starterlist!C14)&amp;CHAR(10)&amp;(Starterlist!D14)</f>
        <v xml:space="preserve">
</v>
      </c>
      <c r="C7" s="101"/>
      <c r="D7" s="101"/>
      <c r="E7" s="101"/>
      <c r="F7" s="101"/>
      <c r="H7" s="291">
        <f>Starterlist!F16</f>
        <v>0</v>
      </c>
      <c r="I7" s="244">
        <f>Starterlist!G16</f>
        <v>0</v>
      </c>
    </row>
    <row r="8" spans="1:20" ht="44.25" customHeight="1" thickBot="1" x14ac:dyDescent="0.3">
      <c r="A8" s="49">
        <v>3</v>
      </c>
      <c r="B8" s="107" t="str">
        <f>(Starterlist!B15)&amp;CHAR(10)&amp;(Starterlist!C15)&amp;CHAR(10)&amp;(Starterlist!D15)</f>
        <v xml:space="preserve">
</v>
      </c>
      <c r="C8" s="101"/>
      <c r="D8" s="101"/>
      <c r="E8" s="101"/>
      <c r="F8" s="101"/>
      <c r="H8" s="292" t="str">
        <f>Starterlist!F17</f>
        <v>Artistic Impression</v>
      </c>
      <c r="I8" s="245">
        <f>Starterlist!G17</f>
        <v>0</v>
      </c>
    </row>
    <row r="9" spans="1:20" ht="44.25" customHeight="1" thickBot="1" x14ac:dyDescent="0.3">
      <c r="A9" s="49">
        <v>4</v>
      </c>
      <c r="B9" s="107" t="str">
        <f>(Starterlist!B16)&amp;CHAR(10)&amp;(Starterlist!C16)&amp;CHAR(10)&amp;(Starterlist!D16)</f>
        <v xml:space="preserve">
</v>
      </c>
      <c r="C9" s="101"/>
      <c r="D9" s="101"/>
      <c r="E9" s="101"/>
      <c r="F9" s="101"/>
      <c r="H9" s="293">
        <f>Starterlist!F18</f>
        <v>0</v>
      </c>
      <c r="I9" s="244">
        <f>Starterlist!G18</f>
        <v>0</v>
      </c>
    </row>
    <row r="10" spans="1:20" ht="44.25" customHeight="1" thickBot="1" x14ac:dyDescent="0.3">
      <c r="A10" s="49">
        <v>5</v>
      </c>
      <c r="B10" s="107" t="str">
        <f>(Starterlist!B17)&amp;CHAR(10)&amp;(Starterlist!C17)&amp;CHAR(10)&amp;(Starterlist!D17)</f>
        <v xml:space="preserve">
</v>
      </c>
      <c r="C10" s="101"/>
      <c r="D10" s="101"/>
      <c r="E10" s="101"/>
      <c r="F10" s="101"/>
      <c r="H10" s="294">
        <f>Starterlist!F19</f>
        <v>0</v>
      </c>
      <c r="I10" s="246">
        <f>Starterlist!G19</f>
        <v>0</v>
      </c>
    </row>
    <row r="11" spans="1:20" ht="44.25" customHeight="1" thickBot="1" x14ac:dyDescent="0.3">
      <c r="A11" s="49">
        <v>6</v>
      </c>
      <c r="B11" s="107" t="str">
        <f>(Starterlist!B18)&amp;CHAR(10)&amp;(Starterlist!C18)&amp;CHAR(10)&amp;(Starterlist!D18)</f>
        <v xml:space="preserve">
</v>
      </c>
      <c r="C11" s="101"/>
      <c r="D11" s="101"/>
      <c r="E11" s="101"/>
      <c r="F11" s="101"/>
      <c r="H11" s="289" t="str">
        <f>Starterlist!F20</f>
        <v>Difficulty</v>
      </c>
      <c r="I11" s="244">
        <f>Starterlist!G20</f>
        <v>0</v>
      </c>
    </row>
    <row r="12" spans="1:20" ht="44.25" customHeight="1" thickBot="1" x14ac:dyDescent="0.3">
      <c r="A12" s="109">
        <v>7</v>
      </c>
      <c r="B12" s="194" t="str">
        <f>(Starterlist!B19)&amp;CHAR(10)&amp;(Starterlist!C19)&amp;CHAR(10)&amp;(Starterlist!D19)</f>
        <v xml:space="preserve">
</v>
      </c>
      <c r="C12" s="122"/>
      <c r="D12" s="122"/>
      <c r="E12" s="122"/>
      <c r="F12" s="122"/>
      <c r="H12" s="290">
        <f>Starterlist!F21</f>
        <v>0</v>
      </c>
      <c r="I12" s="244">
        <f>Starterlist!G21</f>
        <v>0</v>
      </c>
    </row>
    <row r="13" spans="1:20" ht="44.25" customHeight="1" thickBot="1" x14ac:dyDescent="0.3">
      <c r="A13" s="109">
        <v>8</v>
      </c>
      <c r="B13" s="194" t="str">
        <f>(Starterlist!B20)&amp;CHAR(10)&amp;(Starterlist!C20)&amp;CHAR(10)&amp;(Starterlist!D20)</f>
        <v xml:space="preserve">
</v>
      </c>
      <c r="C13" s="122"/>
      <c r="D13" s="122"/>
      <c r="E13" s="122"/>
      <c r="F13" s="122"/>
      <c r="H13" s="291">
        <f>Starterlist!F22</f>
        <v>0</v>
      </c>
      <c r="I13" s="244">
        <f>Starterlist!G22</f>
        <v>0</v>
      </c>
    </row>
    <row r="14" spans="1:20" ht="44.25" hidden="1" customHeight="1" thickBot="1" x14ac:dyDescent="0.3">
      <c r="A14" s="49">
        <v>9</v>
      </c>
      <c r="B14" s="107" t="str">
        <f>(Starterlist!B21)&amp;CHAR(10)&amp;(Starterlist!C21)&amp;CHAR(10)&amp;(Starterlist!D21)</f>
        <v xml:space="preserve">
</v>
      </c>
      <c r="C14" s="101"/>
      <c r="D14" s="101"/>
      <c r="E14" s="101"/>
      <c r="F14" s="101"/>
      <c r="H14" s="29"/>
      <c r="I14" s="29"/>
    </row>
    <row r="15" spans="1:20" ht="44.25" hidden="1" customHeight="1" thickBot="1" x14ac:dyDescent="0.3">
      <c r="A15" s="109">
        <v>10</v>
      </c>
      <c r="B15" s="194" t="str">
        <f>(Starterlist!B22)&amp;CHAR(10)&amp;(Starterlist!C22)&amp;CHAR(10)&amp;(Starterlist!D22)</f>
        <v xml:space="preserve">
</v>
      </c>
      <c r="C15" s="122"/>
      <c r="D15" s="122"/>
      <c r="E15" s="122"/>
      <c r="F15" s="122"/>
      <c r="H15" s="29"/>
      <c r="I15" s="29"/>
    </row>
    <row r="16" spans="1:20" ht="14.25" hidden="1" customHeight="1" x14ac:dyDescent="0.25">
      <c r="G16" s="29"/>
      <c r="H16" s="29"/>
      <c r="I16" s="29"/>
      <c r="J16" s="29"/>
      <c r="K16" s="29"/>
      <c r="L16" s="29"/>
      <c r="M16" s="29"/>
      <c r="N16" s="29"/>
      <c r="O16" s="29"/>
      <c r="P16" s="13"/>
      <c r="Q16" s="13"/>
      <c r="R16" s="13"/>
      <c r="S16" s="13"/>
      <c r="T16" s="13"/>
    </row>
    <row r="17" spans="7:20" ht="14.25" customHeight="1" x14ac:dyDescent="0.25">
      <c r="G17" s="29"/>
      <c r="H17" s="29"/>
      <c r="I17" s="29"/>
      <c r="J17" s="29"/>
      <c r="K17" s="29"/>
      <c r="L17" s="29"/>
      <c r="M17" s="29"/>
      <c r="N17" s="29"/>
      <c r="O17" s="29"/>
      <c r="P17" s="13"/>
      <c r="Q17" s="13"/>
      <c r="R17" s="13"/>
      <c r="S17" s="13"/>
      <c r="T17" s="13"/>
    </row>
    <row r="18" spans="7:20" ht="14.25" customHeight="1" x14ac:dyDescent="0.25">
      <c r="G18" s="29"/>
      <c r="H18" s="29"/>
      <c r="I18" s="29"/>
      <c r="J18" s="29"/>
      <c r="K18" s="29"/>
      <c r="L18" s="29"/>
      <c r="M18" s="29"/>
      <c r="N18" s="29"/>
      <c r="O18" s="29"/>
      <c r="P18" s="13"/>
      <c r="Q18" s="13"/>
      <c r="R18" s="13"/>
      <c r="S18" s="13"/>
      <c r="T18" s="13"/>
    </row>
    <row r="19" spans="7:20" ht="14.25" customHeight="1" x14ac:dyDescent="0.25">
      <c r="G19" s="29"/>
      <c r="H19" s="29"/>
      <c r="I19" s="29"/>
      <c r="J19" s="29"/>
      <c r="K19" s="29"/>
      <c r="L19" s="29"/>
      <c r="M19" s="29"/>
      <c r="N19" s="29"/>
      <c r="O19" s="29"/>
      <c r="P19" s="13"/>
      <c r="Q19" s="13"/>
      <c r="R19" s="13"/>
      <c r="S19" s="13"/>
      <c r="T19" s="13"/>
    </row>
    <row r="20" spans="7:20" ht="14.25" customHeight="1" x14ac:dyDescent="0.25">
      <c r="G20" s="29"/>
      <c r="H20" s="29"/>
      <c r="I20" s="29"/>
      <c r="J20" s="29"/>
      <c r="K20" s="29"/>
      <c r="L20" s="29"/>
      <c r="M20" s="29"/>
      <c r="N20" s="29"/>
      <c r="O20" s="29"/>
      <c r="P20" s="13"/>
      <c r="Q20" s="13"/>
      <c r="R20" s="13"/>
      <c r="S20" s="13"/>
      <c r="T20" s="13"/>
    </row>
    <row r="21" spans="7:20" ht="14.25" customHeight="1" x14ac:dyDescent="0.25">
      <c r="G21" s="29"/>
      <c r="H21" s="29"/>
      <c r="I21" s="29"/>
      <c r="J21" s="29"/>
      <c r="K21" s="29"/>
      <c r="L21" s="29"/>
      <c r="M21" s="29"/>
      <c r="N21" s="29"/>
      <c r="O21" s="29"/>
      <c r="P21" s="13"/>
      <c r="Q21" s="13"/>
      <c r="R21" s="13"/>
      <c r="S21" s="13"/>
      <c r="T21" s="13"/>
    </row>
    <row r="22" spans="7:20" ht="14.25" customHeight="1" x14ac:dyDescent="0.25">
      <c r="G22" s="29"/>
      <c r="H22" s="29"/>
      <c r="I22" s="29"/>
      <c r="J22" s="29"/>
      <c r="K22" s="29"/>
      <c r="L22" s="29"/>
      <c r="M22" s="29"/>
      <c r="N22" s="29"/>
      <c r="O22" s="29"/>
      <c r="P22" s="13"/>
      <c r="Q22" s="13"/>
      <c r="R22" s="13"/>
      <c r="S22" s="13"/>
      <c r="T22" s="13"/>
    </row>
    <row r="23" spans="7:20" ht="16.5" customHeight="1" x14ac:dyDescent="0.25">
      <c r="G23" s="29"/>
      <c r="H23" s="29"/>
      <c r="I23" s="29"/>
      <c r="J23" s="29"/>
      <c r="K23" s="29"/>
      <c r="L23" s="29"/>
      <c r="M23" s="29"/>
      <c r="N23" s="29"/>
      <c r="O23" s="29"/>
      <c r="P23" s="13"/>
      <c r="Q23" s="13"/>
      <c r="R23" s="13"/>
      <c r="S23" s="13"/>
      <c r="T23" s="13"/>
    </row>
    <row r="24" spans="7:20" ht="15.75" customHeight="1" x14ac:dyDescent="0.25">
      <c r="G24" s="29"/>
      <c r="H24" s="29"/>
      <c r="I24" s="29"/>
      <c r="J24" s="29"/>
      <c r="K24" s="29"/>
      <c r="L24" s="29"/>
      <c r="M24" s="29"/>
      <c r="N24" s="29"/>
      <c r="O24" s="29"/>
      <c r="P24" s="13"/>
      <c r="Q24" s="13"/>
      <c r="R24" s="13"/>
      <c r="S24" s="13"/>
      <c r="T24" s="13"/>
    </row>
    <row r="25" spans="7:20" ht="15.75" customHeight="1" x14ac:dyDescent="0.25">
      <c r="G25" s="29"/>
      <c r="H25" s="29"/>
      <c r="I25" s="29"/>
      <c r="J25" s="29"/>
      <c r="K25" s="29"/>
      <c r="L25" s="29"/>
      <c r="M25" s="29"/>
      <c r="N25" s="29"/>
      <c r="O25" s="29"/>
      <c r="P25" s="13"/>
      <c r="Q25" s="13"/>
      <c r="R25" s="13"/>
      <c r="S25" s="13"/>
      <c r="T25" s="13"/>
    </row>
    <row r="26" spans="7:20" ht="16.5" customHeight="1" x14ac:dyDescent="0.25">
      <c r="G26" s="29"/>
      <c r="H26" s="29"/>
      <c r="I26" s="29"/>
      <c r="J26" s="29"/>
      <c r="K26" s="29"/>
      <c r="L26" s="29"/>
      <c r="M26" s="29"/>
      <c r="N26" s="29"/>
      <c r="O26" s="29"/>
      <c r="P26" s="13"/>
      <c r="Q26" s="13"/>
      <c r="R26" s="13"/>
      <c r="S26" s="13"/>
      <c r="T26" s="13"/>
    </row>
    <row r="27" spans="7:20" ht="15.75" customHeight="1" x14ac:dyDescent="0.25">
      <c r="G27" s="29"/>
      <c r="H27" s="29"/>
      <c r="I27" s="29"/>
      <c r="J27" s="29"/>
      <c r="K27" s="29"/>
      <c r="L27" s="29"/>
      <c r="M27" s="29"/>
      <c r="N27" s="29"/>
      <c r="O27" s="29"/>
      <c r="P27" s="13"/>
      <c r="Q27" s="13"/>
      <c r="R27" s="13"/>
      <c r="S27" s="13"/>
      <c r="T27" s="13"/>
    </row>
    <row r="28" spans="7:20" ht="15.75" customHeight="1" x14ac:dyDescent="0.25">
      <c r="G28" s="29"/>
      <c r="H28" s="108"/>
      <c r="I28" s="108"/>
      <c r="J28" s="29"/>
      <c r="K28" s="29"/>
      <c r="L28" s="29"/>
      <c r="M28" s="29"/>
      <c r="N28" s="29"/>
      <c r="O28" s="29"/>
      <c r="P28" s="13"/>
      <c r="Q28" s="13"/>
      <c r="R28" s="13"/>
      <c r="S28" s="13"/>
      <c r="T28" s="13"/>
    </row>
    <row r="29" spans="7:20" ht="17.25" customHeight="1" x14ac:dyDescent="0.25">
      <c r="G29" s="29"/>
      <c r="H29" s="108"/>
      <c r="I29" s="108"/>
      <c r="J29" s="29"/>
      <c r="K29" s="29"/>
      <c r="L29" s="29"/>
      <c r="M29" s="29"/>
      <c r="N29" s="29"/>
      <c r="O29" s="29"/>
      <c r="P29" s="13"/>
      <c r="Q29" s="13"/>
      <c r="R29" s="13"/>
      <c r="S29" s="13"/>
      <c r="T29" s="13"/>
    </row>
    <row r="30" spans="7:20" x14ac:dyDescent="0.25">
      <c r="G30" s="108"/>
      <c r="J30" s="108"/>
      <c r="K30" s="108"/>
      <c r="L30" s="108"/>
      <c r="M30" s="108"/>
      <c r="N30" s="108"/>
      <c r="O30" s="108"/>
    </row>
    <row r="31" spans="7:20" x14ac:dyDescent="0.25">
      <c r="G31" s="108"/>
      <c r="J31" s="108"/>
      <c r="K31" s="108"/>
      <c r="L31" s="108"/>
      <c r="M31" s="108"/>
      <c r="N31" s="108"/>
      <c r="O31" s="108"/>
    </row>
  </sheetData>
  <mergeCells count="3">
    <mergeCell ref="H5:H7"/>
    <mergeCell ref="H8:H10"/>
    <mergeCell ref="H11:H13"/>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87" orientation="landscape" horizontalDpi="300" verticalDpi="300" r:id="rId1"/>
  <headerFooter alignWithMargins="0">
    <oddHeader>&amp;C&amp;18Anouncer Infos&amp;R&amp;G</oddHead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D536"/>
  <sheetViews>
    <sheetView view="pageLayout" zoomScaleNormal="100" workbookViewId="0">
      <selection activeCell="B43" sqref="B43"/>
    </sheetView>
  </sheetViews>
  <sheetFormatPr defaultRowHeight="15" x14ac:dyDescent="0.25"/>
  <cols>
    <col min="1" max="1" width="25" customWidth="1"/>
    <col min="2" max="2" width="19" customWidth="1"/>
    <col min="3" max="3" width="13.28515625" customWidth="1"/>
    <col min="4" max="4" width="15.5703125" customWidth="1"/>
    <col min="5" max="256" width="11.42578125" customWidth="1"/>
  </cols>
  <sheetData>
    <row r="1" spans="1:4" s="142" customFormat="1" ht="15.75" x14ac:dyDescent="0.25">
      <c r="A1" s="141" t="s">
        <v>86</v>
      </c>
      <c r="B1" s="141" t="s">
        <v>153</v>
      </c>
      <c r="C1" s="141" t="s">
        <v>154</v>
      </c>
      <c r="D1" s="141" t="s">
        <v>170</v>
      </c>
    </row>
    <row r="2" spans="1:4" x14ac:dyDescent="0.25">
      <c r="A2" s="161" t="s">
        <v>106</v>
      </c>
      <c r="B2" s="161" t="s">
        <v>91</v>
      </c>
      <c r="C2" s="146"/>
      <c r="D2" t="e">
        <f>VLOOKUP(A2,Rankings!C:E,3,FALSE)</f>
        <v>#N/A</v>
      </c>
    </row>
    <row r="3" spans="1:4" x14ac:dyDescent="0.25">
      <c r="A3" s="161" t="s">
        <v>92</v>
      </c>
      <c r="B3" s="161" t="s">
        <v>91</v>
      </c>
      <c r="C3" s="146"/>
      <c r="D3" t="e">
        <f>VLOOKUP(A3,Rankings!C:E,3,FALSE)</f>
        <v>#N/A</v>
      </c>
    </row>
    <row r="4" spans="1:4" x14ac:dyDescent="0.25">
      <c r="A4" s="161" t="s">
        <v>114</v>
      </c>
      <c r="B4" s="161" t="s">
        <v>91</v>
      </c>
      <c r="C4" s="146"/>
      <c r="D4" t="e">
        <f>VLOOKUP(A4,Rankings!C:E,3,FALSE)</f>
        <v>#N/A</v>
      </c>
    </row>
    <row r="5" spans="1:4" x14ac:dyDescent="0.25">
      <c r="A5" s="161" t="s">
        <v>101</v>
      </c>
      <c r="B5" s="161" t="s">
        <v>91</v>
      </c>
      <c r="C5" s="146"/>
      <c r="D5" t="e">
        <f>VLOOKUP(A5,Rankings!C:E,3,FALSE)</f>
        <v>#N/A</v>
      </c>
    </row>
    <row r="6" spans="1:4" x14ac:dyDescent="0.25">
      <c r="A6" s="161" t="s">
        <v>113</v>
      </c>
      <c r="B6" s="161" t="s">
        <v>91</v>
      </c>
      <c r="C6" s="146"/>
      <c r="D6" t="e">
        <f>VLOOKUP(A6,Rankings!C:E,3,FALSE)</f>
        <v>#N/A</v>
      </c>
    </row>
    <row r="7" spans="1:4" x14ac:dyDescent="0.25">
      <c r="A7" s="161" t="s">
        <v>94</v>
      </c>
      <c r="B7" s="161" t="s">
        <v>88</v>
      </c>
      <c r="C7" s="146"/>
      <c r="D7" t="e">
        <f>VLOOKUP(A7,Rankings!C:E,3,FALSE)</f>
        <v>#N/A</v>
      </c>
    </row>
    <row r="8" spans="1:4" x14ac:dyDescent="0.25">
      <c r="A8" s="161" t="s">
        <v>87</v>
      </c>
      <c r="B8" s="161" t="s">
        <v>88</v>
      </c>
      <c r="C8" s="146"/>
      <c r="D8" t="e">
        <f>VLOOKUP(A8,Rankings!C:E,3,FALSE)</f>
        <v>#N/A</v>
      </c>
    </row>
    <row r="9" spans="1:4" x14ac:dyDescent="0.25">
      <c r="A9" s="161" t="s">
        <v>93</v>
      </c>
      <c r="B9" s="161" t="s">
        <v>88</v>
      </c>
      <c r="C9" s="146"/>
      <c r="D9" t="e">
        <f>VLOOKUP(A9,Rankings!C:E,3,FALSE)</f>
        <v>#N/A</v>
      </c>
    </row>
    <row r="10" spans="1:4" x14ac:dyDescent="0.25">
      <c r="A10" s="161" t="s">
        <v>100</v>
      </c>
      <c r="B10" s="161" t="s">
        <v>88</v>
      </c>
      <c r="C10" s="146"/>
      <c r="D10" t="e">
        <f>VLOOKUP(A10,Rankings!C:E,3,FALSE)</f>
        <v>#N/A</v>
      </c>
    </row>
    <row r="11" spans="1:4" x14ac:dyDescent="0.25">
      <c r="A11" s="161" t="s">
        <v>90</v>
      </c>
      <c r="B11" s="161" t="s">
        <v>91</v>
      </c>
      <c r="C11" s="146"/>
      <c r="D11" t="e">
        <f>VLOOKUP(A11,Rankings!C:E,3,FALSE)</f>
        <v>#N/A</v>
      </c>
    </row>
    <row r="12" spans="1:4" x14ac:dyDescent="0.25">
      <c r="A12" s="161" t="s">
        <v>97</v>
      </c>
      <c r="B12" s="161" t="s">
        <v>98</v>
      </c>
      <c r="C12" s="146"/>
      <c r="D12" t="e">
        <f>VLOOKUP(A12,Rankings!C:E,3,FALSE)</f>
        <v>#N/A</v>
      </c>
    </row>
    <row r="13" spans="1:4" x14ac:dyDescent="0.25">
      <c r="A13" s="161" t="s">
        <v>89</v>
      </c>
      <c r="B13" s="161" t="s">
        <v>88</v>
      </c>
      <c r="C13" s="146"/>
      <c r="D13" t="e">
        <f>VLOOKUP(A13,Rankings!C:E,3,FALSE)</f>
        <v>#N/A</v>
      </c>
    </row>
    <row r="14" spans="1:4" x14ac:dyDescent="0.25">
      <c r="A14" s="161" t="s">
        <v>108</v>
      </c>
      <c r="B14" s="161" t="s">
        <v>88</v>
      </c>
      <c r="C14" s="146"/>
      <c r="D14" t="e">
        <f>VLOOKUP(A14,Rankings!C:E,3,FALSE)</f>
        <v>#N/A</v>
      </c>
    </row>
    <row r="15" spans="1:4" x14ac:dyDescent="0.25">
      <c r="A15" s="161" t="s">
        <v>103</v>
      </c>
      <c r="B15" s="161" t="s">
        <v>91</v>
      </c>
      <c r="C15" s="146"/>
      <c r="D15" t="e">
        <f>VLOOKUP(A15,Rankings!C:E,3,FALSE)</f>
        <v>#N/A</v>
      </c>
    </row>
    <row r="16" spans="1:4" x14ac:dyDescent="0.25">
      <c r="A16" s="161" t="s">
        <v>104</v>
      </c>
      <c r="B16" s="161" t="s">
        <v>105</v>
      </c>
      <c r="C16" s="146"/>
      <c r="D16" t="e">
        <f>VLOOKUP(A16,Rankings!C:E,3,FALSE)</f>
        <v>#N/A</v>
      </c>
    </row>
    <row r="17" spans="1:4" x14ac:dyDescent="0.25">
      <c r="A17" s="161" t="s">
        <v>102</v>
      </c>
      <c r="B17" s="161" t="s">
        <v>88</v>
      </c>
      <c r="C17" s="146"/>
      <c r="D17" t="e">
        <f>VLOOKUP(A17,Rankings!C:E,3,FALSE)</f>
        <v>#N/A</v>
      </c>
    </row>
    <row r="18" spans="1:4" x14ac:dyDescent="0.25">
      <c r="A18" s="161" t="s">
        <v>99</v>
      </c>
      <c r="B18" s="161" t="s">
        <v>98</v>
      </c>
      <c r="C18" s="146"/>
      <c r="D18" t="e">
        <f>VLOOKUP(A18,Rankings!C:E,3,FALSE)</f>
        <v>#N/A</v>
      </c>
    </row>
    <row r="19" spans="1:4" x14ac:dyDescent="0.25">
      <c r="A19" s="161" t="s">
        <v>123</v>
      </c>
      <c r="B19" s="161" t="s">
        <v>98</v>
      </c>
      <c r="C19" s="146"/>
      <c r="D19" t="e">
        <f>VLOOKUP(A19,Rankings!C:E,3,FALSE)</f>
        <v>#N/A</v>
      </c>
    </row>
    <row r="20" spans="1:4" x14ac:dyDescent="0.25">
      <c r="A20" s="161" t="s">
        <v>111</v>
      </c>
      <c r="B20" s="161" t="s">
        <v>112</v>
      </c>
      <c r="C20" s="146"/>
      <c r="D20" t="e">
        <f>VLOOKUP(A20,Rankings!C:E,3,FALSE)</f>
        <v>#N/A</v>
      </c>
    </row>
    <row r="21" spans="1:4" x14ac:dyDescent="0.25">
      <c r="A21" s="161" t="s">
        <v>109</v>
      </c>
      <c r="B21" s="161" t="s">
        <v>110</v>
      </c>
      <c r="C21" s="146"/>
      <c r="D21" t="e">
        <f>VLOOKUP(A21,Rankings!C:E,3,FALSE)</f>
        <v>#N/A</v>
      </c>
    </row>
    <row r="22" spans="1:4" x14ac:dyDescent="0.25">
      <c r="A22" s="161" t="s">
        <v>136</v>
      </c>
      <c r="B22" s="161" t="s">
        <v>91</v>
      </c>
      <c r="C22" s="146"/>
      <c r="D22" t="e">
        <f>VLOOKUP(A22,Rankings!C:E,3,FALSE)</f>
        <v>#N/A</v>
      </c>
    </row>
    <row r="23" spans="1:4" x14ac:dyDescent="0.25">
      <c r="A23" s="161" t="s">
        <v>95</v>
      </c>
      <c r="B23" s="161" t="s">
        <v>96</v>
      </c>
      <c r="C23" s="146"/>
      <c r="D23" t="e">
        <f>VLOOKUP(A23,Rankings!C:E,3,FALSE)</f>
        <v>#N/A</v>
      </c>
    </row>
    <row r="24" spans="1:4" x14ac:dyDescent="0.25">
      <c r="A24" s="161" t="s">
        <v>120</v>
      </c>
      <c r="B24" s="161" t="s">
        <v>98</v>
      </c>
      <c r="C24" s="146"/>
      <c r="D24" t="e">
        <f>VLOOKUP(A24,Rankings!C:E,3,FALSE)</f>
        <v>#N/A</v>
      </c>
    </row>
    <row r="25" spans="1:4" x14ac:dyDescent="0.25">
      <c r="A25" s="161" t="s">
        <v>119</v>
      </c>
      <c r="B25" s="161" t="s">
        <v>98</v>
      </c>
      <c r="C25" s="146"/>
      <c r="D25" t="e">
        <f>VLOOKUP(A25,Rankings!C:E,3,FALSE)</f>
        <v>#N/A</v>
      </c>
    </row>
    <row r="26" spans="1:4" x14ac:dyDescent="0.25">
      <c r="A26" s="161" t="s">
        <v>118</v>
      </c>
      <c r="B26" s="161" t="s">
        <v>98</v>
      </c>
      <c r="C26" s="146"/>
      <c r="D26" t="e">
        <f>VLOOKUP(A26,Rankings!C:E,3,FALSE)</f>
        <v>#N/A</v>
      </c>
    </row>
    <row r="27" spans="1:4" x14ac:dyDescent="0.25">
      <c r="A27" s="161" t="s">
        <v>107</v>
      </c>
      <c r="B27" s="161" t="s">
        <v>91</v>
      </c>
      <c r="C27" s="146"/>
      <c r="D27" t="e">
        <f>VLOOKUP(A27,Rankings!C:E,3,FALSE)</f>
        <v>#N/A</v>
      </c>
    </row>
    <row r="28" spans="1:4" x14ac:dyDescent="0.25">
      <c r="A28" s="161" t="s">
        <v>125</v>
      </c>
      <c r="B28" s="161" t="s">
        <v>91</v>
      </c>
      <c r="C28" s="146"/>
      <c r="D28" t="e">
        <f>VLOOKUP(A28,Rankings!C:E,3,FALSE)</f>
        <v>#N/A</v>
      </c>
    </row>
    <row r="29" spans="1:4" x14ac:dyDescent="0.25">
      <c r="A29" s="161" t="s">
        <v>117</v>
      </c>
      <c r="B29" s="161" t="s">
        <v>91</v>
      </c>
      <c r="C29" s="146"/>
      <c r="D29" t="e">
        <f>VLOOKUP(A29,Rankings!C:E,3,FALSE)</f>
        <v>#N/A</v>
      </c>
    </row>
    <row r="30" spans="1:4" x14ac:dyDescent="0.25">
      <c r="A30" s="161" t="s">
        <v>138</v>
      </c>
      <c r="B30" s="161" t="s">
        <v>91</v>
      </c>
      <c r="C30" s="146"/>
      <c r="D30" t="e">
        <f>VLOOKUP(A30,Rankings!C:E,3,FALSE)</f>
        <v>#N/A</v>
      </c>
    </row>
    <row r="31" spans="1:4" x14ac:dyDescent="0.25">
      <c r="A31" s="161" t="s">
        <v>129</v>
      </c>
      <c r="B31" s="161" t="s">
        <v>98</v>
      </c>
      <c r="C31" s="146"/>
      <c r="D31" t="e">
        <f>VLOOKUP(A31,Rankings!C:E,3,FALSE)</f>
        <v>#N/A</v>
      </c>
    </row>
    <row r="32" spans="1:4" x14ac:dyDescent="0.25">
      <c r="A32" s="161" t="s">
        <v>116</v>
      </c>
      <c r="B32" s="161" t="s">
        <v>98</v>
      </c>
      <c r="C32" s="146"/>
      <c r="D32" t="e">
        <f>VLOOKUP(A32,Rankings!C:E,3,FALSE)</f>
        <v>#N/A</v>
      </c>
    </row>
    <row r="33" spans="1:4" x14ac:dyDescent="0.25">
      <c r="A33" s="161" t="s">
        <v>122</v>
      </c>
      <c r="B33" s="161" t="s">
        <v>88</v>
      </c>
      <c r="C33" s="146"/>
      <c r="D33" t="e">
        <f>VLOOKUP(A33,Rankings!C:E,3,FALSE)</f>
        <v>#N/A</v>
      </c>
    </row>
    <row r="34" spans="1:4" x14ac:dyDescent="0.25">
      <c r="A34" s="161" t="s">
        <v>127</v>
      </c>
      <c r="B34" s="161" t="s">
        <v>98</v>
      </c>
      <c r="C34" s="146"/>
      <c r="D34" t="e">
        <f>VLOOKUP(A34,Rankings!C:E,3,FALSE)</f>
        <v>#N/A</v>
      </c>
    </row>
    <row r="35" spans="1:4" x14ac:dyDescent="0.25">
      <c r="A35" s="161" t="s">
        <v>128</v>
      </c>
      <c r="B35" s="161" t="s">
        <v>98</v>
      </c>
      <c r="C35" s="146"/>
      <c r="D35" t="e">
        <f>VLOOKUP(A35,Rankings!C:E,3,FALSE)</f>
        <v>#N/A</v>
      </c>
    </row>
    <row r="36" spans="1:4" x14ac:dyDescent="0.25">
      <c r="A36" s="161" t="s">
        <v>115</v>
      </c>
      <c r="B36" s="161" t="s">
        <v>98</v>
      </c>
      <c r="C36" s="146"/>
      <c r="D36" t="e">
        <f>VLOOKUP(A36,Rankings!C:E,3,FALSE)</f>
        <v>#N/A</v>
      </c>
    </row>
    <row r="37" spans="1:4" x14ac:dyDescent="0.25">
      <c r="A37" s="161" t="s">
        <v>137</v>
      </c>
      <c r="B37" s="161" t="s">
        <v>98</v>
      </c>
      <c r="C37" s="146"/>
      <c r="D37" t="e">
        <f>VLOOKUP(A37,Rankings!C:E,3,FALSE)</f>
        <v>#N/A</v>
      </c>
    </row>
    <row r="38" spans="1:4" x14ac:dyDescent="0.25">
      <c r="A38" s="161" t="s">
        <v>131</v>
      </c>
      <c r="B38" s="161" t="s">
        <v>98</v>
      </c>
      <c r="C38" s="146"/>
      <c r="D38" t="e">
        <f>VLOOKUP(A38,Rankings!C:E,3,FALSE)</f>
        <v>#N/A</v>
      </c>
    </row>
    <row r="39" spans="1:4" x14ac:dyDescent="0.25">
      <c r="A39" s="161" t="s">
        <v>121</v>
      </c>
      <c r="B39" s="161" t="s">
        <v>98</v>
      </c>
      <c r="C39" s="146"/>
      <c r="D39" t="e">
        <f>VLOOKUP(A39,Rankings!C:E,3,FALSE)</f>
        <v>#N/A</v>
      </c>
    </row>
    <row r="40" spans="1:4" x14ac:dyDescent="0.25">
      <c r="A40" s="161" t="s">
        <v>135</v>
      </c>
      <c r="B40" s="161" t="s">
        <v>98</v>
      </c>
      <c r="C40" s="146"/>
      <c r="D40" t="e">
        <f>VLOOKUP(A40,Rankings!C:E,3,FALSE)</f>
        <v>#N/A</v>
      </c>
    </row>
    <row r="41" spans="1:4" x14ac:dyDescent="0.25">
      <c r="A41" s="161" t="s">
        <v>134</v>
      </c>
      <c r="B41" s="161" t="s">
        <v>88</v>
      </c>
      <c r="C41" s="146"/>
      <c r="D41" t="e">
        <f>VLOOKUP(A41,Rankings!C:E,3,FALSE)</f>
        <v>#N/A</v>
      </c>
    </row>
    <row r="42" spans="1:4" x14ac:dyDescent="0.25">
      <c r="A42" s="161" t="s">
        <v>139</v>
      </c>
      <c r="B42" s="161" t="s">
        <v>98</v>
      </c>
      <c r="C42" s="146"/>
      <c r="D42" t="e">
        <f>VLOOKUP(A42,Rankings!C:E,3,FALSE)</f>
        <v>#N/A</v>
      </c>
    </row>
    <row r="43" spans="1:4" x14ac:dyDescent="0.25">
      <c r="A43" s="161" t="s">
        <v>124</v>
      </c>
      <c r="B43" s="161" t="s">
        <v>98</v>
      </c>
      <c r="C43" s="146"/>
      <c r="D43" t="e">
        <f>VLOOKUP(A43,Rankings!C:E,3,FALSE)</f>
        <v>#N/A</v>
      </c>
    </row>
    <row r="44" spans="1:4" x14ac:dyDescent="0.25">
      <c r="A44" s="161" t="s">
        <v>140</v>
      </c>
      <c r="B44" s="161" t="s">
        <v>141</v>
      </c>
      <c r="C44" s="146"/>
      <c r="D44" t="e">
        <f>VLOOKUP(A44,Rankings!C:E,3,FALSE)</f>
        <v>#N/A</v>
      </c>
    </row>
    <row r="45" spans="1:4" x14ac:dyDescent="0.25">
      <c r="A45" s="161" t="s">
        <v>130</v>
      </c>
      <c r="B45" s="161" t="s">
        <v>98</v>
      </c>
      <c r="C45" s="146"/>
      <c r="D45" t="e">
        <f>VLOOKUP(A45,Rankings!C:E,3,FALSE)</f>
        <v>#N/A</v>
      </c>
    </row>
    <row r="46" spans="1:4" x14ac:dyDescent="0.25">
      <c r="A46" s="161" t="s">
        <v>142</v>
      </c>
      <c r="B46" s="161" t="s">
        <v>88</v>
      </c>
      <c r="C46" s="146"/>
      <c r="D46" t="e">
        <f>VLOOKUP(A46,Rankings!C:E,3,FALSE)</f>
        <v>#N/A</v>
      </c>
    </row>
    <row r="47" spans="1:4" x14ac:dyDescent="0.25">
      <c r="A47" s="161" t="s">
        <v>126</v>
      </c>
      <c r="B47" s="161" t="s">
        <v>98</v>
      </c>
      <c r="C47" s="146"/>
      <c r="D47" t="e">
        <f>VLOOKUP(A47,Rankings!C:E,3,FALSE)</f>
        <v>#N/A</v>
      </c>
    </row>
    <row r="48" spans="1:4" x14ac:dyDescent="0.25">
      <c r="A48" s="161" t="s">
        <v>133</v>
      </c>
      <c r="B48" s="161" t="s">
        <v>98</v>
      </c>
      <c r="C48" s="146"/>
      <c r="D48" t="e">
        <f>VLOOKUP(A48,Rankings!C:E,3,FALSE)</f>
        <v>#N/A</v>
      </c>
    </row>
    <row r="49" spans="1:4" x14ac:dyDescent="0.25">
      <c r="A49" s="161" t="s">
        <v>132</v>
      </c>
      <c r="B49" s="161" t="s">
        <v>98</v>
      </c>
      <c r="C49" s="146"/>
      <c r="D49" t="e">
        <f>VLOOKUP(A49,Rankings!C:E,3,FALSE)</f>
        <v>#N/A</v>
      </c>
    </row>
    <row r="50" spans="1:4" x14ac:dyDescent="0.25">
      <c r="A50" s="146"/>
      <c r="B50" s="146"/>
      <c r="C50" s="146"/>
    </row>
    <row r="51" spans="1:4" x14ac:dyDescent="0.25">
      <c r="A51" s="146"/>
      <c r="B51" s="146"/>
      <c r="C51" s="146"/>
    </row>
    <row r="52" spans="1:4" x14ac:dyDescent="0.25">
      <c r="A52" s="146"/>
      <c r="B52" s="146"/>
      <c r="C52" s="146"/>
    </row>
    <row r="53" spans="1:4" x14ac:dyDescent="0.25">
      <c r="A53" s="146"/>
      <c r="B53" s="146"/>
      <c r="C53" s="146"/>
    </row>
    <row r="54" spans="1:4" x14ac:dyDescent="0.25">
      <c r="A54" s="146"/>
      <c r="B54" s="146"/>
      <c r="C54" s="146"/>
    </row>
    <row r="55" spans="1:4" x14ac:dyDescent="0.25">
      <c r="A55" s="146"/>
      <c r="B55" s="146"/>
      <c r="C55" s="146"/>
    </row>
    <row r="56" spans="1:4" x14ac:dyDescent="0.25">
      <c r="A56" s="146"/>
      <c r="B56" s="146"/>
      <c r="C56" s="146"/>
    </row>
    <row r="57" spans="1:4" x14ac:dyDescent="0.25">
      <c r="A57" s="146"/>
      <c r="B57" s="146"/>
      <c r="C57" s="146"/>
    </row>
    <row r="58" spans="1:4" x14ac:dyDescent="0.25">
      <c r="A58" s="146"/>
      <c r="B58" s="146"/>
      <c r="C58" s="146"/>
    </row>
    <row r="59" spans="1:4" x14ac:dyDescent="0.25">
      <c r="A59" s="146"/>
      <c r="B59" s="146"/>
      <c r="C59" s="146"/>
    </row>
    <row r="60" spans="1:4" x14ac:dyDescent="0.25">
      <c r="A60" s="146"/>
      <c r="B60" s="146"/>
      <c r="C60" s="146"/>
    </row>
    <row r="61" spans="1:4" x14ac:dyDescent="0.25">
      <c r="A61" s="146"/>
      <c r="B61" s="146"/>
      <c r="C61" s="146"/>
    </row>
    <row r="62" spans="1:4" x14ac:dyDescent="0.25">
      <c r="A62" s="146"/>
      <c r="B62" s="146"/>
      <c r="C62" s="146"/>
    </row>
    <row r="63" spans="1:4" x14ac:dyDescent="0.25">
      <c r="A63" s="146"/>
      <c r="B63" s="146"/>
      <c r="C63" s="146"/>
    </row>
    <row r="64" spans="1:4" x14ac:dyDescent="0.25">
      <c r="A64" s="146"/>
      <c r="B64" s="146"/>
      <c r="C64" s="146"/>
    </row>
    <row r="65" spans="1:3" x14ac:dyDescent="0.25">
      <c r="A65" s="146"/>
      <c r="B65" s="146"/>
      <c r="C65" s="146"/>
    </row>
    <row r="66" spans="1:3" x14ac:dyDescent="0.25">
      <c r="A66" s="146"/>
      <c r="B66" s="146"/>
      <c r="C66" s="146"/>
    </row>
    <row r="67" spans="1:3" x14ac:dyDescent="0.25">
      <c r="A67" s="146"/>
      <c r="B67" s="146"/>
      <c r="C67" s="146"/>
    </row>
    <row r="68" spans="1:3" x14ac:dyDescent="0.25">
      <c r="A68" s="146"/>
      <c r="B68" s="146"/>
      <c r="C68" s="146"/>
    </row>
    <row r="69" spans="1:3" x14ac:dyDescent="0.25">
      <c r="A69" s="146"/>
      <c r="B69" s="146"/>
      <c r="C69" s="146"/>
    </row>
    <row r="70" spans="1:3" x14ac:dyDescent="0.25">
      <c r="A70" s="146"/>
      <c r="B70" s="146"/>
      <c r="C70" s="146"/>
    </row>
    <row r="71" spans="1:3" x14ac:dyDescent="0.25">
      <c r="A71" s="146"/>
      <c r="B71" s="146"/>
      <c r="C71" s="146"/>
    </row>
    <row r="72" spans="1:3" x14ac:dyDescent="0.25">
      <c r="A72" s="146"/>
      <c r="B72" s="146"/>
      <c r="C72" s="146"/>
    </row>
    <row r="73" spans="1:3" x14ac:dyDescent="0.25">
      <c r="A73" s="146"/>
      <c r="B73" s="146"/>
      <c r="C73" s="146"/>
    </row>
    <row r="74" spans="1:3" x14ac:dyDescent="0.25">
      <c r="A74" s="146"/>
      <c r="B74" s="146"/>
      <c r="C74" s="146"/>
    </row>
    <row r="75" spans="1:3" x14ac:dyDescent="0.25">
      <c r="A75" s="146"/>
      <c r="B75" s="146"/>
      <c r="C75" s="146"/>
    </row>
    <row r="76" spans="1:3" x14ac:dyDescent="0.25">
      <c r="A76" s="146"/>
      <c r="B76" s="146"/>
      <c r="C76" s="146"/>
    </row>
    <row r="77" spans="1:3" x14ac:dyDescent="0.25">
      <c r="A77" s="146"/>
      <c r="B77" s="146"/>
      <c r="C77" s="146"/>
    </row>
    <row r="78" spans="1:3" x14ac:dyDescent="0.25">
      <c r="A78" s="146"/>
      <c r="B78" s="146"/>
      <c r="C78" s="146"/>
    </row>
    <row r="79" spans="1:3" x14ac:dyDescent="0.25">
      <c r="A79" s="146"/>
      <c r="B79" s="146"/>
      <c r="C79" s="146"/>
    </row>
    <row r="80" spans="1:3" x14ac:dyDescent="0.25">
      <c r="A80" s="146"/>
      <c r="B80" s="146"/>
      <c r="C80" s="146"/>
    </row>
    <row r="81" spans="1:3" x14ac:dyDescent="0.25">
      <c r="A81" s="146"/>
      <c r="B81" s="146"/>
      <c r="C81" s="146"/>
    </row>
    <row r="82" spans="1:3" x14ac:dyDescent="0.25">
      <c r="A82" s="146"/>
      <c r="B82" s="146"/>
      <c r="C82" s="146"/>
    </row>
    <row r="83" spans="1:3" x14ac:dyDescent="0.25">
      <c r="A83" s="146"/>
      <c r="B83" s="146"/>
      <c r="C83" s="146"/>
    </row>
    <row r="84" spans="1:3" x14ac:dyDescent="0.25">
      <c r="A84" s="146"/>
      <c r="B84" s="146"/>
      <c r="C84" s="146"/>
    </row>
    <row r="85" spans="1:3" x14ac:dyDescent="0.25">
      <c r="A85" s="146"/>
      <c r="B85" s="146"/>
      <c r="C85" s="146"/>
    </row>
    <row r="86" spans="1:3" x14ac:dyDescent="0.25">
      <c r="A86" s="146"/>
      <c r="B86" s="146"/>
      <c r="C86" s="146"/>
    </row>
    <row r="87" spans="1:3" x14ac:dyDescent="0.25">
      <c r="A87" s="146"/>
      <c r="B87" s="146"/>
      <c r="C87" s="146"/>
    </row>
    <row r="88" spans="1:3" x14ac:dyDescent="0.25">
      <c r="A88" s="146"/>
      <c r="B88" s="146"/>
      <c r="C88" s="146"/>
    </row>
    <row r="89" spans="1:3" x14ac:dyDescent="0.25">
      <c r="A89" s="146"/>
      <c r="B89" s="146"/>
      <c r="C89" s="146"/>
    </row>
    <row r="90" spans="1:3" x14ac:dyDescent="0.25">
      <c r="A90" s="146"/>
      <c r="B90" s="146"/>
      <c r="C90" s="146"/>
    </row>
    <row r="91" spans="1:3" x14ac:dyDescent="0.25">
      <c r="A91" s="146"/>
      <c r="B91" s="146"/>
      <c r="C91" s="146"/>
    </row>
    <row r="92" spans="1:3" x14ac:dyDescent="0.25">
      <c r="A92" s="146"/>
      <c r="B92" s="146"/>
      <c r="C92" s="146"/>
    </row>
    <row r="93" spans="1:3" x14ac:dyDescent="0.25">
      <c r="A93" s="146"/>
      <c r="B93" s="146"/>
      <c r="C93" s="146"/>
    </row>
    <row r="94" spans="1:3" x14ac:dyDescent="0.25">
      <c r="A94" s="146"/>
      <c r="B94" s="146"/>
      <c r="C94" s="146"/>
    </row>
    <row r="95" spans="1:3" x14ac:dyDescent="0.25">
      <c r="A95" s="146"/>
      <c r="B95" s="146"/>
      <c r="C95" s="146"/>
    </row>
    <row r="96" spans="1:3" x14ac:dyDescent="0.25">
      <c r="A96" s="146"/>
      <c r="B96" s="146"/>
      <c r="C96" s="146"/>
    </row>
    <row r="97" spans="1:3" x14ac:dyDescent="0.25">
      <c r="A97" s="146"/>
      <c r="B97" s="146"/>
      <c r="C97" s="146"/>
    </row>
    <row r="98" spans="1:3" x14ac:dyDescent="0.25">
      <c r="A98" s="146"/>
      <c r="B98" s="146"/>
      <c r="C98" s="146"/>
    </row>
    <row r="99" spans="1:3" x14ac:dyDescent="0.25">
      <c r="A99" s="146"/>
      <c r="B99" s="146"/>
      <c r="C99" s="146"/>
    </row>
    <row r="100" spans="1:3" x14ac:dyDescent="0.25">
      <c r="A100" s="146"/>
      <c r="B100" s="146"/>
      <c r="C100" s="146"/>
    </row>
    <row r="101" spans="1:3" x14ac:dyDescent="0.25">
      <c r="A101" s="146"/>
      <c r="B101" s="146"/>
      <c r="C101" s="146"/>
    </row>
    <row r="102" spans="1:3" x14ac:dyDescent="0.25">
      <c r="A102" s="146"/>
      <c r="B102" s="146"/>
      <c r="C102" s="146"/>
    </row>
    <row r="103" spans="1:3" x14ac:dyDescent="0.25">
      <c r="A103" s="146"/>
      <c r="B103" s="146"/>
      <c r="C103" s="146"/>
    </row>
    <row r="104" spans="1:3" x14ac:dyDescent="0.25">
      <c r="A104" s="146"/>
      <c r="B104" s="146"/>
      <c r="C104" s="146"/>
    </row>
    <row r="105" spans="1:3" x14ac:dyDescent="0.25">
      <c r="A105" s="146"/>
      <c r="B105" s="146"/>
      <c r="C105" s="146"/>
    </row>
    <row r="106" spans="1:3" x14ac:dyDescent="0.25">
      <c r="A106" s="146"/>
      <c r="B106" s="146"/>
      <c r="C106" s="146"/>
    </row>
    <row r="107" spans="1:3" x14ac:dyDescent="0.25">
      <c r="A107" s="146"/>
      <c r="B107" s="146"/>
      <c r="C107" s="146"/>
    </row>
    <row r="108" spans="1:3" x14ac:dyDescent="0.25">
      <c r="A108" s="146"/>
      <c r="B108" s="146"/>
      <c r="C108" s="146"/>
    </row>
    <row r="109" spans="1:3" x14ac:dyDescent="0.25">
      <c r="A109" s="146"/>
      <c r="B109" s="146"/>
      <c r="C109" s="146"/>
    </row>
    <row r="110" spans="1:3" x14ac:dyDescent="0.25">
      <c r="A110" s="146"/>
      <c r="B110" s="146"/>
      <c r="C110" s="146"/>
    </row>
    <row r="111" spans="1:3" x14ac:dyDescent="0.25">
      <c r="A111" s="146"/>
      <c r="B111" s="146"/>
      <c r="C111" s="146"/>
    </row>
    <row r="112" spans="1:3" x14ac:dyDescent="0.25">
      <c r="A112" s="146"/>
      <c r="B112" s="146"/>
      <c r="C112" s="146"/>
    </row>
    <row r="113" spans="1:3" x14ac:dyDescent="0.25">
      <c r="A113" s="146"/>
      <c r="B113" s="146"/>
      <c r="C113" s="146"/>
    </row>
    <row r="114" spans="1:3" x14ac:dyDescent="0.25">
      <c r="A114" s="146"/>
      <c r="B114" s="146"/>
      <c r="C114" s="146"/>
    </row>
    <row r="115" spans="1:3" x14ac:dyDescent="0.25">
      <c r="A115" s="146"/>
      <c r="B115" s="146"/>
      <c r="C115" s="146"/>
    </row>
    <row r="116" spans="1:3" x14ac:dyDescent="0.25">
      <c r="A116" s="146"/>
      <c r="B116" s="146"/>
      <c r="C116" s="146"/>
    </row>
    <row r="117" spans="1:3" x14ac:dyDescent="0.25">
      <c r="A117" s="146"/>
      <c r="B117" s="146"/>
      <c r="C117" s="146"/>
    </row>
    <row r="118" spans="1:3" x14ac:dyDescent="0.25">
      <c r="A118" s="146"/>
      <c r="B118" s="146"/>
      <c r="C118" s="146"/>
    </row>
    <row r="119" spans="1:3" x14ac:dyDescent="0.25">
      <c r="A119" s="146"/>
      <c r="B119" s="146"/>
      <c r="C119" s="146"/>
    </row>
    <row r="120" spans="1:3" x14ac:dyDescent="0.25">
      <c r="A120" s="146"/>
      <c r="B120" s="146"/>
      <c r="C120" s="146"/>
    </row>
    <row r="121" spans="1:3" x14ac:dyDescent="0.25">
      <c r="A121" s="146"/>
      <c r="B121" s="146"/>
      <c r="C121" s="146"/>
    </row>
    <row r="122" spans="1:3" x14ac:dyDescent="0.25">
      <c r="A122" s="146"/>
      <c r="B122" s="146"/>
      <c r="C122" s="146"/>
    </row>
    <row r="123" spans="1:3" x14ac:dyDescent="0.25">
      <c r="A123" s="146"/>
      <c r="B123" s="146"/>
      <c r="C123" s="146"/>
    </row>
    <row r="124" spans="1:3" x14ac:dyDescent="0.25">
      <c r="A124" s="146"/>
      <c r="B124" s="146"/>
      <c r="C124" s="146"/>
    </row>
    <row r="125" spans="1:3" x14ac:dyDescent="0.25">
      <c r="A125" s="146"/>
      <c r="B125" s="146"/>
      <c r="C125" s="146"/>
    </row>
    <row r="126" spans="1:3" x14ac:dyDescent="0.25">
      <c r="A126" s="146"/>
      <c r="B126" s="146"/>
      <c r="C126" s="146"/>
    </row>
    <row r="127" spans="1:3" x14ac:dyDescent="0.25">
      <c r="A127" s="146"/>
      <c r="B127" s="146"/>
      <c r="C127" s="146"/>
    </row>
    <row r="128" spans="1:3" x14ac:dyDescent="0.25">
      <c r="A128" s="146"/>
      <c r="B128" s="146"/>
      <c r="C128" s="146"/>
    </row>
    <row r="129" spans="1:3" x14ac:dyDescent="0.25">
      <c r="A129" s="146"/>
      <c r="B129" s="146"/>
      <c r="C129" s="146"/>
    </row>
    <row r="130" spans="1:3" x14ac:dyDescent="0.25">
      <c r="A130" s="146"/>
      <c r="B130" s="146"/>
      <c r="C130" s="146"/>
    </row>
    <row r="131" spans="1:3" x14ac:dyDescent="0.25">
      <c r="A131" s="146"/>
      <c r="B131" s="146"/>
      <c r="C131" s="146"/>
    </row>
    <row r="132" spans="1:3" x14ac:dyDescent="0.25">
      <c r="A132" s="146"/>
      <c r="B132" s="146"/>
      <c r="C132" s="146"/>
    </row>
    <row r="133" spans="1:3" x14ac:dyDescent="0.25">
      <c r="A133" s="146"/>
      <c r="B133" s="146"/>
      <c r="C133" s="146"/>
    </row>
    <row r="134" spans="1:3" x14ac:dyDescent="0.25">
      <c r="A134" s="146"/>
      <c r="B134" s="146"/>
      <c r="C134" s="146"/>
    </row>
    <row r="135" spans="1:3" x14ac:dyDescent="0.25">
      <c r="A135" s="146"/>
      <c r="B135" s="146"/>
      <c r="C135" s="146"/>
    </row>
    <row r="136" spans="1:3" x14ac:dyDescent="0.25">
      <c r="A136" s="146"/>
      <c r="B136" s="146"/>
      <c r="C136" s="146"/>
    </row>
    <row r="137" spans="1:3" x14ac:dyDescent="0.25">
      <c r="A137" s="146"/>
      <c r="B137" s="146"/>
      <c r="C137" s="146"/>
    </row>
    <row r="138" spans="1:3" x14ac:dyDescent="0.25">
      <c r="A138" s="146"/>
      <c r="B138" s="146"/>
      <c r="C138" s="146"/>
    </row>
    <row r="139" spans="1:3" x14ac:dyDescent="0.25">
      <c r="A139" s="146"/>
      <c r="B139" s="146"/>
      <c r="C139" s="146"/>
    </row>
    <row r="140" spans="1:3" x14ac:dyDescent="0.25">
      <c r="A140" s="146"/>
      <c r="B140" s="146"/>
      <c r="C140" s="146"/>
    </row>
    <row r="141" spans="1:3" x14ac:dyDescent="0.25">
      <c r="A141" s="146"/>
      <c r="B141" s="146"/>
      <c r="C141" s="146"/>
    </row>
    <row r="142" spans="1:3" x14ac:dyDescent="0.25">
      <c r="A142" s="146"/>
      <c r="B142" s="146"/>
      <c r="C142" s="146"/>
    </row>
    <row r="143" spans="1:3" x14ac:dyDescent="0.25">
      <c r="A143" s="146"/>
      <c r="B143" s="146"/>
      <c r="C143" s="146"/>
    </row>
    <row r="144" spans="1:3" x14ac:dyDescent="0.25">
      <c r="A144" s="146"/>
      <c r="B144" s="146"/>
      <c r="C144" s="146"/>
    </row>
    <row r="145" spans="1:3" x14ac:dyDescent="0.25">
      <c r="A145" s="146"/>
      <c r="B145" s="146"/>
      <c r="C145" s="146"/>
    </row>
    <row r="146" spans="1:3" x14ac:dyDescent="0.25">
      <c r="A146" s="146"/>
      <c r="B146" s="146"/>
      <c r="C146" s="146"/>
    </row>
    <row r="147" spans="1:3" x14ac:dyDescent="0.25">
      <c r="A147" s="146"/>
      <c r="B147" s="146"/>
      <c r="C147" s="146"/>
    </row>
    <row r="148" spans="1:3" x14ac:dyDescent="0.25">
      <c r="A148" s="146"/>
      <c r="B148" s="146"/>
      <c r="C148" s="146"/>
    </row>
    <row r="149" spans="1:3" x14ac:dyDescent="0.25">
      <c r="A149" s="146"/>
      <c r="B149" s="146"/>
      <c r="C149" s="146"/>
    </row>
    <row r="150" spans="1:3" x14ac:dyDescent="0.25">
      <c r="A150" s="146"/>
      <c r="B150" s="146"/>
      <c r="C150" s="146"/>
    </row>
    <row r="151" spans="1:3" x14ac:dyDescent="0.25">
      <c r="A151" s="146"/>
      <c r="B151" s="146"/>
      <c r="C151" s="146"/>
    </row>
    <row r="152" spans="1:3" x14ac:dyDescent="0.25">
      <c r="A152" s="146"/>
      <c r="B152" s="146"/>
      <c r="C152" s="146"/>
    </row>
    <row r="153" spans="1:3" x14ac:dyDescent="0.25">
      <c r="A153" s="146"/>
      <c r="B153" s="146"/>
      <c r="C153" s="146"/>
    </row>
    <row r="154" spans="1:3" x14ac:dyDescent="0.25">
      <c r="A154" s="146"/>
      <c r="B154" s="146"/>
      <c r="C154" s="146"/>
    </row>
    <row r="155" spans="1:3" x14ac:dyDescent="0.25">
      <c r="A155" s="146"/>
      <c r="B155" s="146"/>
      <c r="C155" s="146"/>
    </row>
    <row r="156" spans="1:3" x14ac:dyDescent="0.25">
      <c r="A156" s="146"/>
      <c r="B156" s="146"/>
      <c r="C156" s="146"/>
    </row>
    <row r="157" spans="1:3" x14ac:dyDescent="0.25">
      <c r="A157" s="146"/>
      <c r="B157" s="146"/>
      <c r="C157" s="146"/>
    </row>
    <row r="158" spans="1:3" x14ac:dyDescent="0.25">
      <c r="A158" s="146"/>
      <c r="B158" s="146"/>
      <c r="C158" s="146"/>
    </row>
    <row r="159" spans="1:3" x14ac:dyDescent="0.25">
      <c r="A159" s="146"/>
      <c r="B159" s="146"/>
      <c r="C159" s="146"/>
    </row>
    <row r="160" spans="1:3" x14ac:dyDescent="0.25">
      <c r="A160" s="146"/>
      <c r="B160" s="146"/>
      <c r="C160" s="146"/>
    </row>
    <row r="161" spans="1:3" x14ac:dyDescent="0.25">
      <c r="A161" s="146"/>
      <c r="B161" s="146"/>
      <c r="C161" s="146"/>
    </row>
    <row r="162" spans="1:3" x14ac:dyDescent="0.25">
      <c r="A162" s="146"/>
      <c r="B162" s="146"/>
      <c r="C162" s="146"/>
    </row>
    <row r="163" spans="1:3" x14ac:dyDescent="0.25">
      <c r="A163" s="146"/>
      <c r="B163" s="146"/>
      <c r="C163" s="146"/>
    </row>
    <row r="164" spans="1:3" x14ac:dyDescent="0.25">
      <c r="A164" s="146"/>
      <c r="B164" s="146"/>
      <c r="C164" s="146"/>
    </row>
    <row r="165" spans="1:3" x14ac:dyDescent="0.25">
      <c r="A165" s="146"/>
      <c r="B165" s="146"/>
      <c r="C165" s="146"/>
    </row>
    <row r="166" spans="1:3" x14ac:dyDescent="0.25">
      <c r="A166" s="146"/>
      <c r="B166" s="146"/>
      <c r="C166" s="146"/>
    </row>
    <row r="167" spans="1:3" x14ac:dyDescent="0.25">
      <c r="A167" s="146"/>
      <c r="B167" s="146"/>
      <c r="C167" s="146"/>
    </row>
    <row r="168" spans="1:3" x14ac:dyDescent="0.25">
      <c r="A168" s="146"/>
      <c r="B168" s="146"/>
      <c r="C168" s="146"/>
    </row>
    <row r="169" spans="1:3" x14ac:dyDescent="0.25">
      <c r="A169" s="146"/>
      <c r="B169" s="146"/>
      <c r="C169" s="146"/>
    </row>
    <row r="170" spans="1:3" x14ac:dyDescent="0.25">
      <c r="A170" s="146"/>
      <c r="B170" s="146"/>
      <c r="C170" s="146"/>
    </row>
    <row r="171" spans="1:3" x14ac:dyDescent="0.25">
      <c r="A171" s="146"/>
      <c r="B171" s="146"/>
      <c r="C171" s="146"/>
    </row>
    <row r="172" spans="1:3" x14ac:dyDescent="0.25">
      <c r="A172" s="146"/>
      <c r="B172" s="146"/>
      <c r="C172" s="146"/>
    </row>
    <row r="173" spans="1:3" x14ac:dyDescent="0.25">
      <c r="A173" s="146"/>
      <c r="B173" s="146"/>
      <c r="C173" s="146"/>
    </row>
    <row r="174" spans="1:3" x14ac:dyDescent="0.25">
      <c r="A174" s="146"/>
      <c r="B174" s="146"/>
      <c r="C174" s="146"/>
    </row>
    <row r="175" spans="1:3" x14ac:dyDescent="0.25">
      <c r="A175" s="146"/>
      <c r="B175" s="146"/>
      <c r="C175" s="146"/>
    </row>
    <row r="176" spans="1:3" x14ac:dyDescent="0.25">
      <c r="A176" s="146"/>
      <c r="B176" s="146"/>
      <c r="C176" s="146"/>
    </row>
    <row r="177" spans="1:3" x14ac:dyDescent="0.25">
      <c r="A177" s="146"/>
      <c r="B177" s="146"/>
      <c r="C177" s="146"/>
    </row>
    <row r="178" spans="1:3" x14ac:dyDescent="0.25">
      <c r="A178" s="146"/>
      <c r="B178" s="146"/>
      <c r="C178" s="146"/>
    </row>
    <row r="179" spans="1:3" x14ac:dyDescent="0.25">
      <c r="A179" s="146"/>
      <c r="B179" s="146"/>
      <c r="C179" s="146"/>
    </row>
    <row r="180" spans="1:3" x14ac:dyDescent="0.25">
      <c r="A180" s="146"/>
      <c r="B180" s="146"/>
      <c r="C180" s="146"/>
    </row>
    <row r="181" spans="1:3" x14ac:dyDescent="0.25">
      <c r="A181" s="146"/>
      <c r="B181" s="146"/>
      <c r="C181" s="146"/>
    </row>
    <row r="182" spans="1:3" x14ac:dyDescent="0.25">
      <c r="A182" s="146"/>
      <c r="B182" s="146"/>
      <c r="C182" s="146"/>
    </row>
    <row r="183" spans="1:3" x14ac:dyDescent="0.25">
      <c r="A183" s="146"/>
      <c r="B183" s="146"/>
      <c r="C183" s="146"/>
    </row>
    <row r="184" spans="1:3" x14ac:dyDescent="0.25">
      <c r="A184" s="146"/>
      <c r="B184" s="146"/>
      <c r="C184" s="146"/>
    </row>
    <row r="185" spans="1:3" x14ac:dyDescent="0.25">
      <c r="A185" s="146"/>
      <c r="B185" s="146"/>
      <c r="C185" s="146"/>
    </row>
    <row r="186" spans="1:3" x14ac:dyDescent="0.25">
      <c r="A186" s="146"/>
      <c r="B186" s="146"/>
      <c r="C186" s="146"/>
    </row>
    <row r="187" spans="1:3" x14ac:dyDescent="0.25">
      <c r="A187" s="146"/>
      <c r="B187" s="146"/>
      <c r="C187" s="146"/>
    </row>
    <row r="188" spans="1:3" x14ac:dyDescent="0.25">
      <c r="A188" s="146"/>
      <c r="B188" s="146"/>
      <c r="C188" s="146"/>
    </row>
    <row r="189" spans="1:3" x14ac:dyDescent="0.25">
      <c r="A189" s="146"/>
      <c r="B189" s="146"/>
      <c r="C189" s="146"/>
    </row>
    <row r="190" spans="1:3" x14ac:dyDescent="0.25">
      <c r="A190" s="146"/>
      <c r="B190" s="146"/>
      <c r="C190" s="146"/>
    </row>
    <row r="191" spans="1:3" x14ac:dyDescent="0.25">
      <c r="A191" s="146"/>
      <c r="B191" s="146"/>
      <c r="C191" s="146"/>
    </row>
    <row r="192" spans="1:3" x14ac:dyDescent="0.25">
      <c r="A192" s="146"/>
      <c r="B192" s="146"/>
      <c r="C192" s="146"/>
    </row>
    <row r="193" spans="1:3" x14ac:dyDescent="0.25">
      <c r="A193" s="146"/>
      <c r="B193" s="146"/>
      <c r="C193" s="146"/>
    </row>
    <row r="194" spans="1:3" x14ac:dyDescent="0.25">
      <c r="A194" s="146"/>
      <c r="B194" s="146"/>
      <c r="C194" s="146"/>
    </row>
    <row r="195" spans="1:3" x14ac:dyDescent="0.25">
      <c r="A195" s="146"/>
      <c r="B195" s="146"/>
      <c r="C195" s="146"/>
    </row>
    <row r="196" spans="1:3" x14ac:dyDescent="0.25">
      <c r="A196" s="146"/>
      <c r="B196" s="146"/>
      <c r="C196" s="146"/>
    </row>
    <row r="197" spans="1:3" x14ac:dyDescent="0.25">
      <c r="A197" s="146"/>
      <c r="B197" s="146"/>
      <c r="C197" s="146"/>
    </row>
    <row r="198" spans="1:3" x14ac:dyDescent="0.25">
      <c r="A198" s="146"/>
      <c r="B198" s="146"/>
      <c r="C198" s="146"/>
    </row>
    <row r="199" spans="1:3" x14ac:dyDescent="0.25">
      <c r="A199" s="146"/>
      <c r="B199" s="146"/>
      <c r="C199" s="146"/>
    </row>
    <row r="200" spans="1:3" x14ac:dyDescent="0.25">
      <c r="A200" s="146"/>
      <c r="B200" s="146"/>
      <c r="C200" s="146"/>
    </row>
    <row r="201" spans="1:3" x14ac:dyDescent="0.25">
      <c r="A201" s="146"/>
      <c r="B201" s="146"/>
      <c r="C201" s="146"/>
    </row>
    <row r="202" spans="1:3" x14ac:dyDescent="0.25">
      <c r="A202" s="146"/>
      <c r="B202" s="146"/>
      <c r="C202" s="146"/>
    </row>
    <row r="203" spans="1:3" x14ac:dyDescent="0.25">
      <c r="A203" s="146"/>
      <c r="B203" s="146"/>
      <c r="C203" s="146"/>
    </row>
    <row r="204" spans="1:3" x14ac:dyDescent="0.25">
      <c r="A204" s="146"/>
      <c r="B204" s="146"/>
      <c r="C204" s="146"/>
    </row>
    <row r="205" spans="1:3" x14ac:dyDescent="0.25">
      <c r="A205" s="146"/>
      <c r="B205" s="146"/>
      <c r="C205" s="146"/>
    </row>
    <row r="206" spans="1:3" x14ac:dyDescent="0.25">
      <c r="A206" s="146"/>
      <c r="B206" s="146"/>
      <c r="C206" s="146"/>
    </row>
    <row r="207" spans="1:3" x14ac:dyDescent="0.25">
      <c r="A207" s="146"/>
      <c r="B207" s="146"/>
      <c r="C207" s="146"/>
    </row>
    <row r="208" spans="1:3" x14ac:dyDescent="0.25">
      <c r="A208" s="146"/>
      <c r="B208" s="146"/>
      <c r="C208" s="146"/>
    </row>
    <row r="209" spans="1:3" x14ac:dyDescent="0.25">
      <c r="A209" s="146"/>
      <c r="B209" s="146"/>
      <c r="C209" s="146"/>
    </row>
    <row r="210" spans="1:3" x14ac:dyDescent="0.25">
      <c r="A210" s="146"/>
      <c r="B210" s="146"/>
      <c r="C210" s="146"/>
    </row>
    <row r="211" spans="1:3" x14ac:dyDescent="0.25">
      <c r="A211" s="146"/>
      <c r="B211" s="146"/>
      <c r="C211" s="146"/>
    </row>
    <row r="212" spans="1:3" x14ac:dyDescent="0.25">
      <c r="A212" s="146"/>
      <c r="B212" s="146"/>
      <c r="C212" s="146"/>
    </row>
    <row r="213" spans="1:3" x14ac:dyDescent="0.25">
      <c r="A213" s="146"/>
      <c r="B213" s="146"/>
      <c r="C213" s="146"/>
    </row>
    <row r="214" spans="1:3" x14ac:dyDescent="0.25">
      <c r="A214" s="146"/>
      <c r="B214" s="146"/>
      <c r="C214" s="146"/>
    </row>
    <row r="215" spans="1:3" x14ac:dyDescent="0.25">
      <c r="A215" s="146"/>
      <c r="B215" s="146"/>
      <c r="C215" s="146"/>
    </row>
    <row r="216" spans="1:3" x14ac:dyDescent="0.25">
      <c r="A216" s="146"/>
      <c r="B216" s="146"/>
      <c r="C216" s="146"/>
    </row>
    <row r="217" spans="1:3" x14ac:dyDescent="0.25">
      <c r="A217" s="146"/>
      <c r="B217" s="146"/>
      <c r="C217" s="146"/>
    </row>
    <row r="218" spans="1:3" x14ac:dyDescent="0.25">
      <c r="A218" s="146"/>
      <c r="B218" s="146"/>
      <c r="C218" s="146"/>
    </row>
    <row r="219" spans="1:3" x14ac:dyDescent="0.25">
      <c r="A219" s="146"/>
      <c r="B219" s="146"/>
      <c r="C219" s="146"/>
    </row>
    <row r="220" spans="1:3" x14ac:dyDescent="0.25">
      <c r="A220" s="146"/>
      <c r="B220" s="146"/>
      <c r="C220" s="146"/>
    </row>
    <row r="221" spans="1:3" x14ac:dyDescent="0.25">
      <c r="A221" s="146"/>
      <c r="B221" s="146"/>
      <c r="C221" s="146"/>
    </row>
    <row r="222" spans="1:3" x14ac:dyDescent="0.25">
      <c r="A222" s="146"/>
      <c r="B222" s="146"/>
      <c r="C222" s="146"/>
    </row>
    <row r="223" spans="1:3" x14ac:dyDescent="0.25">
      <c r="A223" s="146"/>
      <c r="B223" s="146"/>
      <c r="C223" s="146"/>
    </row>
    <row r="224" spans="1:3" x14ac:dyDescent="0.25">
      <c r="A224" s="146"/>
      <c r="B224" s="146"/>
      <c r="C224" s="146"/>
    </row>
    <row r="225" spans="1:3" x14ac:dyDescent="0.25">
      <c r="A225" s="146"/>
      <c r="B225" s="146"/>
      <c r="C225" s="146"/>
    </row>
    <row r="226" spans="1:3" x14ac:dyDescent="0.25">
      <c r="A226" s="146"/>
      <c r="B226" s="146"/>
      <c r="C226" s="146"/>
    </row>
    <row r="227" spans="1:3" x14ac:dyDescent="0.25">
      <c r="A227" s="146"/>
      <c r="B227" s="146"/>
      <c r="C227" s="146"/>
    </row>
    <row r="228" spans="1:3" x14ac:dyDescent="0.25">
      <c r="A228" s="146"/>
      <c r="B228" s="146"/>
      <c r="C228" s="146"/>
    </row>
    <row r="229" spans="1:3" x14ac:dyDescent="0.25">
      <c r="A229" s="146"/>
      <c r="B229" s="146"/>
      <c r="C229" s="146"/>
    </row>
    <row r="230" spans="1:3" x14ac:dyDescent="0.25">
      <c r="A230" s="146"/>
      <c r="B230" s="146"/>
      <c r="C230" s="146"/>
    </row>
    <row r="231" spans="1:3" x14ac:dyDescent="0.25">
      <c r="A231" s="146"/>
      <c r="B231" s="146"/>
      <c r="C231" s="146"/>
    </row>
    <row r="232" spans="1:3" x14ac:dyDescent="0.25">
      <c r="A232" s="146"/>
      <c r="B232" s="146"/>
      <c r="C232" s="146"/>
    </row>
    <row r="233" spans="1:3" x14ac:dyDescent="0.25">
      <c r="A233" s="146"/>
      <c r="B233" s="146"/>
      <c r="C233" s="146"/>
    </row>
    <row r="234" spans="1:3" x14ac:dyDescent="0.25">
      <c r="A234" s="146"/>
      <c r="B234" s="146"/>
      <c r="C234" s="146"/>
    </row>
    <row r="235" spans="1:3" x14ac:dyDescent="0.25">
      <c r="A235" s="146"/>
      <c r="B235" s="146"/>
      <c r="C235" s="146"/>
    </row>
    <row r="236" spans="1:3" x14ac:dyDescent="0.25">
      <c r="A236" s="146"/>
      <c r="B236" s="146"/>
      <c r="C236" s="146"/>
    </row>
    <row r="237" spans="1:3" x14ac:dyDescent="0.25">
      <c r="A237" s="146"/>
      <c r="B237" s="146"/>
      <c r="C237" s="146"/>
    </row>
    <row r="238" spans="1:3" x14ac:dyDescent="0.25">
      <c r="A238" s="146"/>
      <c r="B238" s="146"/>
      <c r="C238" s="146"/>
    </row>
    <row r="239" spans="1:3" x14ac:dyDescent="0.25">
      <c r="A239" s="146"/>
      <c r="B239" s="146"/>
      <c r="C239" s="146"/>
    </row>
    <row r="240" spans="1:3" x14ac:dyDescent="0.25">
      <c r="A240" s="146"/>
      <c r="B240" s="146"/>
      <c r="C240" s="146"/>
    </row>
    <row r="241" spans="1:3" x14ac:dyDescent="0.25">
      <c r="A241" s="146"/>
      <c r="B241" s="146"/>
      <c r="C241" s="146"/>
    </row>
    <row r="242" spans="1:3" x14ac:dyDescent="0.25">
      <c r="A242" s="146"/>
      <c r="B242" s="146"/>
      <c r="C242" s="146"/>
    </row>
    <row r="243" spans="1:3" x14ac:dyDescent="0.25">
      <c r="A243" s="146"/>
      <c r="B243" s="146"/>
      <c r="C243" s="146"/>
    </row>
    <row r="244" spans="1:3" x14ac:dyDescent="0.25">
      <c r="A244" s="146"/>
      <c r="B244" s="146"/>
      <c r="C244" s="146"/>
    </row>
    <row r="245" spans="1:3" x14ac:dyDescent="0.25">
      <c r="A245" s="146"/>
      <c r="B245" s="146"/>
      <c r="C245" s="146"/>
    </row>
    <row r="246" spans="1:3" x14ac:dyDescent="0.25">
      <c r="A246" s="146"/>
      <c r="B246" s="146"/>
      <c r="C246" s="146"/>
    </row>
    <row r="247" spans="1:3" x14ac:dyDescent="0.25">
      <c r="A247" s="146"/>
      <c r="B247" s="146"/>
      <c r="C247" s="146"/>
    </row>
    <row r="248" spans="1:3" x14ac:dyDescent="0.25">
      <c r="A248" s="146"/>
      <c r="B248" s="146"/>
      <c r="C248" s="146"/>
    </row>
    <row r="249" spans="1:3" x14ac:dyDescent="0.25">
      <c r="A249" s="146"/>
      <c r="B249" s="146"/>
      <c r="C249" s="146"/>
    </row>
    <row r="250" spans="1:3" x14ac:dyDescent="0.25">
      <c r="A250" s="146"/>
      <c r="B250" s="146"/>
      <c r="C250" s="146"/>
    </row>
    <row r="251" spans="1:3" x14ac:dyDescent="0.25">
      <c r="A251" s="146"/>
      <c r="B251" s="146"/>
      <c r="C251" s="146"/>
    </row>
    <row r="252" spans="1:3" x14ac:dyDescent="0.25">
      <c r="A252" s="146"/>
      <c r="B252" s="146"/>
      <c r="C252" s="146"/>
    </row>
    <row r="253" spans="1:3" x14ac:dyDescent="0.25">
      <c r="A253" s="146"/>
      <c r="B253" s="146"/>
      <c r="C253" s="146"/>
    </row>
    <row r="254" spans="1:3" x14ac:dyDescent="0.25">
      <c r="A254" s="146"/>
      <c r="B254" s="146"/>
      <c r="C254" s="146"/>
    </row>
    <row r="255" spans="1:3" x14ac:dyDescent="0.25">
      <c r="A255" s="146"/>
      <c r="B255" s="146"/>
      <c r="C255" s="146"/>
    </row>
    <row r="256" spans="1:3" x14ac:dyDescent="0.25">
      <c r="A256" s="146"/>
      <c r="B256" s="146"/>
      <c r="C256" s="146"/>
    </row>
    <row r="257" spans="1:3" x14ac:dyDescent="0.25">
      <c r="A257" s="146"/>
      <c r="B257" s="146"/>
      <c r="C257" s="146"/>
    </row>
    <row r="258" spans="1:3" x14ac:dyDescent="0.25">
      <c r="A258" s="146"/>
      <c r="B258" s="146"/>
      <c r="C258" s="146"/>
    </row>
    <row r="259" spans="1:3" x14ac:dyDescent="0.25">
      <c r="A259" s="146"/>
      <c r="B259" s="146"/>
      <c r="C259" s="146"/>
    </row>
    <row r="260" spans="1:3" x14ac:dyDescent="0.25">
      <c r="A260" s="146"/>
      <c r="B260" s="146"/>
      <c r="C260" s="146"/>
    </row>
    <row r="261" spans="1:3" x14ac:dyDescent="0.25">
      <c r="A261" s="146"/>
      <c r="B261" s="146"/>
      <c r="C261" s="146"/>
    </row>
    <row r="262" spans="1:3" x14ac:dyDescent="0.25">
      <c r="A262" s="146"/>
      <c r="B262" s="146"/>
      <c r="C262" s="146"/>
    </row>
    <row r="263" spans="1:3" x14ac:dyDescent="0.25">
      <c r="A263" s="146"/>
      <c r="B263" s="146"/>
      <c r="C263" s="146"/>
    </row>
    <row r="264" spans="1:3" x14ac:dyDescent="0.25">
      <c r="A264" s="146"/>
      <c r="B264" s="146"/>
      <c r="C264" s="146"/>
    </row>
    <row r="265" spans="1:3" x14ac:dyDescent="0.25">
      <c r="A265" s="146"/>
      <c r="B265" s="146"/>
      <c r="C265" s="146"/>
    </row>
    <row r="266" spans="1:3" x14ac:dyDescent="0.25">
      <c r="A266" s="146"/>
      <c r="B266" s="146"/>
      <c r="C266" s="146"/>
    </row>
    <row r="267" spans="1:3" x14ac:dyDescent="0.25">
      <c r="A267" s="146"/>
      <c r="B267" s="146"/>
      <c r="C267" s="146"/>
    </row>
    <row r="268" spans="1:3" x14ac:dyDescent="0.25">
      <c r="A268" s="146"/>
      <c r="B268" s="146"/>
      <c r="C268" s="146"/>
    </row>
    <row r="269" spans="1:3" x14ac:dyDescent="0.25">
      <c r="A269" s="146"/>
      <c r="B269" s="146"/>
      <c r="C269" s="146"/>
    </row>
    <row r="270" spans="1:3" x14ac:dyDescent="0.25">
      <c r="A270" s="146"/>
      <c r="B270" s="146"/>
      <c r="C270" s="146"/>
    </row>
    <row r="271" spans="1:3" x14ac:dyDescent="0.25">
      <c r="A271" s="146"/>
      <c r="B271" s="146"/>
      <c r="C271" s="146"/>
    </row>
    <row r="272" spans="1:3" x14ac:dyDescent="0.25">
      <c r="A272" s="146"/>
      <c r="B272" s="146"/>
      <c r="C272" s="146"/>
    </row>
    <row r="273" spans="1:3" x14ac:dyDescent="0.25">
      <c r="A273" s="146"/>
      <c r="B273" s="146"/>
      <c r="C273" s="146"/>
    </row>
    <row r="274" spans="1:3" x14ac:dyDescent="0.25">
      <c r="A274" s="146"/>
      <c r="B274" s="146"/>
      <c r="C274" s="146"/>
    </row>
    <row r="275" spans="1:3" x14ac:dyDescent="0.25">
      <c r="A275" s="146"/>
      <c r="B275" s="146"/>
      <c r="C275" s="146"/>
    </row>
    <row r="276" spans="1:3" x14ac:dyDescent="0.25">
      <c r="A276" s="146"/>
      <c r="B276" s="146"/>
      <c r="C276" s="146"/>
    </row>
    <row r="277" spans="1:3" x14ac:dyDescent="0.25">
      <c r="A277" s="146"/>
      <c r="B277" s="146"/>
      <c r="C277" s="146"/>
    </row>
    <row r="278" spans="1:3" x14ac:dyDescent="0.25">
      <c r="A278" s="146"/>
      <c r="B278" s="146"/>
      <c r="C278" s="146"/>
    </row>
    <row r="279" spans="1:3" x14ac:dyDescent="0.25">
      <c r="A279" s="146"/>
      <c r="B279" s="146"/>
      <c r="C279" s="146"/>
    </row>
    <row r="280" spans="1:3" x14ac:dyDescent="0.25">
      <c r="A280" s="146"/>
      <c r="B280" s="146"/>
      <c r="C280" s="146"/>
    </row>
    <row r="281" spans="1:3" x14ac:dyDescent="0.25">
      <c r="A281" s="146"/>
      <c r="B281" s="146"/>
      <c r="C281" s="146"/>
    </row>
    <row r="282" spans="1:3" x14ac:dyDescent="0.25">
      <c r="A282" s="146"/>
      <c r="B282" s="146"/>
      <c r="C282" s="146"/>
    </row>
    <row r="283" spans="1:3" x14ac:dyDescent="0.25">
      <c r="A283" s="146"/>
      <c r="B283" s="146"/>
      <c r="C283" s="146"/>
    </row>
    <row r="284" spans="1:3" x14ac:dyDescent="0.25">
      <c r="A284" s="146"/>
      <c r="B284" s="146"/>
      <c r="C284" s="146"/>
    </row>
    <row r="285" spans="1:3" x14ac:dyDescent="0.25">
      <c r="A285" s="146"/>
      <c r="B285" s="146"/>
      <c r="C285" s="146"/>
    </row>
    <row r="286" spans="1:3" x14ac:dyDescent="0.25">
      <c r="A286" s="146"/>
      <c r="B286" s="146"/>
      <c r="C286" s="146"/>
    </row>
    <row r="287" spans="1:3" x14ac:dyDescent="0.25">
      <c r="A287" s="146"/>
      <c r="B287" s="146"/>
      <c r="C287" s="146"/>
    </row>
    <row r="288" spans="1:3" x14ac:dyDescent="0.25">
      <c r="A288" s="146"/>
      <c r="B288" s="146"/>
      <c r="C288" s="146"/>
    </row>
    <row r="289" spans="1:3" x14ac:dyDescent="0.25">
      <c r="A289" s="146"/>
      <c r="B289" s="146"/>
      <c r="C289" s="146"/>
    </row>
    <row r="290" spans="1:3" x14ac:dyDescent="0.25">
      <c r="A290" s="146"/>
      <c r="B290" s="146"/>
      <c r="C290" s="146"/>
    </row>
    <row r="291" spans="1:3" x14ac:dyDescent="0.25">
      <c r="A291" s="146"/>
      <c r="B291" s="146"/>
      <c r="C291" s="146"/>
    </row>
    <row r="292" spans="1:3" x14ac:dyDescent="0.25">
      <c r="A292" s="146"/>
      <c r="B292" s="146"/>
      <c r="C292" s="146"/>
    </row>
    <row r="293" spans="1:3" x14ac:dyDescent="0.25">
      <c r="A293" s="146"/>
      <c r="B293" s="146"/>
      <c r="C293" s="146"/>
    </row>
    <row r="294" spans="1:3" x14ac:dyDescent="0.25">
      <c r="A294" s="146"/>
      <c r="B294" s="146"/>
      <c r="C294" s="146"/>
    </row>
    <row r="295" spans="1:3" x14ac:dyDescent="0.25">
      <c r="A295" s="146"/>
      <c r="B295" s="146"/>
      <c r="C295" s="146"/>
    </row>
    <row r="296" spans="1:3" x14ac:dyDescent="0.25">
      <c r="A296" s="146"/>
      <c r="B296" s="146"/>
      <c r="C296" s="146"/>
    </row>
    <row r="297" spans="1:3" x14ac:dyDescent="0.25">
      <c r="A297" s="146"/>
      <c r="B297" s="146"/>
      <c r="C297" s="146"/>
    </row>
    <row r="298" spans="1:3" x14ac:dyDescent="0.25">
      <c r="A298" s="146"/>
      <c r="B298" s="146"/>
      <c r="C298" s="146"/>
    </row>
    <row r="299" spans="1:3" x14ac:dyDescent="0.25">
      <c r="A299" s="146"/>
      <c r="B299" s="146"/>
      <c r="C299" s="146"/>
    </row>
    <row r="300" spans="1:3" x14ac:dyDescent="0.25">
      <c r="A300" s="146"/>
      <c r="B300" s="146"/>
      <c r="C300" s="146"/>
    </row>
    <row r="301" spans="1:3" x14ac:dyDescent="0.25">
      <c r="A301" s="146"/>
      <c r="B301" s="146"/>
      <c r="C301" s="146"/>
    </row>
    <row r="302" spans="1:3" x14ac:dyDescent="0.25">
      <c r="A302" s="146"/>
      <c r="B302" s="146"/>
      <c r="C302" s="146"/>
    </row>
    <row r="303" spans="1:3" x14ac:dyDescent="0.25">
      <c r="A303" s="146"/>
      <c r="B303" s="146"/>
      <c r="C303" s="146"/>
    </row>
    <row r="304" spans="1:3" x14ac:dyDescent="0.25">
      <c r="A304" s="146"/>
      <c r="B304" s="146"/>
      <c r="C304" s="146"/>
    </row>
    <row r="305" spans="1:3" x14ac:dyDescent="0.25">
      <c r="A305" s="146"/>
      <c r="B305" s="146"/>
      <c r="C305" s="146"/>
    </row>
    <row r="306" spans="1:3" x14ac:dyDescent="0.25">
      <c r="A306" s="146"/>
      <c r="B306" s="146"/>
      <c r="C306" s="146"/>
    </row>
    <row r="307" spans="1:3" x14ac:dyDescent="0.25">
      <c r="A307" s="146"/>
      <c r="B307" s="146"/>
      <c r="C307" s="146"/>
    </row>
    <row r="308" spans="1:3" x14ac:dyDescent="0.25">
      <c r="A308" s="146"/>
      <c r="B308" s="146"/>
      <c r="C308" s="146"/>
    </row>
    <row r="309" spans="1:3" x14ac:dyDescent="0.25">
      <c r="A309" s="146"/>
      <c r="B309" s="146"/>
      <c r="C309" s="146"/>
    </row>
    <row r="310" spans="1:3" x14ac:dyDescent="0.25">
      <c r="A310" s="146"/>
      <c r="B310" s="146"/>
      <c r="C310" s="146"/>
    </row>
    <row r="311" spans="1:3" x14ac:dyDescent="0.25">
      <c r="A311" s="146"/>
      <c r="B311" s="146"/>
      <c r="C311" s="146"/>
    </row>
    <row r="312" spans="1:3" x14ac:dyDescent="0.25">
      <c r="A312" s="146"/>
      <c r="B312" s="146"/>
      <c r="C312" s="146"/>
    </row>
    <row r="313" spans="1:3" x14ac:dyDescent="0.25">
      <c r="A313" s="146"/>
      <c r="B313" s="146"/>
      <c r="C313" s="146"/>
    </row>
    <row r="314" spans="1:3" x14ac:dyDescent="0.25">
      <c r="A314" s="146"/>
      <c r="B314" s="146"/>
      <c r="C314" s="146"/>
    </row>
    <row r="315" spans="1:3" x14ac:dyDescent="0.25">
      <c r="A315" s="146"/>
      <c r="B315" s="146"/>
      <c r="C315" s="146"/>
    </row>
    <row r="316" spans="1:3" x14ac:dyDescent="0.25">
      <c r="A316" s="146"/>
      <c r="B316" s="146"/>
      <c r="C316" s="146"/>
    </row>
    <row r="317" spans="1:3" x14ac:dyDescent="0.25">
      <c r="A317" s="146"/>
      <c r="B317" s="146"/>
      <c r="C317" s="146"/>
    </row>
    <row r="318" spans="1:3" x14ac:dyDescent="0.25">
      <c r="A318" s="146"/>
      <c r="B318" s="146"/>
      <c r="C318" s="146"/>
    </row>
    <row r="319" spans="1:3" x14ac:dyDescent="0.25">
      <c r="A319" s="146"/>
      <c r="B319" s="146"/>
      <c r="C319" s="146"/>
    </row>
    <row r="320" spans="1:3" x14ac:dyDescent="0.25">
      <c r="A320" s="146"/>
      <c r="B320" s="146"/>
      <c r="C320" s="146"/>
    </row>
    <row r="321" spans="1:3" x14ac:dyDescent="0.25">
      <c r="A321" s="146"/>
      <c r="B321" s="146"/>
      <c r="C321" s="146"/>
    </row>
    <row r="322" spans="1:3" x14ac:dyDescent="0.25">
      <c r="A322" s="146"/>
      <c r="B322" s="146"/>
      <c r="C322" s="146"/>
    </row>
    <row r="323" spans="1:3" x14ac:dyDescent="0.25">
      <c r="A323" s="146"/>
      <c r="B323" s="146"/>
      <c r="C323" s="146"/>
    </row>
    <row r="324" spans="1:3" x14ac:dyDescent="0.25">
      <c r="A324" s="146"/>
      <c r="B324" s="146"/>
      <c r="C324" s="146"/>
    </row>
    <row r="325" spans="1:3" x14ac:dyDescent="0.25">
      <c r="A325" s="146"/>
      <c r="B325" s="146"/>
      <c r="C325" s="146"/>
    </row>
    <row r="326" spans="1:3" x14ac:dyDescent="0.25">
      <c r="A326" s="146"/>
      <c r="B326" s="146"/>
      <c r="C326" s="146"/>
    </row>
    <row r="327" spans="1:3" x14ac:dyDescent="0.25">
      <c r="A327" s="146"/>
      <c r="B327" s="146"/>
      <c r="C327" s="146"/>
    </row>
    <row r="328" spans="1:3" x14ac:dyDescent="0.25">
      <c r="A328" s="146"/>
      <c r="B328" s="146"/>
      <c r="C328" s="146"/>
    </row>
    <row r="329" spans="1:3" x14ac:dyDescent="0.25">
      <c r="A329" s="146"/>
      <c r="B329" s="146"/>
      <c r="C329" s="146"/>
    </row>
    <row r="330" spans="1:3" x14ac:dyDescent="0.25">
      <c r="A330" s="146"/>
      <c r="B330" s="146"/>
      <c r="C330" s="146"/>
    </row>
    <row r="331" spans="1:3" x14ac:dyDescent="0.25">
      <c r="A331" s="146"/>
      <c r="B331" s="146"/>
      <c r="C331" s="146"/>
    </row>
    <row r="332" spans="1:3" x14ac:dyDescent="0.25">
      <c r="A332" s="146"/>
      <c r="B332" s="146"/>
      <c r="C332" s="146"/>
    </row>
    <row r="333" spans="1:3" x14ac:dyDescent="0.25">
      <c r="A333" s="146"/>
      <c r="B333" s="146"/>
      <c r="C333" s="146"/>
    </row>
    <row r="334" spans="1:3" x14ac:dyDescent="0.25">
      <c r="A334" s="146"/>
      <c r="B334" s="146"/>
      <c r="C334" s="146"/>
    </row>
    <row r="335" spans="1:3" x14ac:dyDescent="0.25">
      <c r="A335" s="146"/>
      <c r="B335" s="146"/>
      <c r="C335" s="146"/>
    </row>
    <row r="336" spans="1:3" x14ac:dyDescent="0.25">
      <c r="A336" s="146"/>
      <c r="B336" s="146"/>
      <c r="C336" s="146"/>
    </row>
    <row r="337" spans="1:3" x14ac:dyDescent="0.25">
      <c r="A337" s="146"/>
      <c r="B337" s="146"/>
      <c r="C337" s="146"/>
    </row>
    <row r="338" spans="1:3" x14ac:dyDescent="0.25">
      <c r="A338" s="146"/>
      <c r="B338" s="146"/>
      <c r="C338" s="146"/>
    </row>
    <row r="339" spans="1:3" x14ac:dyDescent="0.25">
      <c r="A339" s="146"/>
      <c r="B339" s="146"/>
      <c r="C339" s="146"/>
    </row>
    <row r="340" spans="1:3" x14ac:dyDescent="0.25">
      <c r="A340" s="146"/>
      <c r="B340" s="146"/>
      <c r="C340" s="146"/>
    </row>
    <row r="341" spans="1:3" x14ac:dyDescent="0.25">
      <c r="A341" s="146"/>
      <c r="B341" s="146"/>
      <c r="C341" s="146"/>
    </row>
    <row r="342" spans="1:3" x14ac:dyDescent="0.25">
      <c r="A342" s="146"/>
      <c r="B342" s="146"/>
      <c r="C342" s="146"/>
    </row>
    <row r="343" spans="1:3" x14ac:dyDescent="0.25">
      <c r="A343" s="146"/>
      <c r="B343" s="146"/>
      <c r="C343" s="146"/>
    </row>
    <row r="344" spans="1:3" x14ac:dyDescent="0.25">
      <c r="A344" s="146"/>
      <c r="B344" s="146"/>
      <c r="C344" s="146"/>
    </row>
    <row r="345" spans="1:3" x14ac:dyDescent="0.25">
      <c r="A345" s="146"/>
      <c r="B345" s="146"/>
      <c r="C345" s="146"/>
    </row>
    <row r="346" spans="1:3" x14ac:dyDescent="0.25">
      <c r="A346" s="146"/>
      <c r="B346" s="146"/>
      <c r="C346" s="146"/>
    </row>
    <row r="347" spans="1:3" x14ac:dyDescent="0.25">
      <c r="A347" s="146"/>
      <c r="B347" s="146"/>
      <c r="C347" s="146"/>
    </row>
    <row r="348" spans="1:3" x14ac:dyDescent="0.25">
      <c r="A348" s="146"/>
      <c r="B348" s="146"/>
      <c r="C348" s="146"/>
    </row>
    <row r="349" spans="1:3" x14ac:dyDescent="0.25">
      <c r="A349" s="146"/>
      <c r="B349" s="146"/>
      <c r="C349" s="146"/>
    </row>
    <row r="350" spans="1:3" x14ac:dyDescent="0.25">
      <c r="A350" s="146"/>
      <c r="B350" s="146"/>
      <c r="C350" s="146"/>
    </row>
    <row r="351" spans="1:3" x14ac:dyDescent="0.25">
      <c r="A351" s="146"/>
      <c r="B351" s="146"/>
      <c r="C351" s="146"/>
    </row>
    <row r="352" spans="1:3" x14ac:dyDescent="0.25">
      <c r="A352" s="146"/>
      <c r="B352" s="146"/>
      <c r="C352" s="146"/>
    </row>
    <row r="353" spans="1:3" x14ac:dyDescent="0.25">
      <c r="A353" s="146"/>
      <c r="B353" s="146"/>
      <c r="C353" s="146"/>
    </row>
    <row r="354" spans="1:3" x14ac:dyDescent="0.25">
      <c r="A354" s="146"/>
      <c r="B354" s="146"/>
      <c r="C354" s="146"/>
    </row>
    <row r="355" spans="1:3" x14ac:dyDescent="0.25">
      <c r="A355" s="146"/>
      <c r="B355" s="146"/>
      <c r="C355" s="146"/>
    </row>
    <row r="356" spans="1:3" x14ac:dyDescent="0.25">
      <c r="A356" s="146"/>
      <c r="B356" s="146"/>
      <c r="C356" s="146"/>
    </row>
    <row r="357" spans="1:3" x14ac:dyDescent="0.25">
      <c r="A357" s="146"/>
      <c r="B357" s="146"/>
      <c r="C357" s="146"/>
    </row>
    <row r="358" spans="1:3" x14ac:dyDescent="0.25">
      <c r="A358" s="146"/>
      <c r="B358" s="146"/>
      <c r="C358" s="146"/>
    </row>
    <row r="359" spans="1:3" x14ac:dyDescent="0.25">
      <c r="A359" s="146"/>
      <c r="B359" s="146"/>
      <c r="C359" s="146"/>
    </row>
    <row r="360" spans="1:3" x14ac:dyDescent="0.25">
      <c r="A360" s="146"/>
      <c r="B360" s="146"/>
      <c r="C360" s="146"/>
    </row>
    <row r="361" spans="1:3" x14ac:dyDescent="0.25">
      <c r="A361" s="146"/>
      <c r="B361" s="146"/>
      <c r="C361" s="146"/>
    </row>
    <row r="362" spans="1:3" x14ac:dyDescent="0.25">
      <c r="A362" s="146"/>
      <c r="B362" s="146"/>
      <c r="C362" s="146"/>
    </row>
    <row r="363" spans="1:3" x14ac:dyDescent="0.25">
      <c r="A363" s="146"/>
      <c r="B363" s="146"/>
      <c r="C363" s="146"/>
    </row>
    <row r="364" spans="1:3" x14ac:dyDescent="0.25">
      <c r="A364" s="146"/>
      <c r="B364" s="146"/>
      <c r="C364" s="146"/>
    </row>
    <row r="365" spans="1:3" x14ac:dyDescent="0.25">
      <c r="A365" s="146"/>
      <c r="B365" s="146"/>
      <c r="C365" s="146"/>
    </row>
    <row r="366" spans="1:3" x14ac:dyDescent="0.25">
      <c r="A366" s="146"/>
      <c r="B366" s="146"/>
      <c r="C366" s="146"/>
    </row>
    <row r="367" spans="1:3" x14ac:dyDescent="0.25">
      <c r="A367" s="146"/>
      <c r="B367" s="146"/>
      <c r="C367" s="146"/>
    </row>
    <row r="368" spans="1:3" x14ac:dyDescent="0.25">
      <c r="A368" s="146"/>
      <c r="B368" s="146"/>
      <c r="C368" s="146"/>
    </row>
    <row r="369" spans="1:3" x14ac:dyDescent="0.25">
      <c r="A369" s="146"/>
      <c r="B369" s="146"/>
      <c r="C369" s="146"/>
    </row>
    <row r="370" spans="1:3" x14ac:dyDescent="0.25">
      <c r="A370" s="146"/>
      <c r="B370" s="146"/>
      <c r="C370" s="146"/>
    </row>
    <row r="371" spans="1:3" x14ac:dyDescent="0.25">
      <c r="A371" s="146"/>
      <c r="B371" s="146"/>
      <c r="C371" s="146"/>
    </row>
    <row r="372" spans="1:3" x14ac:dyDescent="0.25">
      <c r="A372" s="146"/>
      <c r="B372" s="146"/>
      <c r="C372" s="146"/>
    </row>
    <row r="373" spans="1:3" x14ac:dyDescent="0.25">
      <c r="A373" s="146"/>
      <c r="B373" s="146"/>
      <c r="C373" s="146"/>
    </row>
    <row r="374" spans="1:3" x14ac:dyDescent="0.25">
      <c r="A374" s="146"/>
      <c r="B374" s="146"/>
      <c r="C374" s="146"/>
    </row>
    <row r="375" spans="1:3" x14ac:dyDescent="0.25">
      <c r="A375" s="146"/>
      <c r="B375" s="146"/>
      <c r="C375" s="146"/>
    </row>
    <row r="376" spans="1:3" x14ac:dyDescent="0.25">
      <c r="A376" s="146"/>
      <c r="B376" s="146"/>
      <c r="C376" s="146"/>
    </row>
    <row r="377" spans="1:3" x14ac:dyDescent="0.25">
      <c r="A377" s="146"/>
      <c r="B377" s="146"/>
      <c r="C377" s="146"/>
    </row>
    <row r="378" spans="1:3" x14ac:dyDescent="0.25">
      <c r="A378" s="146"/>
      <c r="B378" s="146"/>
      <c r="C378" s="146"/>
    </row>
    <row r="379" spans="1:3" x14ac:dyDescent="0.25">
      <c r="A379" s="146"/>
      <c r="B379" s="146"/>
      <c r="C379" s="146"/>
    </row>
    <row r="380" spans="1:3" x14ac:dyDescent="0.25">
      <c r="A380" s="146"/>
      <c r="B380" s="146"/>
      <c r="C380" s="146"/>
    </row>
    <row r="381" spans="1:3" x14ac:dyDescent="0.25">
      <c r="A381" s="146"/>
      <c r="B381" s="146"/>
      <c r="C381" s="146"/>
    </row>
    <row r="382" spans="1:3" x14ac:dyDescent="0.25">
      <c r="A382" s="146"/>
      <c r="B382" s="146"/>
      <c r="C382" s="146"/>
    </row>
    <row r="383" spans="1:3" x14ac:dyDescent="0.25">
      <c r="A383" s="146"/>
      <c r="B383" s="146"/>
      <c r="C383" s="146"/>
    </row>
    <row r="384" spans="1:3" x14ac:dyDescent="0.25">
      <c r="A384" s="146"/>
      <c r="B384" s="146"/>
      <c r="C384" s="146"/>
    </row>
    <row r="385" spans="1:3" x14ac:dyDescent="0.25">
      <c r="A385" s="146"/>
      <c r="B385" s="146"/>
      <c r="C385" s="146"/>
    </row>
    <row r="386" spans="1:3" x14ac:dyDescent="0.25">
      <c r="A386" s="146"/>
      <c r="B386" s="146"/>
      <c r="C386" s="146"/>
    </row>
    <row r="387" spans="1:3" x14ac:dyDescent="0.25">
      <c r="A387" s="146"/>
      <c r="B387" s="146"/>
      <c r="C387" s="146"/>
    </row>
    <row r="388" spans="1:3" x14ac:dyDescent="0.25">
      <c r="A388" s="146"/>
      <c r="B388" s="146"/>
      <c r="C388" s="146"/>
    </row>
    <row r="389" spans="1:3" x14ac:dyDescent="0.25">
      <c r="A389" s="146"/>
      <c r="B389" s="146"/>
      <c r="C389" s="146"/>
    </row>
    <row r="390" spans="1:3" x14ac:dyDescent="0.25">
      <c r="A390" s="146"/>
      <c r="B390" s="146"/>
      <c r="C390" s="146"/>
    </row>
    <row r="391" spans="1:3" x14ac:dyDescent="0.25">
      <c r="A391" s="146"/>
      <c r="B391" s="146"/>
      <c r="C391" s="146"/>
    </row>
    <row r="392" spans="1:3" x14ac:dyDescent="0.25">
      <c r="A392" s="146"/>
      <c r="B392" s="146"/>
      <c r="C392" s="146"/>
    </row>
    <row r="393" spans="1:3" x14ac:dyDescent="0.25">
      <c r="A393" s="146"/>
      <c r="B393" s="146"/>
      <c r="C393" s="146"/>
    </row>
    <row r="394" spans="1:3" x14ac:dyDescent="0.25">
      <c r="A394" s="146"/>
      <c r="B394" s="146"/>
      <c r="C394" s="146"/>
    </row>
    <row r="395" spans="1:3" x14ac:dyDescent="0.25">
      <c r="A395" s="146"/>
      <c r="B395" s="146"/>
      <c r="C395" s="146"/>
    </row>
    <row r="396" spans="1:3" x14ac:dyDescent="0.25">
      <c r="A396" s="146"/>
      <c r="B396" s="146"/>
      <c r="C396" s="146"/>
    </row>
    <row r="397" spans="1:3" x14ac:dyDescent="0.25">
      <c r="A397" s="146"/>
      <c r="B397" s="146"/>
      <c r="C397" s="146"/>
    </row>
    <row r="398" spans="1:3" x14ac:dyDescent="0.25">
      <c r="A398" s="146"/>
      <c r="B398" s="146"/>
      <c r="C398" s="146"/>
    </row>
    <row r="399" spans="1:3" x14ac:dyDescent="0.25">
      <c r="A399" s="146"/>
      <c r="B399" s="146"/>
      <c r="C399" s="146"/>
    </row>
    <row r="400" spans="1:3" x14ac:dyDescent="0.25">
      <c r="A400" s="146"/>
      <c r="B400" s="146"/>
      <c r="C400" s="146"/>
    </row>
    <row r="401" spans="1:3" x14ac:dyDescent="0.25">
      <c r="A401" s="146"/>
      <c r="B401" s="146"/>
      <c r="C401" s="146"/>
    </row>
    <row r="402" spans="1:3" x14ac:dyDescent="0.25">
      <c r="A402" s="146"/>
      <c r="B402" s="146"/>
      <c r="C402" s="146"/>
    </row>
    <row r="403" spans="1:3" x14ac:dyDescent="0.25">
      <c r="A403" s="146"/>
      <c r="B403" s="146"/>
      <c r="C403" s="146"/>
    </row>
    <row r="404" spans="1:3" x14ac:dyDescent="0.25">
      <c r="A404" s="146"/>
      <c r="B404" s="146"/>
      <c r="C404" s="146"/>
    </row>
    <row r="405" spans="1:3" x14ac:dyDescent="0.25">
      <c r="A405" s="146"/>
      <c r="B405" s="146"/>
      <c r="C405" s="146"/>
    </row>
    <row r="406" spans="1:3" x14ac:dyDescent="0.25">
      <c r="A406" s="146"/>
      <c r="B406" s="146"/>
      <c r="C406" s="146"/>
    </row>
    <row r="407" spans="1:3" x14ac:dyDescent="0.25">
      <c r="A407" s="146"/>
      <c r="B407" s="146"/>
      <c r="C407" s="146"/>
    </row>
    <row r="408" spans="1:3" x14ac:dyDescent="0.25">
      <c r="A408" s="146"/>
      <c r="B408" s="146"/>
      <c r="C408" s="146"/>
    </row>
    <row r="409" spans="1:3" x14ac:dyDescent="0.25">
      <c r="A409" s="146"/>
      <c r="B409" s="146"/>
      <c r="C409" s="146"/>
    </row>
    <row r="410" spans="1:3" x14ac:dyDescent="0.25">
      <c r="A410" s="146"/>
      <c r="B410" s="146"/>
      <c r="C410" s="146"/>
    </row>
    <row r="411" spans="1:3" x14ac:dyDescent="0.25">
      <c r="A411" s="146"/>
      <c r="B411" s="146"/>
      <c r="C411" s="146"/>
    </row>
    <row r="412" spans="1:3" x14ac:dyDescent="0.25">
      <c r="A412" s="146"/>
      <c r="B412" s="146"/>
      <c r="C412" s="146"/>
    </row>
    <row r="413" spans="1:3" x14ac:dyDescent="0.25">
      <c r="A413" s="146"/>
      <c r="B413" s="146"/>
      <c r="C413" s="146"/>
    </row>
    <row r="414" spans="1:3" x14ac:dyDescent="0.25">
      <c r="A414" s="146"/>
      <c r="B414" s="146"/>
      <c r="C414" s="146"/>
    </row>
    <row r="415" spans="1:3" x14ac:dyDescent="0.25">
      <c r="A415" s="146"/>
      <c r="B415" s="146"/>
      <c r="C415" s="146"/>
    </row>
    <row r="416" spans="1:3" x14ac:dyDescent="0.25">
      <c r="A416" s="146"/>
      <c r="B416" s="146"/>
      <c r="C416" s="146"/>
    </row>
    <row r="417" spans="1:3" x14ac:dyDescent="0.25">
      <c r="A417" s="146"/>
      <c r="B417" s="146"/>
      <c r="C417" s="146"/>
    </row>
    <row r="418" spans="1:3" x14ac:dyDescent="0.25">
      <c r="A418" s="146"/>
      <c r="B418" s="146"/>
      <c r="C418" s="146"/>
    </row>
    <row r="419" spans="1:3" x14ac:dyDescent="0.25">
      <c r="A419" s="146"/>
      <c r="B419" s="146"/>
      <c r="C419" s="146"/>
    </row>
    <row r="420" spans="1:3" x14ac:dyDescent="0.25">
      <c r="A420" s="146"/>
      <c r="B420" s="146"/>
      <c r="C420" s="146"/>
    </row>
    <row r="421" spans="1:3" x14ac:dyDescent="0.25">
      <c r="A421" s="146"/>
      <c r="B421" s="146"/>
      <c r="C421" s="146"/>
    </row>
    <row r="422" spans="1:3" x14ac:dyDescent="0.25">
      <c r="A422" s="146"/>
      <c r="B422" s="146"/>
      <c r="C422" s="146"/>
    </row>
    <row r="423" spans="1:3" x14ac:dyDescent="0.25">
      <c r="A423" s="146"/>
      <c r="B423" s="146"/>
      <c r="C423" s="146"/>
    </row>
    <row r="424" spans="1:3" x14ac:dyDescent="0.25">
      <c r="A424" s="146"/>
      <c r="B424" s="146"/>
      <c r="C424" s="146"/>
    </row>
    <row r="425" spans="1:3" x14ac:dyDescent="0.25">
      <c r="A425" s="146"/>
      <c r="B425" s="146"/>
      <c r="C425" s="146"/>
    </row>
    <row r="426" spans="1:3" x14ac:dyDescent="0.25">
      <c r="A426" s="146"/>
      <c r="B426" s="146"/>
      <c r="C426" s="146"/>
    </row>
    <row r="427" spans="1:3" x14ac:dyDescent="0.25">
      <c r="A427" s="146"/>
      <c r="B427" s="146"/>
      <c r="C427" s="146"/>
    </row>
    <row r="428" spans="1:3" x14ac:dyDescent="0.25">
      <c r="A428" s="146"/>
      <c r="B428" s="146"/>
      <c r="C428" s="146"/>
    </row>
    <row r="429" spans="1:3" x14ac:dyDescent="0.25">
      <c r="A429" s="146"/>
      <c r="B429" s="146"/>
      <c r="C429" s="146"/>
    </row>
    <row r="430" spans="1:3" x14ac:dyDescent="0.25">
      <c r="A430" s="146"/>
      <c r="B430" s="146"/>
      <c r="C430" s="146"/>
    </row>
    <row r="431" spans="1:3" x14ac:dyDescent="0.25">
      <c r="A431" s="146"/>
      <c r="B431" s="146"/>
      <c r="C431" s="146"/>
    </row>
    <row r="432" spans="1:3" x14ac:dyDescent="0.25">
      <c r="A432" s="146"/>
      <c r="B432" s="146"/>
      <c r="C432" s="146"/>
    </row>
    <row r="433" spans="1:3" x14ac:dyDescent="0.25">
      <c r="A433" s="146"/>
      <c r="B433" s="146"/>
      <c r="C433" s="146"/>
    </row>
    <row r="434" spans="1:3" x14ac:dyDescent="0.25">
      <c r="A434" s="146"/>
      <c r="B434" s="146"/>
      <c r="C434" s="146"/>
    </row>
    <row r="435" spans="1:3" x14ac:dyDescent="0.25">
      <c r="A435" s="146"/>
      <c r="B435" s="146"/>
      <c r="C435" s="146"/>
    </row>
    <row r="436" spans="1:3" x14ac:dyDescent="0.25">
      <c r="A436" s="146"/>
      <c r="B436" s="146"/>
      <c r="C436" s="146"/>
    </row>
    <row r="437" spans="1:3" x14ac:dyDescent="0.25">
      <c r="A437" s="146"/>
      <c r="B437" s="146"/>
      <c r="C437" s="146"/>
    </row>
    <row r="438" spans="1:3" x14ac:dyDescent="0.25">
      <c r="A438" s="146"/>
      <c r="B438" s="146"/>
      <c r="C438" s="146"/>
    </row>
    <row r="439" spans="1:3" x14ac:dyDescent="0.25">
      <c r="A439" s="146"/>
      <c r="B439" s="146"/>
      <c r="C439" s="146"/>
    </row>
    <row r="440" spans="1:3" x14ac:dyDescent="0.25">
      <c r="A440" s="146"/>
      <c r="B440" s="146"/>
      <c r="C440" s="146"/>
    </row>
    <row r="441" spans="1:3" x14ac:dyDescent="0.25">
      <c r="A441" s="146"/>
      <c r="B441" s="146"/>
      <c r="C441" s="146"/>
    </row>
    <row r="442" spans="1:3" x14ac:dyDescent="0.25">
      <c r="A442" s="146"/>
      <c r="B442" s="146"/>
      <c r="C442" s="146"/>
    </row>
    <row r="443" spans="1:3" x14ac:dyDescent="0.25">
      <c r="A443" s="146"/>
      <c r="B443" s="146"/>
      <c r="C443" s="146"/>
    </row>
    <row r="444" spans="1:3" x14ac:dyDescent="0.25">
      <c r="A444" s="146"/>
      <c r="B444" s="146"/>
      <c r="C444" s="146"/>
    </row>
    <row r="445" spans="1:3" x14ac:dyDescent="0.25">
      <c r="A445" s="146"/>
      <c r="B445" s="146"/>
      <c r="C445" s="146"/>
    </row>
    <row r="446" spans="1:3" x14ac:dyDescent="0.25">
      <c r="A446" s="146"/>
      <c r="B446" s="146"/>
      <c r="C446" s="146"/>
    </row>
    <row r="447" spans="1:3" x14ac:dyDescent="0.25">
      <c r="A447" s="146"/>
      <c r="B447" s="146"/>
      <c r="C447" s="146"/>
    </row>
    <row r="448" spans="1:3" x14ac:dyDescent="0.25">
      <c r="A448" s="146"/>
      <c r="B448" s="146"/>
      <c r="C448" s="146"/>
    </row>
    <row r="449" spans="1:3" x14ac:dyDescent="0.25">
      <c r="A449" s="146"/>
      <c r="B449" s="146"/>
      <c r="C449" s="146"/>
    </row>
    <row r="450" spans="1:3" x14ac:dyDescent="0.25">
      <c r="A450" s="146"/>
      <c r="B450" s="146"/>
      <c r="C450" s="146"/>
    </row>
    <row r="451" spans="1:3" x14ac:dyDescent="0.25">
      <c r="A451" s="146"/>
      <c r="B451" s="146"/>
      <c r="C451" s="146"/>
    </row>
    <row r="452" spans="1:3" x14ac:dyDescent="0.25">
      <c r="A452" s="146"/>
      <c r="B452" s="146"/>
      <c r="C452" s="146"/>
    </row>
    <row r="453" spans="1:3" x14ac:dyDescent="0.25">
      <c r="A453" s="146"/>
      <c r="B453" s="146"/>
      <c r="C453" s="146"/>
    </row>
    <row r="454" spans="1:3" x14ac:dyDescent="0.25">
      <c r="A454" s="146"/>
      <c r="B454" s="146"/>
      <c r="C454" s="146"/>
    </row>
    <row r="455" spans="1:3" x14ac:dyDescent="0.25">
      <c r="A455" s="146"/>
      <c r="B455" s="146"/>
      <c r="C455" s="146"/>
    </row>
    <row r="456" spans="1:3" x14ac:dyDescent="0.25">
      <c r="A456" s="146"/>
      <c r="B456" s="146"/>
      <c r="C456" s="146"/>
    </row>
    <row r="457" spans="1:3" x14ac:dyDescent="0.25">
      <c r="A457" s="146"/>
      <c r="B457" s="146"/>
      <c r="C457" s="146"/>
    </row>
    <row r="458" spans="1:3" x14ac:dyDescent="0.25">
      <c r="A458" s="146"/>
      <c r="B458" s="146"/>
      <c r="C458" s="146"/>
    </row>
    <row r="459" spans="1:3" x14ac:dyDescent="0.25">
      <c r="A459" s="146"/>
      <c r="B459" s="146"/>
      <c r="C459" s="146"/>
    </row>
    <row r="460" spans="1:3" x14ac:dyDescent="0.25">
      <c r="A460" s="146"/>
      <c r="B460" s="146"/>
      <c r="C460" s="146"/>
    </row>
    <row r="461" spans="1:3" x14ac:dyDescent="0.25">
      <c r="A461" s="146"/>
      <c r="B461" s="146"/>
      <c r="C461" s="146"/>
    </row>
    <row r="462" spans="1:3" x14ac:dyDescent="0.25">
      <c r="A462" s="146"/>
      <c r="B462" s="146"/>
      <c r="C462" s="146"/>
    </row>
    <row r="463" spans="1:3" x14ac:dyDescent="0.25">
      <c r="A463" s="146"/>
      <c r="B463" s="146"/>
      <c r="C463" s="146"/>
    </row>
    <row r="464" spans="1:3" x14ac:dyDescent="0.25">
      <c r="A464" s="146"/>
      <c r="B464" s="146"/>
      <c r="C464" s="146"/>
    </row>
    <row r="465" spans="1:3" x14ac:dyDescent="0.25">
      <c r="A465" s="146"/>
      <c r="B465" s="146"/>
      <c r="C465" s="146"/>
    </row>
    <row r="466" spans="1:3" x14ac:dyDescent="0.25">
      <c r="A466" s="146"/>
      <c r="B466" s="146"/>
      <c r="C466" s="146"/>
    </row>
    <row r="467" spans="1:3" x14ac:dyDescent="0.25">
      <c r="A467" s="146"/>
      <c r="B467" s="146"/>
      <c r="C467" s="146"/>
    </row>
    <row r="468" spans="1:3" x14ac:dyDescent="0.25">
      <c r="A468" s="146"/>
      <c r="B468" s="146"/>
      <c r="C468" s="146"/>
    </row>
    <row r="469" spans="1:3" x14ac:dyDescent="0.25">
      <c r="A469" s="146"/>
      <c r="B469" s="146"/>
      <c r="C469" s="146"/>
    </row>
    <row r="470" spans="1:3" x14ac:dyDescent="0.25">
      <c r="A470" s="146"/>
      <c r="B470" s="146"/>
      <c r="C470" s="146"/>
    </row>
    <row r="471" spans="1:3" x14ac:dyDescent="0.25">
      <c r="A471" s="146"/>
      <c r="B471" s="146"/>
      <c r="C471" s="146"/>
    </row>
    <row r="472" spans="1:3" x14ac:dyDescent="0.25">
      <c r="A472" s="146"/>
      <c r="B472" s="146"/>
      <c r="C472" s="146"/>
    </row>
    <row r="473" spans="1:3" x14ac:dyDescent="0.25">
      <c r="A473" s="146"/>
      <c r="B473" s="146"/>
      <c r="C473" s="146"/>
    </row>
    <row r="474" spans="1:3" x14ac:dyDescent="0.25">
      <c r="A474" s="146"/>
      <c r="B474" s="146"/>
      <c r="C474" s="146"/>
    </row>
    <row r="475" spans="1:3" x14ac:dyDescent="0.25">
      <c r="A475" s="146"/>
      <c r="B475" s="146"/>
      <c r="C475" s="146"/>
    </row>
    <row r="476" spans="1:3" x14ac:dyDescent="0.25">
      <c r="A476" s="146"/>
      <c r="B476" s="146"/>
      <c r="C476" s="146"/>
    </row>
    <row r="477" spans="1:3" x14ac:dyDescent="0.25">
      <c r="A477" s="146"/>
      <c r="B477" s="146"/>
      <c r="C477" s="146"/>
    </row>
    <row r="478" spans="1:3" x14ac:dyDescent="0.25">
      <c r="A478" s="146"/>
      <c r="B478" s="146"/>
      <c r="C478" s="146"/>
    </row>
    <row r="479" spans="1:3" x14ac:dyDescent="0.25">
      <c r="A479" s="146"/>
      <c r="B479" s="146"/>
      <c r="C479" s="146"/>
    </row>
    <row r="480" spans="1:3" x14ac:dyDescent="0.25">
      <c r="A480" s="146"/>
      <c r="B480" s="146"/>
      <c r="C480" s="146"/>
    </row>
    <row r="481" spans="1:3" x14ac:dyDescent="0.25">
      <c r="A481" s="146"/>
      <c r="B481" s="146"/>
      <c r="C481" s="146"/>
    </row>
    <row r="482" spans="1:3" x14ac:dyDescent="0.25">
      <c r="A482" s="146"/>
      <c r="B482" s="146"/>
      <c r="C482" s="146"/>
    </row>
    <row r="483" spans="1:3" x14ac:dyDescent="0.25">
      <c r="A483" s="146"/>
      <c r="B483" s="146"/>
      <c r="C483" s="146"/>
    </row>
    <row r="484" spans="1:3" x14ac:dyDescent="0.25">
      <c r="A484" s="146"/>
      <c r="B484" s="146"/>
      <c r="C484" s="146"/>
    </row>
    <row r="485" spans="1:3" x14ac:dyDescent="0.25">
      <c r="A485" s="146"/>
      <c r="B485" s="146"/>
      <c r="C485" s="146"/>
    </row>
    <row r="486" spans="1:3" x14ac:dyDescent="0.25">
      <c r="A486" s="146"/>
      <c r="B486" s="146"/>
      <c r="C486" s="146"/>
    </row>
    <row r="487" spans="1:3" x14ac:dyDescent="0.25">
      <c r="A487" s="146"/>
      <c r="B487" s="146"/>
      <c r="C487" s="146"/>
    </row>
    <row r="488" spans="1:3" x14ac:dyDescent="0.25">
      <c r="A488" s="146"/>
      <c r="B488" s="146"/>
      <c r="C488" s="146"/>
    </row>
    <row r="489" spans="1:3" x14ac:dyDescent="0.25">
      <c r="A489" s="146"/>
      <c r="B489" s="146"/>
      <c r="C489" s="146"/>
    </row>
    <row r="490" spans="1:3" x14ac:dyDescent="0.25">
      <c r="A490" s="146"/>
      <c r="B490" s="146"/>
      <c r="C490" s="146"/>
    </row>
    <row r="491" spans="1:3" x14ac:dyDescent="0.25">
      <c r="A491" s="146"/>
      <c r="B491" s="146"/>
      <c r="C491" s="146"/>
    </row>
    <row r="492" spans="1:3" x14ac:dyDescent="0.25">
      <c r="A492" s="146"/>
      <c r="B492" s="146"/>
      <c r="C492" s="146"/>
    </row>
    <row r="493" spans="1:3" x14ac:dyDescent="0.25">
      <c r="A493" s="146"/>
      <c r="B493" s="146"/>
      <c r="C493" s="146"/>
    </row>
    <row r="494" spans="1:3" x14ac:dyDescent="0.25">
      <c r="A494" s="146"/>
      <c r="B494" s="146"/>
      <c r="C494" s="146"/>
    </row>
    <row r="495" spans="1:3" x14ac:dyDescent="0.25">
      <c r="A495" s="146"/>
      <c r="B495" s="146"/>
      <c r="C495" s="146"/>
    </row>
    <row r="496" spans="1:3" x14ac:dyDescent="0.25">
      <c r="A496" s="146"/>
      <c r="B496" s="146"/>
      <c r="C496" s="146"/>
    </row>
    <row r="497" spans="1:3" x14ac:dyDescent="0.25">
      <c r="A497" s="146"/>
      <c r="B497" s="146"/>
      <c r="C497" s="146"/>
    </row>
    <row r="498" spans="1:3" x14ac:dyDescent="0.25">
      <c r="A498" s="146"/>
      <c r="B498" s="146"/>
      <c r="C498" s="146"/>
    </row>
    <row r="499" spans="1:3" x14ac:dyDescent="0.25">
      <c r="A499" s="146"/>
      <c r="B499" s="146"/>
      <c r="C499" s="146"/>
    </row>
    <row r="500" spans="1:3" x14ac:dyDescent="0.25">
      <c r="A500" s="146"/>
      <c r="B500" s="146"/>
      <c r="C500" s="146"/>
    </row>
    <row r="501" spans="1:3" x14ac:dyDescent="0.25">
      <c r="A501" s="146"/>
      <c r="B501" s="146"/>
      <c r="C501" s="146"/>
    </row>
    <row r="502" spans="1:3" x14ac:dyDescent="0.25">
      <c r="A502" s="146"/>
      <c r="B502" s="146"/>
      <c r="C502" s="146"/>
    </row>
    <row r="503" spans="1:3" x14ac:dyDescent="0.25">
      <c r="A503" s="146"/>
      <c r="B503" s="146"/>
      <c r="C503" s="146"/>
    </row>
    <row r="504" spans="1:3" x14ac:dyDescent="0.25">
      <c r="A504" s="146"/>
      <c r="B504" s="146"/>
      <c r="C504" s="146"/>
    </row>
    <row r="505" spans="1:3" x14ac:dyDescent="0.25">
      <c r="A505" s="146"/>
      <c r="B505" s="146"/>
      <c r="C505" s="146"/>
    </row>
    <row r="506" spans="1:3" x14ac:dyDescent="0.25">
      <c r="A506" s="146"/>
      <c r="B506" s="146"/>
      <c r="C506" s="146"/>
    </row>
    <row r="507" spans="1:3" x14ac:dyDescent="0.25">
      <c r="A507" s="146"/>
      <c r="B507" s="146"/>
      <c r="C507" s="146"/>
    </row>
    <row r="508" spans="1:3" x14ac:dyDescent="0.25">
      <c r="A508" s="146"/>
      <c r="B508" s="146"/>
      <c r="C508" s="146"/>
    </row>
    <row r="509" spans="1:3" x14ac:dyDescent="0.25">
      <c r="A509" s="146"/>
      <c r="B509" s="146"/>
      <c r="C509" s="146"/>
    </row>
    <row r="510" spans="1:3" x14ac:dyDescent="0.25">
      <c r="A510" s="146"/>
      <c r="B510" s="146"/>
      <c r="C510" s="146"/>
    </row>
    <row r="511" spans="1:3" x14ac:dyDescent="0.25">
      <c r="A511" s="146"/>
      <c r="B511" s="146"/>
      <c r="C511" s="146"/>
    </row>
    <row r="512" spans="1:3" x14ac:dyDescent="0.25">
      <c r="A512" s="146"/>
      <c r="B512" s="146"/>
      <c r="C512" s="146"/>
    </row>
    <row r="513" spans="1:3" x14ac:dyDescent="0.25">
      <c r="A513" s="146"/>
      <c r="B513" s="146"/>
      <c r="C513" s="146"/>
    </row>
    <row r="514" spans="1:3" x14ac:dyDescent="0.25">
      <c r="A514" s="146"/>
      <c r="B514" s="146"/>
      <c r="C514" s="146"/>
    </row>
    <row r="515" spans="1:3" x14ac:dyDescent="0.25">
      <c r="A515" s="146"/>
      <c r="B515" s="146"/>
      <c r="C515" s="146"/>
    </row>
    <row r="516" spans="1:3" x14ac:dyDescent="0.25">
      <c r="A516" s="146"/>
      <c r="B516" s="146"/>
      <c r="C516" s="146"/>
    </row>
    <row r="517" spans="1:3" x14ac:dyDescent="0.25">
      <c r="A517" s="146"/>
      <c r="B517" s="146"/>
      <c r="C517" s="146"/>
    </row>
    <row r="518" spans="1:3" x14ac:dyDescent="0.25">
      <c r="A518" s="146"/>
      <c r="B518" s="146"/>
      <c r="C518" s="146"/>
    </row>
    <row r="519" spans="1:3" x14ac:dyDescent="0.25">
      <c r="A519" s="146"/>
      <c r="B519" s="146"/>
      <c r="C519" s="146"/>
    </row>
    <row r="520" spans="1:3" x14ac:dyDescent="0.25">
      <c r="A520" s="146"/>
      <c r="B520" s="146"/>
      <c r="C520" s="146"/>
    </row>
    <row r="521" spans="1:3" x14ac:dyDescent="0.25">
      <c r="A521" s="146"/>
      <c r="B521" s="146"/>
      <c r="C521" s="146"/>
    </row>
    <row r="522" spans="1:3" x14ac:dyDescent="0.25">
      <c r="A522" s="146"/>
      <c r="B522" s="146"/>
      <c r="C522" s="146"/>
    </row>
    <row r="523" spans="1:3" x14ac:dyDescent="0.25">
      <c r="A523" s="146"/>
      <c r="B523" s="146"/>
      <c r="C523" s="146"/>
    </row>
    <row r="524" spans="1:3" x14ac:dyDescent="0.25">
      <c r="A524" s="146"/>
      <c r="B524" s="146"/>
      <c r="C524" s="146"/>
    </row>
    <row r="525" spans="1:3" x14ac:dyDescent="0.25">
      <c r="A525" s="146"/>
      <c r="B525" s="146"/>
      <c r="C525" s="146"/>
    </row>
    <row r="526" spans="1:3" x14ac:dyDescent="0.25">
      <c r="A526" s="146"/>
      <c r="B526" s="146"/>
      <c r="C526" s="146"/>
    </row>
    <row r="527" spans="1:3" x14ac:dyDescent="0.25">
      <c r="A527" s="146"/>
      <c r="B527" s="146"/>
      <c r="C527" s="146"/>
    </row>
    <row r="528" spans="1:3" x14ac:dyDescent="0.25">
      <c r="A528" s="146"/>
      <c r="B528" s="146"/>
      <c r="C528" s="146"/>
    </row>
    <row r="529" spans="1:3" x14ac:dyDescent="0.25">
      <c r="A529" s="146"/>
      <c r="B529" s="146"/>
      <c r="C529" s="146"/>
    </row>
    <row r="530" spans="1:3" x14ac:dyDescent="0.25">
      <c r="A530" s="146"/>
      <c r="B530" s="146"/>
      <c r="C530" s="146"/>
    </row>
    <row r="531" spans="1:3" x14ac:dyDescent="0.25">
      <c r="A531" s="146"/>
      <c r="B531" s="146"/>
      <c r="C531" s="146"/>
    </row>
    <row r="532" spans="1:3" x14ac:dyDescent="0.25">
      <c r="A532" s="146"/>
      <c r="B532" s="146"/>
      <c r="C532" s="146"/>
    </row>
    <row r="533" spans="1:3" x14ac:dyDescent="0.25">
      <c r="A533" s="146"/>
      <c r="B533" s="146"/>
      <c r="C533" s="146"/>
    </row>
    <row r="534" spans="1:3" x14ac:dyDescent="0.25">
      <c r="A534" s="146"/>
      <c r="B534" s="146"/>
      <c r="C534" s="146"/>
    </row>
    <row r="535" spans="1:3" x14ac:dyDescent="0.25">
      <c r="A535" s="146"/>
      <c r="B535" s="146"/>
      <c r="C535" s="146"/>
    </row>
    <row r="536" spans="1:3" x14ac:dyDescent="0.25">
      <c r="A536" s="146"/>
      <c r="B536" s="146"/>
      <c r="C536" s="146"/>
    </row>
  </sheetData>
  <phoneticPr fontId="18" type="noConversion"/>
  <pageMargins left="0.19685039370078741" right="0.47244094488188981" top="0.62992125984251968" bottom="0.78740157480314965" header="0.31496062992125984" footer="0.31496062992125984"/>
  <pageSetup paperSize="9" scale="94" orientation="portrait" verticalDpi="599" r:id="rId1"/>
  <headerFooter alignWithMargins="0">
    <oddHeader>&amp;C&amp;18Tournament Competitors&amp;R&amp;G</oddHeader>
  </headerFooter>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M67"/>
  <sheetViews>
    <sheetView showGridLines="0" showRowColHeaders="0" zoomScale="70" zoomScaleNormal="70" zoomScaleSheetLayoutView="100" zoomScalePageLayoutView="55" workbookViewId="0">
      <selection activeCell="A12" sqref="A12"/>
    </sheetView>
  </sheetViews>
  <sheetFormatPr defaultRowHeight="15" x14ac:dyDescent="0.25"/>
  <cols>
    <col min="1" max="1" width="57.140625" customWidth="1"/>
    <col min="2" max="11" width="4" customWidth="1"/>
    <col min="12" max="12" width="1.28515625" customWidth="1"/>
    <col min="13" max="13" width="53.5703125" customWidth="1"/>
    <col min="14" max="256" width="11.42578125" customWidth="1"/>
  </cols>
  <sheetData>
    <row r="1" spans="1:13" ht="34.5" customHeight="1" thickBot="1" x14ac:dyDescent="0.55000000000000004">
      <c r="A1" s="139" t="str">
        <f>Settings!B3</f>
        <v>My Test Tournament</v>
      </c>
    </row>
    <row r="2" spans="1:13" ht="47.25" customHeight="1" thickBot="1" x14ac:dyDescent="0.4">
      <c r="A2" s="172" t="str">
        <f>Settings!B4</f>
        <v>Ryan's House</v>
      </c>
      <c r="B2" s="207" t="s">
        <v>241</v>
      </c>
      <c r="C2" s="207" t="s">
        <v>242</v>
      </c>
      <c r="D2" s="207" t="s">
        <v>243</v>
      </c>
      <c r="E2" s="207" t="s">
        <v>244</v>
      </c>
      <c r="F2" s="207" t="s">
        <v>245</v>
      </c>
      <c r="G2" s="207" t="s">
        <v>246</v>
      </c>
      <c r="H2" s="207" t="s">
        <v>247</v>
      </c>
      <c r="I2" s="207" t="s">
        <v>248</v>
      </c>
      <c r="J2" s="207" t="s">
        <v>249</v>
      </c>
      <c r="K2" s="207" t="s">
        <v>250</v>
      </c>
      <c r="M2" s="247" t="s">
        <v>265</v>
      </c>
    </row>
    <row r="3" spans="1:13" ht="8.25" customHeight="1" thickBot="1" x14ac:dyDescent="0.3"/>
    <row r="4" spans="1:13" ht="24" thickBot="1" x14ac:dyDescent="0.4">
      <c r="A4" s="9" t="s">
        <v>186</v>
      </c>
      <c r="B4" s="169"/>
      <c r="C4" s="169"/>
      <c r="D4" s="169"/>
      <c r="E4" s="169"/>
      <c r="F4" s="169"/>
      <c r="G4" s="169"/>
      <c r="H4" s="169"/>
      <c r="I4" s="169"/>
      <c r="J4" s="169"/>
      <c r="K4" s="169"/>
      <c r="M4" t="s">
        <v>218</v>
      </c>
    </row>
    <row r="5" spans="1:13" ht="6.75" customHeight="1" x14ac:dyDescent="0.3">
      <c r="A5" s="132"/>
      <c r="B5" s="133"/>
      <c r="C5" s="133"/>
      <c r="D5" s="133"/>
      <c r="E5" s="133"/>
      <c r="F5" s="133"/>
      <c r="G5" s="133"/>
      <c r="H5" s="133"/>
      <c r="I5" s="133"/>
      <c r="J5" s="133"/>
      <c r="K5" s="133"/>
    </row>
    <row r="6" spans="1:13" ht="21" customHeight="1" x14ac:dyDescent="0.3">
      <c r="A6" s="195" t="s">
        <v>187</v>
      </c>
      <c r="B6" s="196"/>
      <c r="C6" s="196"/>
      <c r="D6" s="196"/>
      <c r="E6" s="196"/>
      <c r="F6" s="196"/>
      <c r="G6" s="196"/>
      <c r="H6" s="196"/>
      <c r="I6" s="196"/>
      <c r="J6" s="196"/>
      <c r="K6" s="196"/>
      <c r="L6" s="197"/>
      <c r="M6" s="197" t="s">
        <v>222</v>
      </c>
    </row>
    <row r="7" spans="1:13" ht="21" customHeight="1" x14ac:dyDescent="0.3">
      <c r="A7" s="195" t="s">
        <v>188</v>
      </c>
      <c r="B7" s="196"/>
      <c r="C7" s="196"/>
      <c r="D7" s="196"/>
      <c r="E7" s="196"/>
      <c r="F7" s="196"/>
      <c r="G7" s="196"/>
      <c r="H7" s="196"/>
      <c r="I7" s="196"/>
      <c r="J7" s="196"/>
      <c r="K7" s="196"/>
      <c r="L7" s="197"/>
      <c r="M7" s="197" t="s">
        <v>221</v>
      </c>
    </row>
    <row r="8" spans="1:13" ht="21" customHeight="1" x14ac:dyDescent="0.3">
      <c r="A8" s="195" t="s">
        <v>189</v>
      </c>
      <c r="B8" s="196"/>
      <c r="C8" s="196"/>
      <c r="D8" s="196"/>
      <c r="E8" s="196"/>
      <c r="F8" s="196"/>
      <c r="G8" s="196"/>
      <c r="H8" s="196"/>
      <c r="I8" s="196"/>
      <c r="J8" s="196"/>
      <c r="K8" s="196"/>
      <c r="L8" s="197"/>
      <c r="M8" s="197" t="s">
        <v>270</v>
      </c>
    </row>
    <row r="9" spans="1:13" ht="21" customHeight="1" x14ac:dyDescent="0.3">
      <c r="A9" s="195" t="s">
        <v>190</v>
      </c>
      <c r="B9" s="196"/>
      <c r="C9" s="196"/>
      <c r="D9" s="196"/>
      <c r="E9" s="196"/>
      <c r="F9" s="196"/>
      <c r="G9" s="196"/>
      <c r="H9" s="196"/>
      <c r="I9" s="196"/>
      <c r="J9" s="196"/>
      <c r="K9" s="196"/>
      <c r="L9" s="197"/>
      <c r="M9" s="197" t="s">
        <v>219</v>
      </c>
    </row>
    <row r="10" spans="1:13" ht="21" customHeight="1" x14ac:dyDescent="0.3">
      <c r="A10" s="198" t="s">
        <v>191</v>
      </c>
      <c r="B10" s="196"/>
      <c r="C10" s="196"/>
      <c r="D10" s="196"/>
      <c r="E10" s="196"/>
      <c r="F10" s="196"/>
      <c r="G10" s="196"/>
      <c r="H10" s="196"/>
      <c r="I10" s="196"/>
      <c r="J10" s="196"/>
      <c r="K10" s="196"/>
      <c r="L10" s="197"/>
      <c r="M10" s="197" t="s">
        <v>220</v>
      </c>
    </row>
    <row r="11" spans="1:13" ht="21" customHeight="1" x14ac:dyDescent="0.3">
      <c r="A11" s="195" t="s">
        <v>273</v>
      </c>
      <c r="B11" s="196"/>
      <c r="C11" s="196"/>
      <c r="D11" s="196"/>
      <c r="E11" s="196"/>
      <c r="F11" s="196"/>
      <c r="G11" s="196"/>
      <c r="H11" s="196"/>
      <c r="I11" s="196"/>
      <c r="J11" s="196"/>
      <c r="K11" s="196"/>
      <c r="L11" s="197"/>
      <c r="M11" s="199"/>
    </row>
    <row r="12" spans="1:13" ht="21" customHeight="1" x14ac:dyDescent="0.3">
      <c r="A12" s="195" t="s">
        <v>192</v>
      </c>
      <c r="B12" s="196"/>
      <c r="C12" s="196"/>
      <c r="D12" s="196"/>
      <c r="E12" s="196"/>
      <c r="F12" s="196"/>
      <c r="G12" s="196"/>
      <c r="H12" s="196"/>
      <c r="I12" s="196"/>
      <c r="J12" s="196"/>
      <c r="K12" s="196"/>
      <c r="L12" s="197"/>
      <c r="M12" s="197"/>
    </row>
    <row r="13" spans="1:13" ht="21" customHeight="1" x14ac:dyDescent="0.3">
      <c r="A13" s="195" t="s">
        <v>193</v>
      </c>
      <c r="B13" s="196"/>
      <c r="C13" s="196"/>
      <c r="D13" s="196"/>
      <c r="E13" s="196"/>
      <c r="F13" s="196"/>
      <c r="G13" s="196"/>
      <c r="H13" s="196"/>
      <c r="I13" s="196"/>
      <c r="J13" s="196"/>
      <c r="K13" s="196"/>
      <c r="L13" s="197"/>
      <c r="M13" s="197"/>
    </row>
    <row r="14" spans="1:13" ht="21" customHeight="1" x14ac:dyDescent="0.3">
      <c r="A14" s="195" t="s">
        <v>231</v>
      </c>
      <c r="B14" s="196"/>
      <c r="C14" s="196"/>
      <c r="D14" s="196"/>
      <c r="E14" s="196"/>
      <c r="F14" s="196"/>
      <c r="G14" s="196"/>
      <c r="H14" s="196"/>
      <c r="I14" s="196"/>
      <c r="J14" s="196"/>
      <c r="K14" s="196"/>
      <c r="L14" s="197"/>
      <c r="M14" s="197"/>
    </row>
    <row r="15" spans="1:13" ht="21" customHeight="1" x14ac:dyDescent="0.3">
      <c r="A15" s="200" t="s">
        <v>255</v>
      </c>
      <c r="B15" s="196"/>
      <c r="C15" s="196"/>
      <c r="D15" s="196"/>
      <c r="E15" s="196"/>
      <c r="F15" s="196"/>
      <c r="G15" s="196"/>
      <c r="H15" s="196"/>
      <c r="I15" s="196"/>
      <c r="J15" s="196"/>
      <c r="K15" s="196"/>
      <c r="L15" s="197"/>
      <c r="M15" s="197"/>
    </row>
    <row r="16" spans="1:13" ht="21" customHeight="1" thickBot="1" x14ac:dyDescent="0.3">
      <c r="B16" s="133"/>
      <c r="C16" s="133"/>
      <c r="D16" s="133"/>
      <c r="E16" s="133"/>
      <c r="F16" s="133"/>
      <c r="G16" s="133"/>
      <c r="H16" s="133"/>
      <c r="I16" s="133"/>
      <c r="J16" s="133"/>
      <c r="K16" s="133"/>
      <c r="L16" s="164"/>
      <c r="M16" s="164"/>
    </row>
    <row r="17" spans="1:13" ht="21" customHeight="1" thickBot="1" x14ac:dyDescent="0.4">
      <c r="A17" s="9" t="s">
        <v>194</v>
      </c>
      <c r="B17" s="169"/>
      <c r="C17" s="169"/>
      <c r="D17" s="169"/>
      <c r="E17" s="169"/>
      <c r="F17" s="169"/>
      <c r="G17" s="169"/>
      <c r="H17" s="169"/>
      <c r="I17" s="169"/>
      <c r="J17" s="169"/>
      <c r="K17" s="169"/>
      <c r="M17" t="s">
        <v>218</v>
      </c>
    </row>
    <row r="18" spans="1:13" ht="11.25" customHeight="1" x14ac:dyDescent="0.3">
      <c r="A18" s="132"/>
      <c r="B18" s="133"/>
      <c r="C18" s="133"/>
      <c r="D18" s="133"/>
      <c r="E18" s="133"/>
      <c r="F18" s="133"/>
      <c r="G18" s="133"/>
      <c r="H18" s="133"/>
      <c r="I18" s="133"/>
      <c r="J18" s="133"/>
      <c r="K18" s="133"/>
    </row>
    <row r="19" spans="1:13" ht="21" customHeight="1" x14ac:dyDescent="0.3">
      <c r="A19" s="200" t="s">
        <v>195</v>
      </c>
      <c r="B19" s="196"/>
      <c r="C19" s="196"/>
      <c r="D19" s="196"/>
      <c r="E19" s="196"/>
      <c r="F19" s="196"/>
      <c r="G19" s="196"/>
      <c r="H19" s="196"/>
      <c r="I19" s="196"/>
      <c r="J19" s="196"/>
      <c r="K19" s="196"/>
      <c r="L19" s="199"/>
      <c r="M19" s="197" t="s">
        <v>222</v>
      </c>
    </row>
    <row r="20" spans="1:13" ht="21" customHeight="1" x14ac:dyDescent="0.3">
      <c r="A20" s="200" t="s">
        <v>196</v>
      </c>
      <c r="B20" s="196"/>
      <c r="C20" s="196"/>
      <c r="D20" s="196"/>
      <c r="E20" s="196"/>
      <c r="F20" s="196"/>
      <c r="G20" s="196"/>
      <c r="H20" s="196"/>
      <c r="I20" s="196"/>
      <c r="J20" s="196"/>
      <c r="K20" s="196"/>
      <c r="L20" s="199"/>
      <c r="M20" s="197" t="s">
        <v>221</v>
      </c>
    </row>
    <row r="21" spans="1:13" ht="21" customHeight="1" x14ac:dyDescent="0.3">
      <c r="A21" s="200" t="s">
        <v>197</v>
      </c>
      <c r="B21" s="196"/>
      <c r="C21" s="196"/>
      <c r="D21" s="196"/>
      <c r="E21" s="196"/>
      <c r="F21" s="196"/>
      <c r="G21" s="196"/>
      <c r="H21" s="196"/>
      <c r="I21" s="196"/>
      <c r="J21" s="196"/>
      <c r="K21" s="196"/>
      <c r="L21" s="199"/>
      <c r="M21" s="197" t="s">
        <v>270</v>
      </c>
    </row>
    <row r="22" spans="1:13" ht="21" customHeight="1" x14ac:dyDescent="0.3">
      <c r="A22" s="200" t="s">
        <v>198</v>
      </c>
      <c r="B22" s="196"/>
      <c r="C22" s="196"/>
      <c r="D22" s="196"/>
      <c r="E22" s="196"/>
      <c r="F22" s="196"/>
      <c r="G22" s="196"/>
      <c r="H22" s="196"/>
      <c r="I22" s="196"/>
      <c r="J22" s="196"/>
      <c r="K22" s="196"/>
      <c r="L22" s="199"/>
      <c r="M22" s="197" t="s">
        <v>219</v>
      </c>
    </row>
    <row r="23" spans="1:13" ht="21" customHeight="1" x14ac:dyDescent="0.3">
      <c r="A23" s="200" t="s">
        <v>199</v>
      </c>
      <c r="B23" s="196"/>
      <c r="C23" s="196"/>
      <c r="D23" s="196"/>
      <c r="E23" s="196"/>
      <c r="F23" s="196"/>
      <c r="G23" s="196"/>
      <c r="H23" s="196"/>
      <c r="I23" s="196"/>
      <c r="J23" s="196"/>
      <c r="K23" s="196"/>
      <c r="L23" s="199"/>
      <c r="M23" s="197" t="s">
        <v>220</v>
      </c>
    </row>
    <row r="24" spans="1:13" ht="21" customHeight="1" x14ac:dyDescent="0.3">
      <c r="A24" s="200" t="s">
        <v>200</v>
      </c>
      <c r="B24" s="196"/>
      <c r="C24" s="196"/>
      <c r="D24" s="196"/>
      <c r="E24" s="196"/>
      <c r="F24" s="196"/>
      <c r="G24" s="196"/>
      <c r="H24" s="196"/>
      <c r="I24" s="196"/>
      <c r="J24" s="196"/>
      <c r="K24" s="196"/>
      <c r="L24" s="199"/>
      <c r="M24" s="197"/>
    </row>
    <row r="25" spans="1:13" ht="21" customHeight="1" x14ac:dyDescent="0.3">
      <c r="A25" s="200" t="s">
        <v>201</v>
      </c>
      <c r="B25" s="196"/>
      <c r="C25" s="196"/>
      <c r="D25" s="196"/>
      <c r="E25" s="196"/>
      <c r="F25" s="196"/>
      <c r="G25" s="196"/>
      <c r="H25" s="196"/>
      <c r="I25" s="196"/>
      <c r="J25" s="196"/>
      <c r="K25" s="196"/>
      <c r="L25" s="199"/>
      <c r="M25" s="197"/>
    </row>
    <row r="26" spans="1:13" ht="21" customHeight="1" x14ac:dyDescent="0.3">
      <c r="A26" s="200" t="s">
        <v>202</v>
      </c>
      <c r="B26" s="196"/>
      <c r="C26" s="196"/>
      <c r="D26" s="196"/>
      <c r="E26" s="196"/>
      <c r="F26" s="196"/>
      <c r="G26" s="196"/>
      <c r="H26" s="196"/>
      <c r="I26" s="196"/>
      <c r="J26" s="196"/>
      <c r="K26" s="196"/>
      <c r="L26" s="199"/>
      <c r="M26" s="199"/>
    </row>
    <row r="27" spans="1:13" ht="21" customHeight="1" x14ac:dyDescent="0.3">
      <c r="A27" s="200" t="s">
        <v>203</v>
      </c>
      <c r="B27" s="196"/>
      <c r="C27" s="196"/>
      <c r="D27" s="196"/>
      <c r="E27" s="196"/>
      <c r="F27" s="196"/>
      <c r="G27" s="196"/>
      <c r="H27" s="196"/>
      <c r="I27" s="196"/>
      <c r="J27" s="196"/>
      <c r="K27" s="196"/>
      <c r="L27" s="199"/>
      <c r="M27" s="199"/>
    </row>
    <row r="28" spans="1:13" ht="21" customHeight="1" x14ac:dyDescent="0.3">
      <c r="A28" s="200" t="s">
        <v>204</v>
      </c>
      <c r="B28" s="196"/>
      <c r="C28" s="196"/>
      <c r="D28" s="196"/>
      <c r="E28" s="196"/>
      <c r="F28" s="196"/>
      <c r="G28" s="196"/>
      <c r="H28" s="196"/>
      <c r="I28" s="196"/>
      <c r="J28" s="196"/>
      <c r="K28" s="196"/>
      <c r="L28" s="199"/>
      <c r="M28" s="199"/>
    </row>
    <row r="29" spans="1:13" ht="21" customHeight="1" x14ac:dyDescent="0.3">
      <c r="A29" s="200" t="s">
        <v>205</v>
      </c>
      <c r="B29" s="196"/>
      <c r="C29" s="196"/>
      <c r="D29" s="196"/>
      <c r="E29" s="196"/>
      <c r="F29" s="196"/>
      <c r="G29" s="196"/>
      <c r="H29" s="196"/>
      <c r="I29" s="196"/>
      <c r="J29" s="196"/>
      <c r="K29" s="196"/>
      <c r="L29" s="199"/>
      <c r="M29" s="199"/>
    </row>
    <row r="30" spans="1:13" ht="21" customHeight="1" x14ac:dyDescent="0.3">
      <c r="A30" s="200" t="s">
        <v>206</v>
      </c>
      <c r="B30" s="196"/>
      <c r="C30" s="196"/>
      <c r="D30" s="196"/>
      <c r="E30" s="196"/>
      <c r="F30" s="196"/>
      <c r="G30" s="196"/>
      <c r="H30" s="196"/>
      <c r="I30" s="196"/>
      <c r="J30" s="196"/>
      <c r="K30" s="196"/>
      <c r="L30" s="199"/>
      <c r="M30" s="199"/>
    </row>
    <row r="31" spans="1:13" ht="21" customHeight="1" x14ac:dyDescent="0.3">
      <c r="A31" s="200" t="s">
        <v>256</v>
      </c>
      <c r="B31" s="196"/>
      <c r="C31" s="196"/>
      <c r="D31" s="196"/>
      <c r="E31" s="196"/>
      <c r="F31" s="196"/>
      <c r="G31" s="196"/>
      <c r="H31" s="196"/>
      <c r="I31" s="196"/>
      <c r="J31" s="196"/>
      <c r="K31" s="196"/>
      <c r="L31" s="199"/>
      <c r="M31" s="199"/>
    </row>
    <row r="32" spans="1:13" ht="21" customHeight="1" x14ac:dyDescent="0.3">
      <c r="A32" s="200" t="s">
        <v>255</v>
      </c>
      <c r="B32" s="196"/>
      <c r="C32" s="196"/>
      <c r="D32" s="196"/>
      <c r="E32" s="196"/>
      <c r="F32" s="196"/>
      <c r="G32" s="196"/>
      <c r="H32" s="196"/>
      <c r="I32" s="196"/>
      <c r="J32" s="196"/>
      <c r="K32" s="196"/>
      <c r="L32" s="199"/>
      <c r="M32" s="199"/>
    </row>
    <row r="33" spans="1:13" ht="21" customHeight="1" thickBot="1" x14ac:dyDescent="0.3">
      <c r="B33" s="133"/>
      <c r="C33" s="133"/>
      <c r="D33" s="133"/>
      <c r="E33" s="133"/>
      <c r="F33" s="133"/>
      <c r="G33" s="133"/>
      <c r="H33" s="133"/>
      <c r="I33" s="133"/>
      <c r="J33" s="133"/>
      <c r="K33" s="133"/>
      <c r="L33" s="166"/>
      <c r="M33" s="167"/>
    </row>
    <row r="34" spans="1:13" ht="21" customHeight="1" thickBot="1" x14ac:dyDescent="0.4">
      <c r="A34" s="9" t="s">
        <v>207</v>
      </c>
      <c r="B34" s="169"/>
      <c r="C34" s="169"/>
      <c r="D34" s="169"/>
      <c r="E34" s="169"/>
      <c r="F34" s="169"/>
      <c r="G34" s="169"/>
      <c r="H34" s="169"/>
      <c r="I34" s="169"/>
      <c r="J34" s="169"/>
      <c r="K34" s="169"/>
      <c r="M34" t="s">
        <v>218</v>
      </c>
    </row>
    <row r="35" spans="1:13" ht="9.75" customHeight="1" x14ac:dyDescent="0.3">
      <c r="A35" s="132"/>
      <c r="B35" s="133"/>
      <c r="C35" s="133"/>
      <c r="D35" s="133"/>
      <c r="E35" s="133"/>
      <c r="F35" s="133"/>
      <c r="G35" s="133"/>
      <c r="H35" s="133"/>
      <c r="I35" s="133"/>
      <c r="J35" s="133"/>
      <c r="K35" s="133"/>
    </row>
    <row r="36" spans="1:13" ht="21" customHeight="1" x14ac:dyDescent="0.3">
      <c r="A36" s="195" t="s">
        <v>73</v>
      </c>
      <c r="B36" s="196"/>
      <c r="C36" s="196"/>
      <c r="D36" s="196"/>
      <c r="E36" s="196"/>
      <c r="F36" s="196"/>
      <c r="G36" s="196"/>
      <c r="H36" s="196"/>
      <c r="I36" s="196"/>
      <c r="J36" s="196"/>
      <c r="K36" s="196"/>
      <c r="L36" s="199"/>
      <c r="M36" s="197" t="s">
        <v>222</v>
      </c>
    </row>
    <row r="37" spans="1:13" ht="21" customHeight="1" x14ac:dyDescent="0.3">
      <c r="A37" s="195" t="s">
        <v>76</v>
      </c>
      <c r="B37" s="196"/>
      <c r="C37" s="196"/>
      <c r="D37" s="196"/>
      <c r="E37" s="196"/>
      <c r="F37" s="196"/>
      <c r="G37" s="196"/>
      <c r="H37" s="196"/>
      <c r="I37" s="196"/>
      <c r="J37" s="196"/>
      <c r="K37" s="196"/>
      <c r="L37" s="199"/>
      <c r="M37" s="197" t="s">
        <v>221</v>
      </c>
    </row>
    <row r="38" spans="1:13" ht="21" customHeight="1" x14ac:dyDescent="0.3">
      <c r="A38" s="195" t="s">
        <v>69</v>
      </c>
      <c r="B38" s="196"/>
      <c r="C38" s="196"/>
      <c r="D38" s="196"/>
      <c r="E38" s="196"/>
      <c r="F38" s="196"/>
      <c r="G38" s="196"/>
      <c r="H38" s="196"/>
      <c r="I38" s="196"/>
      <c r="J38" s="196"/>
      <c r="K38" s="196"/>
      <c r="L38" s="199"/>
      <c r="M38" s="197" t="s">
        <v>270</v>
      </c>
    </row>
    <row r="39" spans="1:13" ht="21" customHeight="1" x14ac:dyDescent="0.3">
      <c r="A39" s="195" t="s">
        <v>71</v>
      </c>
      <c r="B39" s="196"/>
      <c r="C39" s="196"/>
      <c r="D39" s="196"/>
      <c r="E39" s="196"/>
      <c r="F39" s="196"/>
      <c r="G39" s="196"/>
      <c r="H39" s="196"/>
      <c r="I39" s="196"/>
      <c r="J39" s="196"/>
      <c r="K39" s="196"/>
      <c r="L39" s="199"/>
      <c r="M39" s="197" t="s">
        <v>219</v>
      </c>
    </row>
    <row r="40" spans="1:13" ht="21" customHeight="1" x14ac:dyDescent="0.3">
      <c r="A40" s="195" t="s">
        <v>70</v>
      </c>
      <c r="B40" s="196"/>
      <c r="C40" s="196"/>
      <c r="D40" s="196"/>
      <c r="E40" s="196"/>
      <c r="F40" s="196"/>
      <c r="G40" s="196"/>
      <c r="H40" s="196"/>
      <c r="I40" s="196"/>
      <c r="J40" s="196"/>
      <c r="K40" s="196"/>
      <c r="L40" s="199"/>
      <c r="M40" s="197" t="s">
        <v>220</v>
      </c>
    </row>
    <row r="41" spans="1:13" ht="21" customHeight="1" x14ac:dyDescent="0.3">
      <c r="A41" s="199" t="s">
        <v>72</v>
      </c>
      <c r="B41" s="196"/>
      <c r="C41" s="196"/>
      <c r="D41" s="196"/>
      <c r="E41" s="196"/>
      <c r="F41" s="196"/>
      <c r="G41" s="196"/>
      <c r="H41" s="196"/>
      <c r="I41" s="196"/>
      <c r="J41" s="196"/>
      <c r="K41" s="196"/>
      <c r="L41" s="199"/>
      <c r="M41" s="199"/>
    </row>
    <row r="42" spans="1:13" ht="21" customHeight="1" x14ac:dyDescent="0.3">
      <c r="A42" s="195" t="s">
        <v>74</v>
      </c>
      <c r="B42" s="196"/>
      <c r="C42" s="196"/>
      <c r="D42" s="196"/>
      <c r="E42" s="196"/>
      <c r="F42" s="196"/>
      <c r="G42" s="196"/>
      <c r="H42" s="196"/>
      <c r="I42" s="196"/>
      <c r="J42" s="196"/>
      <c r="K42" s="196"/>
      <c r="L42" s="199"/>
      <c r="M42" s="199"/>
    </row>
    <row r="43" spans="1:13" ht="21" customHeight="1" x14ac:dyDescent="0.3">
      <c r="A43" s="195" t="s">
        <v>208</v>
      </c>
      <c r="B43" s="196"/>
      <c r="C43" s="196"/>
      <c r="D43" s="196"/>
      <c r="E43" s="196"/>
      <c r="F43" s="196"/>
      <c r="G43" s="196"/>
      <c r="H43" s="196"/>
      <c r="I43" s="196"/>
      <c r="J43" s="196"/>
      <c r="K43" s="196"/>
      <c r="L43" s="199"/>
      <c r="M43" s="199"/>
    </row>
    <row r="44" spans="1:13" ht="21" customHeight="1" x14ac:dyDescent="0.3">
      <c r="A44" s="195" t="s">
        <v>77</v>
      </c>
      <c r="B44" s="196"/>
      <c r="C44" s="196"/>
      <c r="D44" s="196"/>
      <c r="E44" s="196"/>
      <c r="F44" s="196"/>
      <c r="G44" s="196"/>
      <c r="H44" s="196"/>
      <c r="I44" s="196"/>
      <c r="J44" s="196"/>
      <c r="K44" s="196"/>
      <c r="L44" s="199"/>
      <c r="M44" s="199"/>
    </row>
    <row r="45" spans="1:13" ht="21" customHeight="1" x14ac:dyDescent="0.3">
      <c r="A45" s="195" t="s">
        <v>78</v>
      </c>
      <c r="B45" s="196"/>
      <c r="C45" s="196"/>
      <c r="D45" s="196"/>
      <c r="E45" s="196"/>
      <c r="F45" s="196"/>
      <c r="G45" s="196"/>
      <c r="H45" s="196"/>
      <c r="I45" s="196"/>
      <c r="J45" s="196"/>
      <c r="K45" s="196"/>
      <c r="L45" s="199"/>
      <c r="M45" s="199"/>
    </row>
    <row r="46" spans="1:13" ht="21" customHeight="1" x14ac:dyDescent="0.3">
      <c r="A46" s="195" t="s">
        <v>79</v>
      </c>
      <c r="B46" s="196"/>
      <c r="C46" s="196"/>
      <c r="D46" s="196"/>
      <c r="E46" s="196"/>
      <c r="F46" s="196"/>
      <c r="G46" s="196"/>
      <c r="H46" s="196"/>
      <c r="I46" s="196"/>
      <c r="J46" s="196"/>
      <c r="K46" s="196"/>
      <c r="L46" s="199"/>
      <c r="M46" s="199"/>
    </row>
    <row r="47" spans="1:13" ht="21" customHeight="1" x14ac:dyDescent="0.3">
      <c r="A47" s="195" t="s">
        <v>75</v>
      </c>
      <c r="B47" s="196"/>
      <c r="C47" s="196"/>
      <c r="D47" s="196"/>
      <c r="E47" s="196"/>
      <c r="F47" s="196"/>
      <c r="G47" s="196"/>
      <c r="H47" s="196"/>
      <c r="I47" s="196"/>
      <c r="J47" s="196"/>
      <c r="K47" s="196"/>
      <c r="L47" s="199"/>
      <c r="M47" s="199"/>
    </row>
    <row r="48" spans="1:13" ht="21" customHeight="1" x14ac:dyDescent="0.3">
      <c r="A48" s="200" t="s">
        <v>255</v>
      </c>
      <c r="B48" s="196"/>
      <c r="C48" s="196"/>
      <c r="D48" s="196"/>
      <c r="E48" s="196"/>
      <c r="F48" s="196"/>
      <c r="G48" s="196"/>
      <c r="H48" s="196"/>
      <c r="I48" s="196"/>
      <c r="J48" s="196"/>
      <c r="K48" s="196"/>
      <c r="L48" s="199"/>
      <c r="M48" s="199"/>
    </row>
    <row r="49" spans="1:13" ht="21" customHeight="1" thickBot="1" x14ac:dyDescent="0.3"/>
    <row r="50" spans="1:13" ht="21" customHeight="1" thickBot="1" x14ac:dyDescent="0.4">
      <c r="A50" s="9" t="s">
        <v>209</v>
      </c>
      <c r="B50" s="169"/>
      <c r="C50" s="169"/>
      <c r="D50" s="169"/>
      <c r="E50" s="169"/>
      <c r="F50" s="169"/>
      <c r="G50" s="169"/>
      <c r="H50" s="169"/>
      <c r="I50" s="169"/>
      <c r="J50" s="169"/>
      <c r="K50" s="169"/>
      <c r="L50" s="24"/>
      <c r="M50" t="s">
        <v>218</v>
      </c>
    </row>
    <row r="51" spans="1:13" ht="11.25" customHeight="1" x14ac:dyDescent="0.3">
      <c r="A51" s="132"/>
      <c r="B51" s="133"/>
      <c r="C51" s="133"/>
      <c r="D51" s="133"/>
      <c r="E51" s="133"/>
      <c r="F51" s="133"/>
      <c r="G51" s="133"/>
      <c r="H51" s="133"/>
      <c r="I51" s="133"/>
      <c r="J51" s="133"/>
      <c r="K51" s="133"/>
    </row>
    <row r="52" spans="1:13" ht="21" customHeight="1" x14ac:dyDescent="0.3">
      <c r="A52" s="201" t="s">
        <v>210</v>
      </c>
      <c r="B52" s="202"/>
      <c r="C52" s="202"/>
      <c r="D52" s="202"/>
      <c r="E52" s="202"/>
      <c r="F52" s="202"/>
      <c r="G52" s="202"/>
      <c r="H52" s="202"/>
      <c r="I52" s="202"/>
      <c r="J52" s="202"/>
      <c r="K52" s="202"/>
      <c r="L52" s="203"/>
      <c r="M52" s="197" t="s">
        <v>223</v>
      </c>
    </row>
    <row r="53" spans="1:13" ht="21" customHeight="1" x14ac:dyDescent="0.3">
      <c r="A53" s="201" t="s">
        <v>211</v>
      </c>
      <c r="B53" s="202"/>
      <c r="C53" s="202"/>
      <c r="D53" s="202"/>
      <c r="E53" s="202"/>
      <c r="F53" s="202"/>
      <c r="G53" s="202"/>
      <c r="H53" s="202"/>
      <c r="I53" s="202"/>
      <c r="J53" s="202"/>
      <c r="K53" s="202"/>
      <c r="L53" s="203"/>
      <c r="M53" s="197" t="s">
        <v>224</v>
      </c>
    </row>
    <row r="54" spans="1:13" ht="21" customHeight="1" x14ac:dyDescent="0.3">
      <c r="A54" s="201" t="s">
        <v>212</v>
      </c>
      <c r="B54" s="202"/>
      <c r="C54" s="202"/>
      <c r="D54" s="202"/>
      <c r="E54" s="202"/>
      <c r="F54" s="202"/>
      <c r="G54" s="202"/>
      <c r="H54" s="202"/>
      <c r="I54" s="202"/>
      <c r="J54" s="202"/>
      <c r="K54" s="202"/>
      <c r="L54" s="203"/>
      <c r="M54" s="197" t="s">
        <v>271</v>
      </c>
    </row>
    <row r="55" spans="1:13" ht="21" customHeight="1" x14ac:dyDescent="0.3">
      <c r="A55" s="201" t="s">
        <v>213</v>
      </c>
      <c r="B55" s="202"/>
      <c r="C55" s="202"/>
      <c r="D55" s="202"/>
      <c r="E55" s="202"/>
      <c r="F55" s="202"/>
      <c r="G55" s="202"/>
      <c r="H55" s="202"/>
      <c r="I55" s="202"/>
      <c r="J55" s="202"/>
      <c r="K55" s="202"/>
      <c r="L55" s="203"/>
      <c r="M55" s="197" t="s">
        <v>225</v>
      </c>
    </row>
    <row r="56" spans="1:13" ht="21" customHeight="1" x14ac:dyDescent="0.3">
      <c r="A56" s="201" t="s">
        <v>214</v>
      </c>
      <c r="B56" s="202"/>
      <c r="C56" s="202"/>
      <c r="D56" s="202"/>
      <c r="E56" s="202"/>
      <c r="F56" s="202"/>
      <c r="G56" s="202"/>
      <c r="H56" s="202"/>
      <c r="I56" s="202"/>
      <c r="J56" s="202"/>
      <c r="K56" s="202"/>
      <c r="L56" s="203"/>
      <c r="M56" s="197" t="s">
        <v>226</v>
      </c>
    </row>
    <row r="57" spans="1:13" ht="21" customHeight="1" x14ac:dyDescent="0.3">
      <c r="A57" s="201" t="s">
        <v>215</v>
      </c>
      <c r="B57" s="202"/>
      <c r="C57" s="202"/>
      <c r="D57" s="202"/>
      <c r="E57" s="202"/>
      <c r="F57" s="202"/>
      <c r="G57" s="202"/>
      <c r="H57" s="202"/>
      <c r="I57" s="202"/>
      <c r="J57" s="202"/>
      <c r="K57" s="202"/>
      <c r="L57" s="203"/>
      <c r="M57" s="199"/>
    </row>
    <row r="58" spans="1:13" ht="21" customHeight="1" x14ac:dyDescent="0.3">
      <c r="A58" s="201" t="s">
        <v>216</v>
      </c>
      <c r="B58" s="202"/>
      <c r="C58" s="202"/>
      <c r="D58" s="202"/>
      <c r="E58" s="202"/>
      <c r="F58" s="202"/>
      <c r="G58" s="202"/>
      <c r="H58" s="202"/>
      <c r="I58" s="202"/>
      <c r="J58" s="202"/>
      <c r="K58" s="202"/>
      <c r="L58" s="203"/>
      <c r="M58" s="199"/>
    </row>
    <row r="59" spans="1:13" ht="21" customHeight="1" x14ac:dyDescent="0.3">
      <c r="A59" s="200" t="s">
        <v>255</v>
      </c>
      <c r="B59" s="204"/>
      <c r="C59" s="204"/>
      <c r="D59" s="204"/>
      <c r="E59" s="204"/>
      <c r="F59" s="204"/>
      <c r="G59" s="204"/>
      <c r="H59" s="204"/>
      <c r="I59" s="204"/>
      <c r="J59" s="204"/>
      <c r="K59" s="204"/>
      <c r="L59" s="199"/>
      <c r="M59" s="199"/>
    </row>
    <row r="60" spans="1:13" ht="21" customHeight="1" thickBot="1" x14ac:dyDescent="0.3">
      <c r="A60" s="165"/>
      <c r="B60" s="168"/>
      <c r="C60" s="168"/>
      <c r="D60" s="168"/>
      <c r="E60" s="168"/>
      <c r="F60" s="168"/>
      <c r="G60" s="168"/>
      <c r="H60" s="168"/>
      <c r="I60" s="168"/>
      <c r="J60" s="168"/>
      <c r="K60" s="168"/>
    </row>
    <row r="61" spans="1:13" ht="21" customHeight="1" thickBot="1" x14ac:dyDescent="0.4">
      <c r="A61" s="9" t="s">
        <v>266</v>
      </c>
      <c r="B61" s="169"/>
      <c r="C61" s="169"/>
      <c r="D61" s="169"/>
      <c r="E61" s="169"/>
      <c r="F61" s="169"/>
      <c r="G61" s="169"/>
      <c r="H61" s="169"/>
      <c r="I61" s="169"/>
      <c r="J61" s="169"/>
      <c r="K61" s="169"/>
      <c r="M61" t="s">
        <v>218</v>
      </c>
    </row>
    <row r="62" spans="1:13" ht="11.25" customHeight="1" x14ac:dyDescent="0.3">
      <c r="A62" s="132"/>
      <c r="B62" s="133"/>
      <c r="C62" s="133"/>
      <c r="D62" s="133"/>
      <c r="E62" s="133"/>
      <c r="F62" s="133"/>
      <c r="G62" s="133"/>
      <c r="H62" s="133"/>
      <c r="I62" s="133"/>
      <c r="J62" s="133"/>
      <c r="K62" s="133"/>
    </row>
    <row r="63" spans="1:13" ht="21" customHeight="1" x14ac:dyDescent="0.3">
      <c r="A63" s="200" t="s">
        <v>217</v>
      </c>
      <c r="B63" s="130"/>
      <c r="C63" s="130"/>
      <c r="D63" s="130"/>
      <c r="E63" s="130"/>
      <c r="F63" s="130"/>
      <c r="G63" s="130"/>
      <c r="H63" s="130"/>
      <c r="I63" s="130"/>
      <c r="J63" s="130"/>
      <c r="K63" s="130"/>
      <c r="M63" s="197" t="s">
        <v>227</v>
      </c>
    </row>
    <row r="64" spans="1:13" ht="21" customHeight="1" x14ac:dyDescent="0.3">
      <c r="M64" s="197" t="s">
        <v>228</v>
      </c>
    </row>
    <row r="65" spans="1:13" ht="21" customHeight="1" x14ac:dyDescent="0.3">
      <c r="M65" s="197" t="s">
        <v>272</v>
      </c>
    </row>
    <row r="66" spans="1:13" ht="21" customHeight="1" thickBot="1" x14ac:dyDescent="0.35">
      <c r="M66" s="197" t="s">
        <v>229</v>
      </c>
    </row>
    <row r="67" spans="1:13" ht="21" customHeight="1" thickBot="1" x14ac:dyDescent="0.35">
      <c r="A67" s="206" t="s">
        <v>230</v>
      </c>
      <c r="B67" s="169"/>
      <c r="C67" s="169"/>
      <c r="D67" s="169"/>
      <c r="E67" s="169"/>
      <c r="F67" s="169"/>
      <c r="G67" s="169"/>
      <c r="H67" s="169"/>
      <c r="I67" s="169"/>
      <c r="J67" s="169"/>
      <c r="K67" s="169"/>
      <c r="M67" s="205" t="s">
        <v>257</v>
      </c>
    </row>
  </sheetData>
  <phoneticPr fontId="18" type="noConversion"/>
  <pageMargins left="0.7" right="0.7" top="0.28270833333333334" bottom="0.30170454545454545" header="0.3" footer="0.30170454545454545"/>
  <pageSetup paperSize="9" scale="59" orientation="portrait" verticalDpi="599" r:id="rId1"/>
  <headerFooter alignWithMargins="0">
    <oddHeader>&amp;C&amp;18Variety Checklist&amp;R&amp;G</oddHeader>
  </headerFooter>
  <colBreaks count="1" manualBreakCount="1">
    <brk id="13" max="1048575" man="1"/>
  </colBreaks>
  <legacyDrawingHF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extRes">
    <tabColor indexed="15"/>
  </sheetPr>
  <dimension ref="A1:H27"/>
  <sheetViews>
    <sheetView showRowColHeaders="0" showWhiteSpace="0" view="pageLayout" zoomScaleNormal="85" workbookViewId="0"/>
  </sheetViews>
  <sheetFormatPr defaultRowHeight="15" x14ac:dyDescent="0.25"/>
  <cols>
    <col min="1" max="1" width="84.28515625" customWidth="1"/>
    <col min="2" max="256" width="11.42578125" customWidth="1"/>
  </cols>
  <sheetData>
    <row r="1" spans="1:8" ht="12" customHeight="1" x14ac:dyDescent="0.25">
      <c r="A1" t="str">
        <f>Starterlist!A1</f>
        <v>My Test Tournament</v>
      </c>
    </row>
    <row r="2" spans="1:8" ht="12" customHeight="1" x14ac:dyDescent="0.25">
      <c r="A2" s="24" t="str">
        <f>Starterlist!A2</f>
        <v>Ryan's House</v>
      </c>
    </row>
    <row r="3" spans="1:8" ht="12" customHeight="1" x14ac:dyDescent="0.25">
      <c r="A3" s="134" t="str">
        <f>Starterlist!G3</f>
        <v>1/1/0001</v>
      </c>
    </row>
    <row r="4" spans="1:8" ht="12" customHeight="1" x14ac:dyDescent="0.25">
      <c r="H4" s="24"/>
    </row>
    <row r="5" spans="1:8" ht="12" customHeight="1" x14ac:dyDescent="0.25">
      <c r="A5" t="str">
        <f>CONCATENATE(Starterlist!B4," ",Starterlist!C4," ",Starterlist!D3," ",Starterlist!D4)</f>
        <v>Coop Semifinals Pool A</v>
      </c>
      <c r="D5" s="136"/>
      <c r="E5" s="137"/>
      <c r="H5" s="24"/>
    </row>
    <row r="6" spans="1:8" ht="12" customHeight="1" x14ac:dyDescent="0.25">
      <c r="H6" s="24"/>
    </row>
    <row r="7" spans="1:8" x14ac:dyDescent="0.25">
      <c r="A7" t="str">
        <f>IF(Results!S6 = "", "", CONCATENATE(Results!S6, ". ",Export!B6,"/",Export!C6,IF(Export!D6=0,"","/"),IF(Export!D6=0,"",Export!D6)," (","TOT ",ROUND(Results!R6,1)," | EX ",ROUND(Results!O6,1)," | AI ",ROUND(Results!P6,1)," | DIF ",ROUND(Results!Q6,1),")"))</f>
        <v/>
      </c>
      <c r="B7" s="138" t="str">
        <f ca="1">IF(Results!S6="","",OFFSET(Points,0,MATCH(Settings!B5,OFFSET(Points,0,0,1,COLUMNS(Points)),0)-1,ROWS(Points),1))</f>
        <v/>
      </c>
      <c r="C7" s="138"/>
      <c r="D7" s="138"/>
      <c r="E7" s="138"/>
      <c r="F7" s="138"/>
      <c r="G7" s="138"/>
    </row>
    <row r="8" spans="1:8" x14ac:dyDescent="0.25">
      <c r="A8" t="str">
        <f>IF(Results!S7 = "", "", CONCATENATE(Results!S7, ". ",Export!B7,"/",Export!C7,IF(Export!D7=0,"","/"),IF(Export!D7=0,"",Export!D7)," (","TOT ",ROUND(Results!R7,1)," | EX ",ROUND(Results!O7,1)," | AI ",ROUND(Results!P7,1)," | DIF ",ROUND(Results!Q7,1),")"))</f>
        <v/>
      </c>
      <c r="B8" s="138" t="str">
        <f ca="1">IF(Results!S7 = "", "", OFFSET(Points,0,MATCH(Settings!B5,OFFSET(Points,0,0,1,COLUMNS(Points)),0)-1,ROWS(Points),1))</f>
        <v/>
      </c>
      <c r="C8" s="138"/>
      <c r="D8" s="138"/>
      <c r="E8" s="138"/>
      <c r="F8" s="138"/>
      <c r="G8" s="138"/>
    </row>
    <row r="9" spans="1:8" x14ac:dyDescent="0.25">
      <c r="A9" t="str">
        <f>IF(Results!S8 = "", "", CONCATENATE(Results!S8, ". ",Export!B8,"/",Export!C8,IF(Export!D8=0,"","/"),IF(Export!D8=0,"",Export!D8)," (","TOT ",ROUND(Results!R8,1)," | EX ",ROUND(Results!O8,1)," | AI ",ROUND(Results!P8,1)," | DIF ",ROUND(Results!Q8,1),")"))</f>
        <v/>
      </c>
      <c r="B9" s="138" t="str">
        <f ca="1">IF(Results!S8 = "", "", OFFSET(Points,0,MATCH(Settings!B5,OFFSET(Points,0,0,1,COLUMNS(Points)),0)-1,ROWS(Points),1))</f>
        <v/>
      </c>
      <c r="C9" s="138"/>
      <c r="D9" s="138"/>
      <c r="E9" s="138"/>
      <c r="F9" s="138"/>
      <c r="G9" s="138"/>
    </row>
    <row r="10" spans="1:8" x14ac:dyDescent="0.25">
      <c r="A10" t="str">
        <f>IF(Results!S9 = "", "", CONCATENATE(Results!S9, ". ",Export!B9,"/",Export!C9,IF(Export!D9=0,"","/"),IF(Export!D9=0,"",Export!D9)," (","TOT ",ROUND(Results!R9,1)," | EX ",ROUND(Results!O9,1)," | AI ",ROUND(Results!P9,1)," | DIF ",ROUND(Results!Q9,1),")"))</f>
        <v/>
      </c>
      <c r="B10" s="138" t="str">
        <f ca="1">IF(Results!S9 = "", "", OFFSET(Points,0,MATCH(Settings!B5,OFFSET(Points,0,0,1,COLUMNS(Points)),0)-1,ROWS(Points),1))</f>
        <v/>
      </c>
      <c r="C10" s="138"/>
      <c r="D10" s="138"/>
      <c r="E10" s="138"/>
      <c r="F10" s="138"/>
      <c r="G10" s="138"/>
    </row>
    <row r="11" spans="1:8" x14ac:dyDescent="0.25">
      <c r="A11" t="str">
        <f>IF(Results!S10 = "", "", CONCATENATE(Results!S10, ". ",Export!B10,"/",Export!C10,IF(Export!D10=0,"","/"),IF(Export!D10=0,"",Export!D10)," (","TOT ",ROUND(Results!R10,1)," | EX ",ROUND(Results!O10,1)," | AI ",ROUND(Results!P10,1)," | DIF ",ROUND(Results!Q10,1),")"))</f>
        <v/>
      </c>
      <c r="B11" s="138" t="str">
        <f ca="1">IF(Results!S10 = "", "", OFFSET(Points,0,MATCH(Settings!B5,OFFSET(Points,0,0,1,COLUMNS(Points)),0)-1,ROWS(Points),1))</f>
        <v/>
      </c>
      <c r="C11" s="138"/>
      <c r="D11" s="138"/>
      <c r="E11" s="138"/>
      <c r="F11" s="138"/>
      <c r="G11" s="138"/>
    </row>
    <row r="12" spans="1:8" x14ac:dyDescent="0.25">
      <c r="A12" t="str">
        <f>IF(Results!S11 = "", "", CONCATENATE(Results!S11, ". ",Export!B11,"/",Export!C11,IF(Export!D11=0,"","/"),IF(Export!D11=0,"",Export!D11)," (","TOT ",ROUND(Results!R11,1)," | EX ",ROUND(Results!O11,1)," | AI ",ROUND(Results!P11,1)," | DIF ",ROUND(Results!Q11,1),")"))</f>
        <v/>
      </c>
      <c r="B12" s="138" t="str">
        <f ca="1">IF(Results!S11 = "", "", OFFSET(Points,0,MATCH(Settings!B5,OFFSET(Points,0,0,1,COLUMNS(Points)),0)-1,ROWS(Points),1))</f>
        <v/>
      </c>
      <c r="C12" s="138"/>
      <c r="D12" s="138"/>
      <c r="E12" s="138"/>
      <c r="F12" s="138"/>
      <c r="G12" s="138"/>
    </row>
    <row r="13" spans="1:8" x14ac:dyDescent="0.25">
      <c r="A13" t="str">
        <f>IF(Results!S12 = "", "", CONCATENATE(Results!S12, ". ",Export!B12,"/",Export!C12,IF(Export!D12=0,"","/"),IF(Export!D12=0,"",Export!D12)," (","TOT ",ROUND(Results!R12,1)," | EX ",ROUND(Results!O12,1)," | AI ",ROUND(Results!P12,1)," | DIF ",ROUND(Results!Q12,1),")"))</f>
        <v/>
      </c>
      <c r="B13" s="138" t="str">
        <f ca="1">IF(Results!S12 = "", "", OFFSET(Points,0,MATCH(Settings!B5,OFFSET(Points,0,0,1,COLUMNS(Points)),0)-1,ROWS(Points),1))</f>
        <v/>
      </c>
      <c r="C13" s="138"/>
      <c r="D13" s="138"/>
      <c r="E13" s="138"/>
      <c r="F13" s="138"/>
      <c r="G13" s="138"/>
    </row>
    <row r="14" spans="1:8" x14ac:dyDescent="0.25">
      <c r="A14" t="str">
        <f>IF(Results!S13 = "", "", CONCATENATE(Results!S13, ". ",Export!B13,"/",Export!C13,IF(Export!D13=0,"","/"),IF(Export!D13=0,"",Export!D13)," (","TOT ",ROUND(Results!R13,1)," | EX ",ROUND(Results!O13,1)," | AI ",ROUND(Results!P13,1)," | DIF ",ROUND(Results!Q13,1),")"))</f>
        <v/>
      </c>
      <c r="B14" s="138" t="str">
        <f ca="1">IF(Results!S13 = "", "", OFFSET(Points,0,MATCH(Settings!B5,OFFSET(Points,0,0,1,COLUMNS(Points)),0)-1,ROWS(Points),1))</f>
        <v/>
      </c>
      <c r="C14" s="138"/>
      <c r="D14" s="138"/>
      <c r="E14" s="138"/>
      <c r="F14" s="138"/>
      <c r="G14" s="138"/>
    </row>
    <row r="15" spans="1:8" x14ac:dyDescent="0.25">
      <c r="B15" s="138"/>
    </row>
    <row r="16" spans="1:8" x14ac:dyDescent="0.25">
      <c r="B16" s="138"/>
    </row>
    <row r="17" spans="1:2" x14ac:dyDescent="0.25">
      <c r="B17" s="138"/>
    </row>
    <row r="18" spans="1:2" x14ac:dyDescent="0.25">
      <c r="B18" s="138"/>
    </row>
    <row r="19" spans="1:2" x14ac:dyDescent="0.25">
      <c r="B19" s="138"/>
    </row>
    <row r="27" spans="1:2" x14ac:dyDescent="0.25">
      <c r="A27" s="135"/>
    </row>
  </sheetData>
  <dataConsolidate/>
  <phoneticPr fontId="0" type="noConversion"/>
  <dataValidations disablePrompts="1" count="1">
    <dataValidation type="list" allowBlank="1" showInputMessage="1" showErrorMessage="1" sqref="C4">
      <formula1>EventType</formula1>
    </dataValidation>
  </dataValidations>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&amp;C&amp;18Results &amp;R&amp;G</oddHeader>
  </headerFooter>
  <legacyDrawingHF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118"/>
  <sheetViews>
    <sheetView topLeftCell="A31" zoomScale="85" zoomScaleNormal="85" workbookViewId="0">
      <selection activeCell="C4" sqref="C4"/>
    </sheetView>
  </sheetViews>
  <sheetFormatPr defaultRowHeight="15" x14ac:dyDescent="0.25"/>
  <cols>
    <col min="1" max="1" width="12.42578125" style="170" customWidth="1"/>
    <col min="2" max="2" width="11.28515625" style="170" customWidth="1"/>
    <col min="3" max="3" width="28.85546875" style="170" customWidth="1"/>
    <col min="4" max="4" width="8" style="170" customWidth="1"/>
    <col min="5" max="5" width="14.140625" style="171" customWidth="1"/>
    <col min="6" max="7" width="10.85546875" style="170" customWidth="1"/>
    <col min="8" max="8" width="9.140625" style="170" customWidth="1"/>
    <col min="9" max="256" width="11.42578125" style="170" customWidth="1"/>
    <col min="257" max="16384" width="9.140625" style="170"/>
  </cols>
  <sheetData>
    <row r="1" spans="1:8" x14ac:dyDescent="0.25">
      <c r="A1" s="161" t="s">
        <v>1478</v>
      </c>
      <c r="B1" s="161" t="s">
        <v>1479</v>
      </c>
      <c r="C1" s="161" t="s">
        <v>86</v>
      </c>
      <c r="D1" s="161" t="s">
        <v>153</v>
      </c>
      <c r="E1" s="161" t="s">
        <v>478</v>
      </c>
      <c r="F1" s="161" t="s">
        <v>479</v>
      </c>
      <c r="G1"/>
      <c r="H1" s="258" t="s">
        <v>267</v>
      </c>
    </row>
    <row r="2" spans="1:8" x14ac:dyDescent="0.25">
      <c r="A2" s="161">
        <v>1</v>
      </c>
      <c r="B2" s="161">
        <v>1</v>
      </c>
      <c r="C2" s="161" t="s">
        <v>480</v>
      </c>
      <c r="D2" s="161" t="s">
        <v>91</v>
      </c>
      <c r="E2" s="161">
        <v>1813.75</v>
      </c>
      <c r="F2" s="161">
        <v>14</v>
      </c>
      <c r="G2"/>
      <c r="H2">
        <f t="shared" ref="H2:H65" si="0">SUMPRODUCT((C$2:C$1090 &lt; C2)+(C2="")*1000)</f>
        <v>842</v>
      </c>
    </row>
    <row r="3" spans="1:8" x14ac:dyDescent="0.25">
      <c r="A3" s="161">
        <v>2</v>
      </c>
      <c r="B3" s="161">
        <v>2</v>
      </c>
      <c r="C3" s="161" t="s">
        <v>166</v>
      </c>
      <c r="D3" s="161" t="s">
        <v>98</v>
      </c>
      <c r="E3" s="161">
        <v>1421</v>
      </c>
      <c r="F3" s="161">
        <v>13</v>
      </c>
      <c r="G3"/>
      <c r="H3">
        <f t="shared" si="0"/>
        <v>464</v>
      </c>
    </row>
    <row r="4" spans="1:8" x14ac:dyDescent="0.25">
      <c r="A4" s="161">
        <v>3</v>
      </c>
      <c r="B4" s="161">
        <v>3</v>
      </c>
      <c r="C4" s="161" t="s">
        <v>488</v>
      </c>
      <c r="D4" s="161" t="s">
        <v>98</v>
      </c>
      <c r="E4" s="161">
        <v>1406</v>
      </c>
      <c r="F4" s="161">
        <v>15</v>
      </c>
      <c r="G4"/>
      <c r="H4">
        <f t="shared" si="0"/>
        <v>188</v>
      </c>
    </row>
    <row r="5" spans="1:8" x14ac:dyDescent="0.25">
      <c r="A5" s="161">
        <v>4</v>
      </c>
      <c r="B5" s="161">
        <v>4</v>
      </c>
      <c r="C5" s="161" t="s">
        <v>491</v>
      </c>
      <c r="D5" s="161" t="s">
        <v>88</v>
      </c>
      <c r="E5" s="161">
        <v>1391.5</v>
      </c>
      <c r="F5" s="161">
        <v>11</v>
      </c>
      <c r="G5"/>
      <c r="H5">
        <f t="shared" si="0"/>
        <v>722</v>
      </c>
    </row>
    <row r="6" spans="1:8" x14ac:dyDescent="0.25">
      <c r="A6" s="161">
        <v>5</v>
      </c>
      <c r="B6" s="161">
        <v>6</v>
      </c>
      <c r="C6" s="161" t="s">
        <v>487</v>
      </c>
      <c r="D6" s="161" t="s">
        <v>98</v>
      </c>
      <c r="E6" s="161">
        <v>1327.5</v>
      </c>
      <c r="F6" s="161">
        <v>27</v>
      </c>
      <c r="G6"/>
      <c r="H6">
        <f t="shared" si="0"/>
        <v>775</v>
      </c>
    </row>
    <row r="7" spans="1:8" x14ac:dyDescent="0.25">
      <c r="A7" s="161">
        <v>6</v>
      </c>
      <c r="B7" s="161">
        <v>7</v>
      </c>
      <c r="C7" s="161" t="s">
        <v>502</v>
      </c>
      <c r="D7" s="161" t="s">
        <v>96</v>
      </c>
      <c r="E7" s="161">
        <v>1323.25</v>
      </c>
      <c r="F7" s="161">
        <v>8</v>
      </c>
      <c r="G7"/>
      <c r="H7">
        <f t="shared" si="0"/>
        <v>255</v>
      </c>
    </row>
    <row r="8" spans="1:8" x14ac:dyDescent="0.25">
      <c r="A8" s="161">
        <v>7</v>
      </c>
      <c r="B8" s="161">
        <v>5</v>
      </c>
      <c r="C8" s="161" t="s">
        <v>481</v>
      </c>
      <c r="D8" s="161" t="s">
        <v>91</v>
      </c>
      <c r="E8" s="161">
        <v>1316</v>
      </c>
      <c r="F8" s="161">
        <v>10</v>
      </c>
      <c r="G8"/>
      <c r="H8">
        <f t="shared" si="0"/>
        <v>544</v>
      </c>
    </row>
    <row r="9" spans="1:8" x14ac:dyDescent="0.25">
      <c r="A9" s="161">
        <v>8</v>
      </c>
      <c r="B9" s="161">
        <v>8</v>
      </c>
      <c r="C9" s="161" t="s">
        <v>484</v>
      </c>
      <c r="D9" s="161" t="s">
        <v>91</v>
      </c>
      <c r="E9" s="161">
        <v>1273.25</v>
      </c>
      <c r="F9" s="161">
        <v>18</v>
      </c>
      <c r="G9"/>
      <c r="H9">
        <f t="shared" si="0"/>
        <v>550</v>
      </c>
    </row>
    <row r="10" spans="1:8" x14ac:dyDescent="0.25">
      <c r="A10" s="161">
        <v>9</v>
      </c>
      <c r="B10" s="161">
        <v>9</v>
      </c>
      <c r="C10" s="161" t="s">
        <v>483</v>
      </c>
      <c r="D10" s="161" t="s">
        <v>91</v>
      </c>
      <c r="E10" s="161">
        <v>1247.75</v>
      </c>
      <c r="F10" s="161">
        <v>18</v>
      </c>
      <c r="G10"/>
      <c r="H10">
        <f t="shared" si="0"/>
        <v>759</v>
      </c>
    </row>
    <row r="11" spans="1:8" x14ac:dyDescent="0.25">
      <c r="A11" s="161">
        <v>10</v>
      </c>
      <c r="B11" s="161">
        <v>10</v>
      </c>
      <c r="C11" s="161" t="s">
        <v>1324</v>
      </c>
      <c r="D11" s="161" t="s">
        <v>98</v>
      </c>
      <c r="E11" s="161">
        <v>1178.75</v>
      </c>
      <c r="F11" s="161">
        <v>29</v>
      </c>
      <c r="G11"/>
      <c r="H11">
        <f t="shared" si="0"/>
        <v>473</v>
      </c>
    </row>
    <row r="12" spans="1:8" x14ac:dyDescent="0.25">
      <c r="A12" s="161">
        <v>11</v>
      </c>
      <c r="B12" s="161">
        <v>11</v>
      </c>
      <c r="C12" s="161" t="s">
        <v>486</v>
      </c>
      <c r="D12" s="161" t="s">
        <v>88</v>
      </c>
      <c r="E12" s="161">
        <v>1177.5</v>
      </c>
      <c r="F12" s="161">
        <v>17</v>
      </c>
      <c r="G12"/>
      <c r="H12">
        <f t="shared" si="0"/>
        <v>443</v>
      </c>
    </row>
    <row r="13" spans="1:8" x14ac:dyDescent="0.25">
      <c r="A13" s="161">
        <v>12</v>
      </c>
      <c r="B13" s="161">
        <v>12</v>
      </c>
      <c r="C13" s="161" t="s">
        <v>495</v>
      </c>
      <c r="D13" s="161" t="s">
        <v>98</v>
      </c>
      <c r="E13" s="161">
        <v>1050.75</v>
      </c>
      <c r="F13" s="161">
        <v>22</v>
      </c>
      <c r="G13"/>
      <c r="H13">
        <f t="shared" si="0"/>
        <v>946</v>
      </c>
    </row>
    <row r="14" spans="1:8" x14ac:dyDescent="0.25">
      <c r="A14" s="161">
        <v>13</v>
      </c>
      <c r="B14" s="161">
        <v>16</v>
      </c>
      <c r="C14" s="161" t="s">
        <v>489</v>
      </c>
      <c r="D14" s="161" t="s">
        <v>88</v>
      </c>
      <c r="E14" s="161">
        <v>1012.5</v>
      </c>
      <c r="F14" s="161">
        <v>10</v>
      </c>
      <c r="G14"/>
      <c r="H14">
        <f t="shared" si="0"/>
        <v>1039</v>
      </c>
    </row>
    <row r="15" spans="1:8" x14ac:dyDescent="0.25">
      <c r="A15" s="161">
        <v>14</v>
      </c>
      <c r="B15" s="161">
        <v>13</v>
      </c>
      <c r="C15" s="161" t="s">
        <v>496</v>
      </c>
      <c r="D15" s="161" t="s">
        <v>98</v>
      </c>
      <c r="E15" s="161">
        <v>1009.25</v>
      </c>
      <c r="F15" s="161">
        <v>11</v>
      </c>
      <c r="G15"/>
      <c r="H15">
        <f t="shared" si="0"/>
        <v>315</v>
      </c>
    </row>
    <row r="16" spans="1:8" x14ac:dyDescent="0.25">
      <c r="A16" s="161">
        <v>15</v>
      </c>
      <c r="B16" s="161">
        <v>17</v>
      </c>
      <c r="C16" s="161" t="s">
        <v>513</v>
      </c>
      <c r="D16" s="161" t="s">
        <v>98</v>
      </c>
      <c r="E16" s="161">
        <v>999.25</v>
      </c>
      <c r="F16" s="161">
        <v>15</v>
      </c>
      <c r="G16"/>
      <c r="H16">
        <f t="shared" si="0"/>
        <v>557</v>
      </c>
    </row>
    <row r="17" spans="1:8" x14ac:dyDescent="0.25">
      <c r="A17" s="161">
        <v>16</v>
      </c>
      <c r="B17" s="161">
        <v>15</v>
      </c>
      <c r="C17" s="161" t="s">
        <v>490</v>
      </c>
      <c r="D17" s="161" t="s">
        <v>91</v>
      </c>
      <c r="E17" s="161">
        <v>985.75</v>
      </c>
      <c r="F17" s="161">
        <v>13</v>
      </c>
      <c r="G17"/>
      <c r="H17">
        <f t="shared" si="0"/>
        <v>931</v>
      </c>
    </row>
    <row r="18" spans="1:8" x14ac:dyDescent="0.25">
      <c r="A18" s="161">
        <v>17</v>
      </c>
      <c r="B18" s="161">
        <v>18</v>
      </c>
      <c r="C18" s="161" t="s">
        <v>485</v>
      </c>
      <c r="D18" s="161" t="s">
        <v>91</v>
      </c>
      <c r="E18" s="161">
        <v>953</v>
      </c>
      <c r="F18" s="161">
        <v>8</v>
      </c>
      <c r="G18"/>
      <c r="H18">
        <f t="shared" si="0"/>
        <v>885</v>
      </c>
    </row>
    <row r="19" spans="1:8" x14ac:dyDescent="0.25">
      <c r="A19" s="161">
        <v>18</v>
      </c>
      <c r="B19" s="161">
        <v>30</v>
      </c>
      <c r="C19" s="161" t="s">
        <v>497</v>
      </c>
      <c r="D19" s="161" t="s">
        <v>88</v>
      </c>
      <c r="E19" s="161">
        <v>936.45</v>
      </c>
      <c r="F19" s="161">
        <v>13</v>
      </c>
      <c r="G19"/>
      <c r="H19">
        <f t="shared" si="0"/>
        <v>441</v>
      </c>
    </row>
    <row r="20" spans="1:8" x14ac:dyDescent="0.25">
      <c r="A20" s="161">
        <v>19</v>
      </c>
      <c r="B20" s="161">
        <v>14</v>
      </c>
      <c r="C20" s="161" t="s">
        <v>482</v>
      </c>
      <c r="D20" s="161" t="s">
        <v>91</v>
      </c>
      <c r="E20" s="161">
        <v>908.5</v>
      </c>
      <c r="F20" s="161">
        <v>6</v>
      </c>
      <c r="G20"/>
      <c r="H20">
        <f t="shared" si="0"/>
        <v>249</v>
      </c>
    </row>
    <row r="21" spans="1:8" x14ac:dyDescent="0.25">
      <c r="A21" s="161">
        <v>20</v>
      </c>
      <c r="B21" s="161">
        <v>19</v>
      </c>
      <c r="C21" s="161" t="s">
        <v>499</v>
      </c>
      <c r="D21" s="161" t="s">
        <v>88</v>
      </c>
      <c r="E21" s="161">
        <v>892</v>
      </c>
      <c r="F21" s="161">
        <v>9</v>
      </c>
      <c r="G21"/>
      <c r="H21">
        <f t="shared" si="0"/>
        <v>711</v>
      </c>
    </row>
    <row r="22" spans="1:8" x14ac:dyDescent="0.25">
      <c r="A22" s="161">
        <v>21</v>
      </c>
      <c r="B22" s="161">
        <v>26</v>
      </c>
      <c r="C22" s="161" t="s">
        <v>532</v>
      </c>
      <c r="D22" s="161" t="s">
        <v>112</v>
      </c>
      <c r="E22" s="161">
        <v>884.75</v>
      </c>
      <c r="F22" s="161">
        <v>10</v>
      </c>
      <c r="G22"/>
      <c r="H22">
        <f t="shared" si="0"/>
        <v>850</v>
      </c>
    </row>
    <row r="23" spans="1:8" x14ac:dyDescent="0.25">
      <c r="A23" s="161">
        <v>22</v>
      </c>
      <c r="B23" s="161">
        <v>20</v>
      </c>
      <c r="C23" s="161" t="s">
        <v>507</v>
      </c>
      <c r="D23" s="161" t="s">
        <v>88</v>
      </c>
      <c r="E23" s="161">
        <v>859.375</v>
      </c>
      <c r="F23" s="161">
        <v>18</v>
      </c>
      <c r="G23"/>
      <c r="H23">
        <f t="shared" si="0"/>
        <v>418</v>
      </c>
    </row>
    <row r="24" spans="1:8" x14ac:dyDescent="0.25">
      <c r="A24" s="161">
        <v>23</v>
      </c>
      <c r="B24" s="161">
        <v>21</v>
      </c>
      <c r="C24" s="161" t="s">
        <v>533</v>
      </c>
      <c r="D24" s="161" t="s">
        <v>145</v>
      </c>
      <c r="E24" s="161">
        <v>852.05</v>
      </c>
      <c r="F24" s="161">
        <v>15</v>
      </c>
      <c r="G24"/>
      <c r="H24">
        <f t="shared" si="0"/>
        <v>558</v>
      </c>
    </row>
    <row r="25" spans="1:8" x14ac:dyDescent="0.25">
      <c r="A25" s="161">
        <v>24</v>
      </c>
      <c r="B25" s="161">
        <v>22</v>
      </c>
      <c r="C25" s="161" t="s">
        <v>494</v>
      </c>
      <c r="D25" s="161" t="s">
        <v>91</v>
      </c>
      <c r="E25" s="161">
        <v>841.375</v>
      </c>
      <c r="F25" s="161">
        <v>7</v>
      </c>
      <c r="G25"/>
      <c r="H25">
        <f t="shared" si="0"/>
        <v>351</v>
      </c>
    </row>
    <row r="26" spans="1:8" x14ac:dyDescent="0.25">
      <c r="A26" s="161">
        <v>25</v>
      </c>
      <c r="B26" s="161">
        <v>25</v>
      </c>
      <c r="C26" s="161" t="s">
        <v>498</v>
      </c>
      <c r="D26" s="161" t="s">
        <v>88</v>
      </c>
      <c r="E26" s="161">
        <v>796.75</v>
      </c>
      <c r="F26" s="161">
        <v>9</v>
      </c>
      <c r="G26"/>
      <c r="H26">
        <f t="shared" si="0"/>
        <v>323</v>
      </c>
    </row>
    <row r="27" spans="1:8" x14ac:dyDescent="0.25">
      <c r="A27" s="161">
        <v>26</v>
      </c>
      <c r="B27" s="161">
        <v>27</v>
      </c>
      <c r="C27" s="161" t="s">
        <v>639</v>
      </c>
      <c r="D27" s="161" t="s">
        <v>150</v>
      </c>
      <c r="E27" s="161">
        <v>782</v>
      </c>
      <c r="F27" s="161">
        <v>11</v>
      </c>
      <c r="G27"/>
      <c r="H27">
        <f t="shared" si="0"/>
        <v>833</v>
      </c>
    </row>
    <row r="28" spans="1:8" x14ac:dyDescent="0.25">
      <c r="A28" s="161">
        <v>27</v>
      </c>
      <c r="B28" s="161">
        <v>23</v>
      </c>
      <c r="C28" s="161" t="s">
        <v>492</v>
      </c>
      <c r="D28" s="161" t="s">
        <v>98</v>
      </c>
      <c r="E28" s="161">
        <v>780.5</v>
      </c>
      <c r="F28" s="161">
        <v>13</v>
      </c>
      <c r="G28"/>
      <c r="H28">
        <f t="shared" si="0"/>
        <v>864</v>
      </c>
    </row>
    <row r="29" spans="1:8" x14ac:dyDescent="0.25">
      <c r="A29" s="161">
        <v>28</v>
      </c>
      <c r="B29" s="161">
        <v>36</v>
      </c>
      <c r="C29" s="161" t="s">
        <v>658</v>
      </c>
      <c r="D29" s="161" t="s">
        <v>112</v>
      </c>
      <c r="E29" s="161">
        <v>773.65</v>
      </c>
      <c r="F29" s="161">
        <v>10</v>
      </c>
      <c r="G29"/>
      <c r="H29">
        <f t="shared" si="0"/>
        <v>546</v>
      </c>
    </row>
    <row r="30" spans="1:8" x14ac:dyDescent="0.25">
      <c r="A30" s="161">
        <v>29</v>
      </c>
      <c r="B30" s="161">
        <v>24</v>
      </c>
      <c r="C30" s="161" t="s">
        <v>493</v>
      </c>
      <c r="D30" s="161" t="s">
        <v>91</v>
      </c>
      <c r="E30" s="161">
        <v>761.4</v>
      </c>
      <c r="F30" s="161">
        <v>12</v>
      </c>
      <c r="G30"/>
      <c r="H30">
        <f t="shared" si="0"/>
        <v>675</v>
      </c>
    </row>
    <row r="31" spans="1:8" x14ac:dyDescent="0.25">
      <c r="A31" s="161">
        <v>30</v>
      </c>
      <c r="B31" s="161">
        <v>31</v>
      </c>
      <c r="C31" s="161" t="s">
        <v>524</v>
      </c>
      <c r="D31" s="161" t="s">
        <v>91</v>
      </c>
      <c r="E31" s="161">
        <v>758.65</v>
      </c>
      <c r="F31" s="161">
        <v>7</v>
      </c>
      <c r="G31"/>
      <c r="H31">
        <f t="shared" si="0"/>
        <v>374</v>
      </c>
    </row>
    <row r="32" spans="1:8" x14ac:dyDescent="0.25">
      <c r="A32" s="161">
        <v>31</v>
      </c>
      <c r="B32" s="161">
        <v>28</v>
      </c>
      <c r="C32" s="161" t="s">
        <v>504</v>
      </c>
      <c r="D32" s="161" t="s">
        <v>98</v>
      </c>
      <c r="E32" s="161">
        <v>745.1</v>
      </c>
      <c r="F32" s="161">
        <v>18</v>
      </c>
      <c r="G32"/>
      <c r="H32">
        <f t="shared" si="0"/>
        <v>1017</v>
      </c>
    </row>
    <row r="33" spans="1:8" x14ac:dyDescent="0.25">
      <c r="A33" s="161">
        <v>32</v>
      </c>
      <c r="B33" s="161">
        <v>32</v>
      </c>
      <c r="C33" s="161" t="s">
        <v>514</v>
      </c>
      <c r="D33" s="161" t="s">
        <v>98</v>
      </c>
      <c r="E33" s="161">
        <v>729.75</v>
      </c>
      <c r="F33" s="161">
        <v>11</v>
      </c>
      <c r="G33"/>
      <c r="H33">
        <f t="shared" si="0"/>
        <v>733</v>
      </c>
    </row>
    <row r="34" spans="1:8" x14ac:dyDescent="0.25">
      <c r="A34" s="161">
        <v>33</v>
      </c>
      <c r="B34" s="161">
        <v>29</v>
      </c>
      <c r="C34" s="161" t="s">
        <v>1326</v>
      </c>
      <c r="D34" s="161" t="s">
        <v>98</v>
      </c>
      <c r="E34" s="161">
        <v>672.5</v>
      </c>
      <c r="F34" s="161">
        <v>9</v>
      </c>
      <c r="G34"/>
      <c r="H34">
        <f t="shared" si="0"/>
        <v>627</v>
      </c>
    </row>
    <row r="35" spans="1:8" x14ac:dyDescent="0.25">
      <c r="A35" s="161">
        <v>34</v>
      </c>
      <c r="B35" s="161">
        <v>37</v>
      </c>
      <c r="C35" s="161" t="s">
        <v>510</v>
      </c>
      <c r="D35" s="161" t="s">
        <v>112</v>
      </c>
      <c r="E35" s="161">
        <v>669.45</v>
      </c>
      <c r="F35" s="161">
        <v>22</v>
      </c>
      <c r="G35"/>
      <c r="H35">
        <f t="shared" si="0"/>
        <v>530</v>
      </c>
    </row>
    <row r="36" spans="1:8" x14ac:dyDescent="0.25">
      <c r="A36" s="161">
        <v>35</v>
      </c>
      <c r="B36" s="161">
        <v>38</v>
      </c>
      <c r="C36" s="161" t="s">
        <v>508</v>
      </c>
      <c r="D36" s="161" t="s">
        <v>98</v>
      </c>
      <c r="E36" s="161">
        <v>666.5</v>
      </c>
      <c r="F36" s="161">
        <v>25</v>
      </c>
      <c r="G36"/>
      <c r="H36">
        <f t="shared" si="0"/>
        <v>529</v>
      </c>
    </row>
    <row r="37" spans="1:8" x14ac:dyDescent="0.25">
      <c r="A37" s="161">
        <v>36</v>
      </c>
      <c r="B37" s="161">
        <v>34</v>
      </c>
      <c r="C37" s="161" t="s">
        <v>515</v>
      </c>
      <c r="D37" s="161" t="s">
        <v>98</v>
      </c>
      <c r="E37" s="161">
        <v>649.75</v>
      </c>
      <c r="F37" s="161">
        <v>11</v>
      </c>
      <c r="G37"/>
      <c r="H37">
        <f t="shared" si="0"/>
        <v>667</v>
      </c>
    </row>
    <row r="38" spans="1:8" x14ac:dyDescent="0.25">
      <c r="A38" s="161">
        <v>37</v>
      </c>
      <c r="B38" s="161">
        <v>35</v>
      </c>
      <c r="C38" s="161" t="s">
        <v>500</v>
      </c>
      <c r="D38" s="161" t="s">
        <v>98</v>
      </c>
      <c r="E38" s="161">
        <v>645.75</v>
      </c>
      <c r="F38" s="161">
        <v>12</v>
      </c>
      <c r="G38"/>
      <c r="H38">
        <f t="shared" si="0"/>
        <v>909</v>
      </c>
    </row>
    <row r="39" spans="1:8" x14ac:dyDescent="0.25">
      <c r="A39" s="161">
        <v>38</v>
      </c>
      <c r="B39" s="161">
        <v>33</v>
      </c>
      <c r="C39" s="161" t="s">
        <v>511</v>
      </c>
      <c r="D39" s="161" t="s">
        <v>98</v>
      </c>
      <c r="E39" s="161">
        <v>633</v>
      </c>
      <c r="F39" s="161">
        <v>23</v>
      </c>
      <c r="G39"/>
      <c r="H39">
        <f t="shared" si="0"/>
        <v>266</v>
      </c>
    </row>
    <row r="40" spans="1:8" x14ac:dyDescent="0.25">
      <c r="A40" s="161">
        <v>39</v>
      </c>
      <c r="B40" s="161">
        <v>48</v>
      </c>
      <c r="C40" s="161" t="s">
        <v>1325</v>
      </c>
      <c r="D40" s="161" t="s">
        <v>98</v>
      </c>
      <c r="E40" s="161">
        <v>611.4</v>
      </c>
      <c r="F40" s="161">
        <v>16</v>
      </c>
      <c r="G40"/>
      <c r="H40">
        <f t="shared" si="0"/>
        <v>1029</v>
      </c>
    </row>
    <row r="41" spans="1:8" x14ac:dyDescent="0.25">
      <c r="A41" s="161">
        <v>40</v>
      </c>
      <c r="B41" s="161">
        <v>39</v>
      </c>
      <c r="C41" s="161" t="s">
        <v>557</v>
      </c>
      <c r="D41" s="161" t="s">
        <v>98</v>
      </c>
      <c r="E41" s="161">
        <v>608.75</v>
      </c>
      <c r="F41" s="161">
        <v>7</v>
      </c>
      <c r="G41"/>
      <c r="H41">
        <f t="shared" si="0"/>
        <v>947</v>
      </c>
    </row>
    <row r="42" spans="1:8" x14ac:dyDescent="0.25">
      <c r="A42" s="161">
        <v>41</v>
      </c>
      <c r="B42" s="161">
        <v>41</v>
      </c>
      <c r="C42" s="161" t="s">
        <v>541</v>
      </c>
      <c r="D42" s="161" t="s">
        <v>98</v>
      </c>
      <c r="E42" s="161">
        <v>581.25</v>
      </c>
      <c r="F42" s="161">
        <v>9</v>
      </c>
      <c r="G42"/>
      <c r="H42">
        <f t="shared" si="0"/>
        <v>606</v>
      </c>
    </row>
    <row r="43" spans="1:8" x14ac:dyDescent="0.25">
      <c r="A43" s="161">
        <v>42</v>
      </c>
      <c r="B43" s="161">
        <v>42</v>
      </c>
      <c r="C43" s="161" t="s">
        <v>521</v>
      </c>
      <c r="D43" s="161" t="s">
        <v>91</v>
      </c>
      <c r="E43" s="161">
        <v>577.5</v>
      </c>
      <c r="F43" s="161">
        <v>17</v>
      </c>
      <c r="G43"/>
      <c r="H43">
        <f t="shared" si="0"/>
        <v>687</v>
      </c>
    </row>
    <row r="44" spans="1:8" x14ac:dyDescent="0.25">
      <c r="A44" s="161">
        <v>43</v>
      </c>
      <c r="B44" s="161">
        <v>40</v>
      </c>
      <c r="C44" s="161" t="s">
        <v>517</v>
      </c>
      <c r="D44" s="161" t="s">
        <v>98</v>
      </c>
      <c r="E44" s="161">
        <v>576</v>
      </c>
      <c r="F44" s="161">
        <v>21</v>
      </c>
      <c r="G44"/>
      <c r="H44">
        <f t="shared" si="0"/>
        <v>261</v>
      </c>
    </row>
    <row r="45" spans="1:8" x14ac:dyDescent="0.25">
      <c r="A45" s="161">
        <v>44</v>
      </c>
      <c r="B45" s="161">
        <v>44</v>
      </c>
      <c r="C45" s="161" t="s">
        <v>530</v>
      </c>
      <c r="D45" s="161" t="s">
        <v>98</v>
      </c>
      <c r="E45" s="161">
        <v>566.25</v>
      </c>
      <c r="F45" s="161">
        <v>7</v>
      </c>
      <c r="G45"/>
      <c r="H45">
        <f t="shared" si="0"/>
        <v>241</v>
      </c>
    </row>
    <row r="46" spans="1:8" x14ac:dyDescent="0.25">
      <c r="A46" s="161">
        <v>45</v>
      </c>
      <c r="B46" s="161">
        <v>45</v>
      </c>
      <c r="C46" s="161" t="s">
        <v>509</v>
      </c>
      <c r="D46" s="161" t="s">
        <v>91</v>
      </c>
      <c r="E46" s="161">
        <v>539.25</v>
      </c>
      <c r="F46" s="161">
        <v>8</v>
      </c>
      <c r="G46"/>
      <c r="H46">
        <f t="shared" si="0"/>
        <v>348</v>
      </c>
    </row>
    <row r="47" spans="1:8" x14ac:dyDescent="0.25">
      <c r="A47" s="161">
        <v>46</v>
      </c>
      <c r="B47" s="161">
        <v>46</v>
      </c>
      <c r="C47" s="161" t="s">
        <v>538</v>
      </c>
      <c r="D47" s="161" t="s">
        <v>98</v>
      </c>
      <c r="E47" s="161">
        <v>535.375</v>
      </c>
      <c r="F47" s="161">
        <v>13</v>
      </c>
      <c r="G47"/>
      <c r="H47">
        <f t="shared" si="0"/>
        <v>716</v>
      </c>
    </row>
    <row r="48" spans="1:8" x14ac:dyDescent="0.25">
      <c r="A48" s="161">
        <v>47</v>
      </c>
      <c r="B48" s="161">
        <v>43</v>
      </c>
      <c r="C48" s="161" t="s">
        <v>526</v>
      </c>
      <c r="D48" s="161" t="s">
        <v>98</v>
      </c>
      <c r="E48" s="161">
        <v>535.25</v>
      </c>
      <c r="F48" s="161">
        <v>10</v>
      </c>
      <c r="G48"/>
      <c r="H48">
        <f t="shared" si="0"/>
        <v>1037</v>
      </c>
    </row>
    <row r="49" spans="1:8" x14ac:dyDescent="0.25">
      <c r="A49" s="161">
        <v>48</v>
      </c>
      <c r="B49" s="161">
        <v>47</v>
      </c>
      <c r="C49" s="161" t="s">
        <v>519</v>
      </c>
      <c r="D49" s="161" t="s">
        <v>91</v>
      </c>
      <c r="E49" s="161">
        <v>528.5</v>
      </c>
      <c r="F49" s="161">
        <v>5</v>
      </c>
      <c r="G49"/>
      <c r="H49">
        <f t="shared" si="0"/>
        <v>1031</v>
      </c>
    </row>
    <row r="50" spans="1:8" x14ac:dyDescent="0.25">
      <c r="A50" s="161">
        <v>49</v>
      </c>
      <c r="B50" s="161">
        <v>58</v>
      </c>
      <c r="C50" s="161" t="s">
        <v>543</v>
      </c>
      <c r="D50" s="161" t="s">
        <v>98</v>
      </c>
      <c r="E50" s="161">
        <v>523</v>
      </c>
      <c r="F50" s="161">
        <v>12</v>
      </c>
      <c r="G50"/>
      <c r="H50">
        <f t="shared" si="0"/>
        <v>437</v>
      </c>
    </row>
    <row r="51" spans="1:8" x14ac:dyDescent="0.25">
      <c r="A51" s="161">
        <v>50</v>
      </c>
      <c r="B51" s="161">
        <v>49</v>
      </c>
      <c r="C51" s="161" t="s">
        <v>512</v>
      </c>
      <c r="D51" s="161" t="s">
        <v>105</v>
      </c>
      <c r="E51" s="161">
        <v>503</v>
      </c>
      <c r="F51" s="161">
        <v>5</v>
      </c>
      <c r="G51"/>
      <c r="H51">
        <f t="shared" si="0"/>
        <v>595</v>
      </c>
    </row>
    <row r="52" spans="1:8" x14ac:dyDescent="0.25">
      <c r="A52" s="161">
        <v>51</v>
      </c>
      <c r="B52" s="161">
        <v>50</v>
      </c>
      <c r="C52" s="161" t="s">
        <v>602</v>
      </c>
      <c r="D52" s="161" t="s">
        <v>88</v>
      </c>
      <c r="E52" s="161">
        <v>498.25</v>
      </c>
      <c r="F52" s="161">
        <v>3</v>
      </c>
      <c r="G52"/>
      <c r="H52">
        <f t="shared" si="0"/>
        <v>322</v>
      </c>
    </row>
    <row r="53" spans="1:8" x14ac:dyDescent="0.25">
      <c r="A53" s="161">
        <v>52</v>
      </c>
      <c r="B53" s="161">
        <v>68</v>
      </c>
      <c r="C53" s="161" t="s">
        <v>518</v>
      </c>
      <c r="D53" s="161" t="s">
        <v>88</v>
      </c>
      <c r="E53" s="161">
        <v>491.75</v>
      </c>
      <c r="F53" s="161">
        <v>5</v>
      </c>
      <c r="G53"/>
      <c r="H53">
        <f t="shared" si="0"/>
        <v>218</v>
      </c>
    </row>
    <row r="54" spans="1:8" x14ac:dyDescent="0.25">
      <c r="A54" s="161">
        <v>53</v>
      </c>
      <c r="B54" s="161">
        <v>52</v>
      </c>
      <c r="C54" s="161" t="s">
        <v>522</v>
      </c>
      <c r="D54" s="161" t="s">
        <v>98</v>
      </c>
      <c r="E54" s="161">
        <v>461.375</v>
      </c>
      <c r="F54" s="161">
        <v>9</v>
      </c>
      <c r="G54"/>
      <c r="H54">
        <f t="shared" si="0"/>
        <v>814</v>
      </c>
    </row>
    <row r="55" spans="1:8" x14ac:dyDescent="0.25">
      <c r="A55" s="161">
        <v>54</v>
      </c>
      <c r="B55" s="161">
        <v>53</v>
      </c>
      <c r="C55" s="161" t="s">
        <v>525</v>
      </c>
      <c r="D55" s="161" t="s">
        <v>91</v>
      </c>
      <c r="E55" s="161">
        <v>459</v>
      </c>
      <c r="F55" s="161">
        <v>7</v>
      </c>
      <c r="G55"/>
      <c r="H55">
        <f t="shared" si="0"/>
        <v>571</v>
      </c>
    </row>
    <row r="56" spans="1:8" x14ac:dyDescent="0.25">
      <c r="A56" s="161">
        <v>55</v>
      </c>
      <c r="B56" s="161">
        <v>51</v>
      </c>
      <c r="C56" s="161" t="s">
        <v>506</v>
      </c>
      <c r="D56" s="161" t="s">
        <v>141</v>
      </c>
      <c r="E56" s="161">
        <v>456.06299999999999</v>
      </c>
      <c r="F56" s="161">
        <v>6</v>
      </c>
      <c r="G56"/>
      <c r="H56">
        <f t="shared" si="0"/>
        <v>344</v>
      </c>
    </row>
    <row r="57" spans="1:8" x14ac:dyDescent="0.25">
      <c r="A57" s="161">
        <v>56</v>
      </c>
      <c r="B57" s="161">
        <v>54</v>
      </c>
      <c r="C57" s="161" t="s">
        <v>503</v>
      </c>
      <c r="D57" s="161" t="s">
        <v>91</v>
      </c>
      <c r="E57" s="161">
        <v>453.5</v>
      </c>
      <c r="F57" s="161">
        <v>6</v>
      </c>
      <c r="G57"/>
      <c r="H57">
        <f t="shared" si="0"/>
        <v>578</v>
      </c>
    </row>
    <row r="58" spans="1:8" x14ac:dyDescent="0.25">
      <c r="A58" s="161">
        <v>57</v>
      </c>
      <c r="B58" s="161">
        <v>64</v>
      </c>
      <c r="C58" s="161" t="s">
        <v>574</v>
      </c>
      <c r="D58" s="161" t="s">
        <v>91</v>
      </c>
      <c r="E58" s="161">
        <v>451.5</v>
      </c>
      <c r="F58" s="161">
        <v>7</v>
      </c>
      <c r="G58"/>
      <c r="H58">
        <f t="shared" si="0"/>
        <v>793</v>
      </c>
    </row>
    <row r="59" spans="1:8" x14ac:dyDescent="0.25">
      <c r="A59" s="161">
        <v>58</v>
      </c>
      <c r="B59" s="161">
        <v>55</v>
      </c>
      <c r="C59" s="161" t="s">
        <v>668</v>
      </c>
      <c r="D59" s="161" t="s">
        <v>88</v>
      </c>
      <c r="E59" s="161">
        <v>449</v>
      </c>
      <c r="F59" s="161">
        <v>5</v>
      </c>
      <c r="G59"/>
      <c r="H59">
        <f t="shared" si="0"/>
        <v>764</v>
      </c>
    </row>
    <row r="60" spans="1:8" x14ac:dyDescent="0.25">
      <c r="A60" s="161">
        <v>59</v>
      </c>
      <c r="B60" s="161">
        <v>60</v>
      </c>
      <c r="C60" s="161" t="s">
        <v>523</v>
      </c>
      <c r="D60" s="161" t="s">
        <v>98</v>
      </c>
      <c r="E60" s="161">
        <v>441.25</v>
      </c>
      <c r="F60" s="161">
        <v>7</v>
      </c>
      <c r="G60"/>
      <c r="H60">
        <f t="shared" si="0"/>
        <v>973</v>
      </c>
    </row>
    <row r="61" spans="1:8" x14ac:dyDescent="0.25">
      <c r="A61" s="161">
        <v>60</v>
      </c>
      <c r="B61" s="161">
        <v>56</v>
      </c>
      <c r="C61" s="161" t="s">
        <v>516</v>
      </c>
      <c r="D61" s="161" t="s">
        <v>88</v>
      </c>
      <c r="E61" s="161">
        <v>439.5</v>
      </c>
      <c r="F61" s="161">
        <v>6</v>
      </c>
      <c r="G61"/>
      <c r="H61">
        <f t="shared" si="0"/>
        <v>245</v>
      </c>
    </row>
    <row r="62" spans="1:8" x14ac:dyDescent="0.25">
      <c r="A62" s="161">
        <v>61</v>
      </c>
      <c r="B62" s="161">
        <v>57</v>
      </c>
      <c r="C62" s="161" t="s">
        <v>562</v>
      </c>
      <c r="D62" s="161" t="s">
        <v>88</v>
      </c>
      <c r="E62" s="161">
        <v>438.35</v>
      </c>
      <c r="F62" s="161">
        <v>8</v>
      </c>
      <c r="G62"/>
      <c r="H62">
        <f t="shared" si="0"/>
        <v>217</v>
      </c>
    </row>
    <row r="63" spans="1:8" x14ac:dyDescent="0.25">
      <c r="A63" s="161">
        <v>62</v>
      </c>
      <c r="B63" s="161">
        <v>59</v>
      </c>
      <c r="C63" s="161" t="s">
        <v>505</v>
      </c>
      <c r="D63" s="161" t="s">
        <v>91</v>
      </c>
      <c r="E63" s="161">
        <v>414.4</v>
      </c>
      <c r="F63" s="161">
        <v>5</v>
      </c>
      <c r="G63"/>
      <c r="H63">
        <f t="shared" si="0"/>
        <v>268</v>
      </c>
    </row>
    <row r="64" spans="1:8" x14ac:dyDescent="0.25">
      <c r="A64" s="161">
        <v>63</v>
      </c>
      <c r="B64" s="161">
        <v>61</v>
      </c>
      <c r="C64" s="161" t="s">
        <v>559</v>
      </c>
      <c r="D64" s="161" t="s">
        <v>88</v>
      </c>
      <c r="E64" s="161">
        <v>408.113</v>
      </c>
      <c r="F64" s="161">
        <v>10</v>
      </c>
      <c r="G64"/>
      <c r="H64">
        <f t="shared" si="0"/>
        <v>484</v>
      </c>
    </row>
    <row r="65" spans="1:8" x14ac:dyDescent="0.25">
      <c r="A65" s="161">
        <v>64</v>
      </c>
      <c r="B65" s="161">
        <v>62</v>
      </c>
      <c r="C65" s="161" t="s">
        <v>537</v>
      </c>
      <c r="D65" s="161" t="s">
        <v>88</v>
      </c>
      <c r="E65" s="161">
        <v>404</v>
      </c>
      <c r="F65" s="161">
        <v>5</v>
      </c>
      <c r="G65"/>
      <c r="H65">
        <f t="shared" si="0"/>
        <v>1057</v>
      </c>
    </row>
    <row r="66" spans="1:8" x14ac:dyDescent="0.25">
      <c r="A66" s="161">
        <v>65</v>
      </c>
      <c r="B66" s="161">
        <v>63</v>
      </c>
      <c r="C66" s="161" t="s">
        <v>542</v>
      </c>
      <c r="D66" s="161" t="s">
        <v>144</v>
      </c>
      <c r="E66" s="161">
        <v>401.75</v>
      </c>
      <c r="F66" s="161">
        <v>7</v>
      </c>
      <c r="G66"/>
      <c r="H66">
        <f t="shared" ref="H66:H129" si="1">SUMPRODUCT((C$2:C$1090 &lt; C66)+(C66="")*1000)</f>
        <v>294</v>
      </c>
    </row>
    <row r="67" spans="1:8" x14ac:dyDescent="0.25">
      <c r="A67" s="161">
        <v>66</v>
      </c>
      <c r="B67" s="161">
        <v>73</v>
      </c>
      <c r="C67" s="161" t="s">
        <v>554</v>
      </c>
      <c r="D67" s="161" t="s">
        <v>88</v>
      </c>
      <c r="E67" s="161">
        <v>396.67</v>
      </c>
      <c r="F67" s="161">
        <v>7</v>
      </c>
      <c r="G67"/>
      <c r="H67">
        <f t="shared" si="1"/>
        <v>219</v>
      </c>
    </row>
    <row r="68" spans="1:8" x14ac:dyDescent="0.25">
      <c r="A68" s="161">
        <v>67</v>
      </c>
      <c r="B68" s="161">
        <v>71</v>
      </c>
      <c r="C68" s="161" t="s">
        <v>566</v>
      </c>
      <c r="D68" s="161" t="s">
        <v>98</v>
      </c>
      <c r="E68" s="161">
        <v>395.28750000000002</v>
      </c>
      <c r="F68" s="161">
        <v>9</v>
      </c>
      <c r="G68"/>
      <c r="H68">
        <f t="shared" si="1"/>
        <v>354</v>
      </c>
    </row>
    <row r="69" spans="1:8" x14ac:dyDescent="0.25">
      <c r="A69" s="161">
        <v>68</v>
      </c>
      <c r="B69" s="161">
        <v>65</v>
      </c>
      <c r="C69" s="161" t="s">
        <v>536</v>
      </c>
      <c r="D69" s="161" t="s">
        <v>91</v>
      </c>
      <c r="E69" s="161">
        <v>379.2</v>
      </c>
      <c r="F69" s="161">
        <v>13</v>
      </c>
      <c r="G69"/>
      <c r="H69">
        <f t="shared" si="1"/>
        <v>423</v>
      </c>
    </row>
    <row r="70" spans="1:8" x14ac:dyDescent="0.25">
      <c r="A70" s="161">
        <v>69</v>
      </c>
      <c r="B70" s="161">
        <v>66</v>
      </c>
      <c r="C70" s="161" t="s">
        <v>591</v>
      </c>
      <c r="D70" s="161" t="s">
        <v>276</v>
      </c>
      <c r="E70" s="161">
        <v>371.05</v>
      </c>
      <c r="F70" s="161">
        <v>8</v>
      </c>
      <c r="G70"/>
      <c r="H70">
        <f t="shared" si="1"/>
        <v>852</v>
      </c>
    </row>
    <row r="71" spans="1:8" x14ac:dyDescent="0.25">
      <c r="A71" s="161">
        <v>70</v>
      </c>
      <c r="B71" s="161">
        <v>67</v>
      </c>
      <c r="C71" s="161" t="s">
        <v>528</v>
      </c>
      <c r="D71" s="161" t="s">
        <v>110</v>
      </c>
      <c r="E71" s="161">
        <v>364.5</v>
      </c>
      <c r="F71" s="161">
        <v>4</v>
      </c>
      <c r="G71"/>
      <c r="H71">
        <f t="shared" si="1"/>
        <v>892</v>
      </c>
    </row>
    <row r="72" spans="1:8" x14ac:dyDescent="0.25">
      <c r="A72" s="161">
        <v>71</v>
      </c>
      <c r="B72" s="161">
        <v>85</v>
      </c>
      <c r="C72" s="161" t="s">
        <v>564</v>
      </c>
      <c r="D72" s="161" t="s">
        <v>98</v>
      </c>
      <c r="E72" s="161">
        <v>360</v>
      </c>
      <c r="F72" s="161">
        <v>6</v>
      </c>
      <c r="G72"/>
      <c r="H72">
        <f t="shared" si="1"/>
        <v>493</v>
      </c>
    </row>
    <row r="73" spans="1:8" x14ac:dyDescent="0.25">
      <c r="A73" s="161">
        <v>72</v>
      </c>
      <c r="B73" s="161">
        <v>70</v>
      </c>
      <c r="C73" s="161" t="s">
        <v>527</v>
      </c>
      <c r="D73" s="161" t="s">
        <v>88</v>
      </c>
      <c r="E73" s="161">
        <v>354</v>
      </c>
      <c r="F73" s="161">
        <v>3</v>
      </c>
      <c r="G73"/>
      <c r="H73">
        <f t="shared" si="1"/>
        <v>203</v>
      </c>
    </row>
    <row r="74" spans="1:8" x14ac:dyDescent="0.25">
      <c r="A74" s="161">
        <v>73</v>
      </c>
      <c r="B74" s="161">
        <v>72</v>
      </c>
      <c r="C74" s="161" t="s">
        <v>575</v>
      </c>
      <c r="D74" s="161" t="s">
        <v>91</v>
      </c>
      <c r="E74" s="161">
        <v>349.2</v>
      </c>
      <c r="F74" s="161">
        <v>7</v>
      </c>
      <c r="G74"/>
      <c r="H74">
        <f t="shared" si="1"/>
        <v>583</v>
      </c>
    </row>
    <row r="75" spans="1:8" x14ac:dyDescent="0.25">
      <c r="A75" s="161">
        <v>74</v>
      </c>
      <c r="B75" s="161">
        <v>74</v>
      </c>
      <c r="C75" s="161" t="s">
        <v>625</v>
      </c>
      <c r="D75" s="161" t="s">
        <v>98</v>
      </c>
      <c r="E75" s="161">
        <v>341</v>
      </c>
      <c r="F75" s="161">
        <v>4</v>
      </c>
      <c r="G75"/>
      <c r="H75">
        <f t="shared" si="1"/>
        <v>503</v>
      </c>
    </row>
    <row r="76" spans="1:8" x14ac:dyDescent="0.25">
      <c r="A76" s="161">
        <v>75</v>
      </c>
      <c r="B76" s="161">
        <v>99</v>
      </c>
      <c r="C76" s="161" t="s">
        <v>598</v>
      </c>
      <c r="D76" s="161" t="s">
        <v>88</v>
      </c>
      <c r="E76" s="161">
        <v>337.9</v>
      </c>
      <c r="F76" s="161">
        <v>6</v>
      </c>
      <c r="G76"/>
      <c r="H76">
        <f t="shared" si="1"/>
        <v>211</v>
      </c>
    </row>
    <row r="77" spans="1:8" x14ac:dyDescent="0.25">
      <c r="A77" s="161">
        <v>76</v>
      </c>
      <c r="B77" s="161">
        <v>75</v>
      </c>
      <c r="C77" s="161" t="s">
        <v>553</v>
      </c>
      <c r="D77" s="161" t="s">
        <v>91</v>
      </c>
      <c r="E77" s="161">
        <v>332</v>
      </c>
      <c r="F77" s="161">
        <v>18</v>
      </c>
      <c r="G77"/>
      <c r="H77">
        <f t="shared" si="1"/>
        <v>692</v>
      </c>
    </row>
    <row r="78" spans="1:8" x14ac:dyDescent="0.25">
      <c r="A78" s="161">
        <v>77</v>
      </c>
      <c r="B78" s="161">
        <v>76</v>
      </c>
      <c r="C78" s="161" t="s">
        <v>540</v>
      </c>
      <c r="D78" s="161" t="s">
        <v>98</v>
      </c>
      <c r="E78" s="161">
        <v>324.85000000000002</v>
      </c>
      <c r="F78" s="161">
        <v>7</v>
      </c>
      <c r="G78"/>
      <c r="H78">
        <f t="shared" si="1"/>
        <v>582</v>
      </c>
    </row>
    <row r="79" spans="1:8" x14ac:dyDescent="0.25">
      <c r="A79" s="161">
        <v>78</v>
      </c>
      <c r="B79" s="161">
        <v>77</v>
      </c>
      <c r="C79" s="161" t="s">
        <v>572</v>
      </c>
      <c r="D79" s="161" t="s">
        <v>91</v>
      </c>
      <c r="E79" s="161">
        <v>324.75</v>
      </c>
      <c r="F79" s="161">
        <v>8</v>
      </c>
      <c r="G79"/>
      <c r="H79">
        <f t="shared" si="1"/>
        <v>993</v>
      </c>
    </row>
    <row r="80" spans="1:8" x14ac:dyDescent="0.25">
      <c r="A80" s="161">
        <v>79</v>
      </c>
      <c r="B80" s="161">
        <v>78</v>
      </c>
      <c r="C80" s="161" t="s">
        <v>560</v>
      </c>
      <c r="D80" s="161" t="s">
        <v>88</v>
      </c>
      <c r="E80" s="161">
        <v>318</v>
      </c>
      <c r="F80" s="161">
        <v>5</v>
      </c>
      <c r="G80"/>
      <c r="H80">
        <f t="shared" si="1"/>
        <v>214</v>
      </c>
    </row>
    <row r="81" spans="1:8" x14ac:dyDescent="0.25">
      <c r="A81" s="161">
        <v>80</v>
      </c>
      <c r="B81" s="161">
        <v>88</v>
      </c>
      <c r="C81" s="161" t="s">
        <v>568</v>
      </c>
      <c r="D81" s="161" t="s">
        <v>152</v>
      </c>
      <c r="E81" s="161">
        <v>314.03750000000002</v>
      </c>
      <c r="F81" s="161">
        <v>9</v>
      </c>
      <c r="G81"/>
      <c r="H81">
        <f t="shared" si="1"/>
        <v>785</v>
      </c>
    </row>
    <row r="82" spans="1:8" x14ac:dyDescent="0.25">
      <c r="A82" s="161">
        <v>81</v>
      </c>
      <c r="B82" s="161">
        <v>91</v>
      </c>
      <c r="C82" s="161" t="s">
        <v>548</v>
      </c>
      <c r="D82" s="161" t="s">
        <v>88</v>
      </c>
      <c r="E82" s="161">
        <v>313.47000000000003</v>
      </c>
      <c r="F82" s="161">
        <v>8</v>
      </c>
      <c r="G82"/>
      <c r="H82">
        <f t="shared" si="1"/>
        <v>721</v>
      </c>
    </row>
    <row r="83" spans="1:8" x14ac:dyDescent="0.25">
      <c r="A83" s="161">
        <v>82</v>
      </c>
      <c r="B83" s="161">
        <v>79</v>
      </c>
      <c r="C83" s="161" t="s">
        <v>529</v>
      </c>
      <c r="D83" s="161" t="s">
        <v>98</v>
      </c>
      <c r="E83" s="161">
        <v>308.25</v>
      </c>
      <c r="F83" s="161">
        <v>5</v>
      </c>
      <c r="G83"/>
      <c r="H83">
        <f t="shared" si="1"/>
        <v>1063</v>
      </c>
    </row>
    <row r="84" spans="1:8" x14ac:dyDescent="0.25">
      <c r="A84" s="161">
        <v>83</v>
      </c>
      <c r="B84" s="161">
        <v>69</v>
      </c>
      <c r="C84" s="161" t="s">
        <v>545</v>
      </c>
      <c r="D84" s="161" t="s">
        <v>141</v>
      </c>
      <c r="E84" s="161">
        <v>300.25</v>
      </c>
      <c r="F84" s="161">
        <v>7</v>
      </c>
      <c r="G84"/>
      <c r="H84">
        <f t="shared" si="1"/>
        <v>624</v>
      </c>
    </row>
    <row r="85" spans="1:8" x14ac:dyDescent="0.25">
      <c r="A85" s="161">
        <v>84</v>
      </c>
      <c r="B85" s="161">
        <v>81</v>
      </c>
      <c r="C85" s="161" t="s">
        <v>549</v>
      </c>
      <c r="D85" s="161" t="s">
        <v>91</v>
      </c>
      <c r="E85" s="161">
        <v>299</v>
      </c>
      <c r="F85" s="161">
        <v>4</v>
      </c>
      <c r="G85"/>
      <c r="H85">
        <f t="shared" si="1"/>
        <v>625</v>
      </c>
    </row>
    <row r="86" spans="1:8" x14ac:dyDescent="0.25">
      <c r="A86" s="161">
        <v>85</v>
      </c>
      <c r="B86" s="161">
        <v>82</v>
      </c>
      <c r="C86" s="161" t="s">
        <v>595</v>
      </c>
      <c r="D86" s="161" t="s">
        <v>91</v>
      </c>
      <c r="E86" s="161">
        <v>297.5</v>
      </c>
      <c r="F86" s="161">
        <v>4</v>
      </c>
      <c r="G86"/>
      <c r="H86">
        <f t="shared" si="1"/>
        <v>433</v>
      </c>
    </row>
    <row r="87" spans="1:8" x14ac:dyDescent="0.25">
      <c r="A87" s="161">
        <v>86</v>
      </c>
      <c r="B87" s="161">
        <v>83</v>
      </c>
      <c r="C87" s="161" t="s">
        <v>573</v>
      </c>
      <c r="D87" s="161" t="s">
        <v>88</v>
      </c>
      <c r="E87" s="161">
        <v>296.60000000000002</v>
      </c>
      <c r="F87" s="161">
        <v>21</v>
      </c>
      <c r="G87"/>
      <c r="H87">
        <f t="shared" si="1"/>
        <v>232</v>
      </c>
    </row>
    <row r="88" spans="1:8" x14ac:dyDescent="0.25">
      <c r="A88" s="161">
        <v>87</v>
      </c>
      <c r="B88" s="161">
        <v>84</v>
      </c>
      <c r="C88" s="161" t="s">
        <v>534</v>
      </c>
      <c r="D88" s="161" t="s">
        <v>98</v>
      </c>
      <c r="E88" s="161">
        <v>293</v>
      </c>
      <c r="F88" s="161">
        <v>5</v>
      </c>
      <c r="G88"/>
      <c r="H88">
        <f t="shared" si="1"/>
        <v>561</v>
      </c>
    </row>
    <row r="89" spans="1:8" x14ac:dyDescent="0.25">
      <c r="A89" s="161">
        <v>88</v>
      </c>
      <c r="B89" s="161">
        <v>86</v>
      </c>
      <c r="C89" s="161" t="s">
        <v>550</v>
      </c>
      <c r="D89" s="161" t="s">
        <v>88</v>
      </c>
      <c r="E89" s="161">
        <v>284.17500000000001</v>
      </c>
      <c r="F89" s="161">
        <v>8</v>
      </c>
      <c r="G89"/>
      <c r="H89">
        <f t="shared" si="1"/>
        <v>448</v>
      </c>
    </row>
    <row r="90" spans="1:8" x14ac:dyDescent="0.25">
      <c r="A90" s="161">
        <v>89</v>
      </c>
      <c r="B90" s="161">
        <v>80</v>
      </c>
      <c r="C90" s="161" t="s">
        <v>673</v>
      </c>
      <c r="D90" s="161" t="s">
        <v>91</v>
      </c>
      <c r="E90" s="161">
        <v>284</v>
      </c>
      <c r="F90" s="161">
        <v>7</v>
      </c>
      <c r="G90"/>
      <c r="H90">
        <f t="shared" si="1"/>
        <v>198</v>
      </c>
    </row>
    <row r="91" spans="1:8" x14ac:dyDescent="0.25">
      <c r="A91" s="161">
        <v>90</v>
      </c>
      <c r="B91" s="161">
        <v>95</v>
      </c>
      <c r="C91" s="161" t="s">
        <v>581</v>
      </c>
      <c r="D91" s="161" t="s">
        <v>91</v>
      </c>
      <c r="E91" s="161">
        <v>276.89999999999998</v>
      </c>
      <c r="F91" s="161">
        <v>10</v>
      </c>
      <c r="G91"/>
      <c r="H91">
        <f t="shared" si="1"/>
        <v>616</v>
      </c>
    </row>
    <row r="92" spans="1:8" x14ac:dyDescent="0.25">
      <c r="A92" s="161">
        <v>91</v>
      </c>
      <c r="B92" s="161">
        <v>109</v>
      </c>
      <c r="C92" s="161" t="s">
        <v>618</v>
      </c>
      <c r="D92" s="161" t="s">
        <v>88</v>
      </c>
      <c r="E92" s="161">
        <v>268.60000000000002</v>
      </c>
      <c r="F92" s="161">
        <v>7</v>
      </c>
      <c r="G92"/>
      <c r="H92">
        <f t="shared" si="1"/>
        <v>765</v>
      </c>
    </row>
    <row r="93" spans="1:8" x14ac:dyDescent="0.25">
      <c r="A93" s="161">
        <v>92</v>
      </c>
      <c r="B93" s="161">
        <v>90</v>
      </c>
      <c r="C93" s="161" t="s">
        <v>613</v>
      </c>
      <c r="D93" s="161" t="s">
        <v>112</v>
      </c>
      <c r="E93" s="161">
        <v>251.47499999999999</v>
      </c>
      <c r="F93" s="161">
        <v>4</v>
      </c>
      <c r="G93"/>
      <c r="H93">
        <f t="shared" si="1"/>
        <v>594</v>
      </c>
    </row>
    <row r="94" spans="1:8" x14ac:dyDescent="0.25">
      <c r="A94" s="161">
        <v>93</v>
      </c>
      <c r="B94" s="161">
        <v>92</v>
      </c>
      <c r="C94" s="161" t="s">
        <v>539</v>
      </c>
      <c r="D94" s="161" t="s">
        <v>91</v>
      </c>
      <c r="E94" s="161">
        <v>248.75</v>
      </c>
      <c r="F94" s="161">
        <v>4</v>
      </c>
      <c r="G94"/>
      <c r="H94">
        <f t="shared" si="1"/>
        <v>320</v>
      </c>
    </row>
    <row r="95" spans="1:8" x14ac:dyDescent="0.25">
      <c r="A95" s="161">
        <v>94</v>
      </c>
      <c r="B95" s="161">
        <v>93</v>
      </c>
      <c r="C95" s="161" t="s">
        <v>531</v>
      </c>
      <c r="D95" s="161" t="s">
        <v>88</v>
      </c>
      <c r="E95" s="161">
        <v>248.5</v>
      </c>
      <c r="F95" s="161">
        <v>2</v>
      </c>
      <c r="G95"/>
      <c r="H95">
        <f t="shared" si="1"/>
        <v>212</v>
      </c>
    </row>
    <row r="96" spans="1:8" x14ac:dyDescent="0.25">
      <c r="A96" s="161">
        <v>95</v>
      </c>
      <c r="B96" s="161">
        <v>87</v>
      </c>
      <c r="C96" s="161" t="s">
        <v>535</v>
      </c>
      <c r="D96" s="161" t="s">
        <v>98</v>
      </c>
      <c r="E96" s="161">
        <v>247.7</v>
      </c>
      <c r="F96" s="161">
        <v>9</v>
      </c>
      <c r="G96"/>
      <c r="H96">
        <f t="shared" si="1"/>
        <v>970</v>
      </c>
    </row>
    <row r="97" spans="1:8" x14ac:dyDescent="0.25">
      <c r="A97" s="161">
        <v>96</v>
      </c>
      <c r="B97" s="161">
        <v>94</v>
      </c>
      <c r="C97" s="161" t="s">
        <v>551</v>
      </c>
      <c r="D97" s="161" t="s">
        <v>88</v>
      </c>
      <c r="E97" s="161">
        <v>246.6</v>
      </c>
      <c r="F97" s="161">
        <v>7</v>
      </c>
      <c r="G97"/>
      <c r="H97">
        <f t="shared" si="1"/>
        <v>362</v>
      </c>
    </row>
    <row r="98" spans="1:8" x14ac:dyDescent="0.25">
      <c r="A98" s="161">
        <v>97</v>
      </c>
      <c r="B98" s="161">
        <v>96</v>
      </c>
      <c r="C98" s="161" t="s">
        <v>576</v>
      </c>
      <c r="D98" s="161" t="s">
        <v>98</v>
      </c>
      <c r="E98" s="161">
        <v>241.85</v>
      </c>
      <c r="F98" s="161">
        <v>11</v>
      </c>
      <c r="G98"/>
      <c r="H98">
        <f t="shared" si="1"/>
        <v>305</v>
      </c>
    </row>
    <row r="99" spans="1:8" x14ac:dyDescent="0.25">
      <c r="A99" s="161">
        <v>98</v>
      </c>
      <c r="B99" s="161">
        <v>97</v>
      </c>
      <c r="C99" s="161" t="s">
        <v>587</v>
      </c>
      <c r="D99" s="161" t="s">
        <v>88</v>
      </c>
      <c r="E99" s="161">
        <v>239.9</v>
      </c>
      <c r="F99" s="161">
        <v>6</v>
      </c>
      <c r="G99"/>
      <c r="H99">
        <f t="shared" si="1"/>
        <v>689</v>
      </c>
    </row>
    <row r="100" spans="1:8" x14ac:dyDescent="0.25">
      <c r="A100" s="161">
        <v>99</v>
      </c>
      <c r="B100" s="161">
        <v>104</v>
      </c>
      <c r="C100" s="161" t="s">
        <v>633</v>
      </c>
      <c r="D100" s="161" t="s">
        <v>91</v>
      </c>
      <c r="E100" s="161">
        <v>237.25</v>
      </c>
      <c r="F100" s="161">
        <v>2</v>
      </c>
      <c r="G100"/>
      <c r="H100">
        <f t="shared" si="1"/>
        <v>602</v>
      </c>
    </row>
    <row r="101" spans="1:8" x14ac:dyDescent="0.25">
      <c r="A101" s="161">
        <v>100</v>
      </c>
      <c r="B101" s="161">
        <v>98</v>
      </c>
      <c r="C101" s="161" t="s">
        <v>547</v>
      </c>
      <c r="D101" s="161" t="s">
        <v>98</v>
      </c>
      <c r="E101" s="161">
        <v>236.05</v>
      </c>
      <c r="F101" s="161">
        <v>4</v>
      </c>
      <c r="G101"/>
      <c r="H101">
        <f t="shared" si="1"/>
        <v>398</v>
      </c>
    </row>
    <row r="102" spans="1:8" x14ac:dyDescent="0.25">
      <c r="A102" s="161">
        <v>101</v>
      </c>
      <c r="B102" s="161">
        <v>100</v>
      </c>
      <c r="C102" s="161" t="s">
        <v>544</v>
      </c>
      <c r="D102" s="161" t="s">
        <v>88</v>
      </c>
      <c r="E102" s="161">
        <v>231.75</v>
      </c>
      <c r="F102" s="161">
        <v>9</v>
      </c>
      <c r="G102"/>
      <c r="H102">
        <f t="shared" si="1"/>
        <v>416</v>
      </c>
    </row>
    <row r="103" spans="1:8" x14ac:dyDescent="0.25">
      <c r="A103" s="161">
        <v>102</v>
      </c>
      <c r="B103" s="161">
        <v>89</v>
      </c>
      <c r="C103" s="161" t="s">
        <v>501</v>
      </c>
      <c r="D103" s="161" t="s">
        <v>91</v>
      </c>
      <c r="E103" s="161">
        <v>226</v>
      </c>
      <c r="F103" s="161">
        <v>3</v>
      </c>
      <c r="G103"/>
      <c r="H103">
        <f t="shared" si="1"/>
        <v>373</v>
      </c>
    </row>
    <row r="104" spans="1:8" x14ac:dyDescent="0.25">
      <c r="A104" s="161">
        <v>103</v>
      </c>
      <c r="B104" s="161">
        <v>101</v>
      </c>
      <c r="C104" s="161" t="s">
        <v>546</v>
      </c>
      <c r="D104" s="161" t="s">
        <v>98</v>
      </c>
      <c r="E104" s="161">
        <v>225.4</v>
      </c>
      <c r="F104" s="161">
        <v>4</v>
      </c>
      <c r="G104"/>
      <c r="H104">
        <f t="shared" si="1"/>
        <v>879</v>
      </c>
    </row>
    <row r="105" spans="1:8" x14ac:dyDescent="0.25">
      <c r="A105" s="161">
        <v>104</v>
      </c>
      <c r="B105" s="161">
        <v>120</v>
      </c>
      <c r="C105" s="161" t="s">
        <v>596</v>
      </c>
      <c r="D105" s="161" t="s">
        <v>112</v>
      </c>
      <c r="E105" s="161">
        <v>225.375</v>
      </c>
      <c r="F105" s="161">
        <v>7</v>
      </c>
      <c r="G105"/>
      <c r="H105">
        <f t="shared" si="1"/>
        <v>547</v>
      </c>
    </row>
    <row r="106" spans="1:8" x14ac:dyDescent="0.25">
      <c r="A106" s="161">
        <v>105</v>
      </c>
      <c r="B106" s="161">
        <v>102</v>
      </c>
      <c r="C106" s="161" t="s">
        <v>628</v>
      </c>
      <c r="D106" s="161" t="s">
        <v>91</v>
      </c>
      <c r="E106" s="161">
        <v>222.5</v>
      </c>
      <c r="F106" s="161">
        <v>4</v>
      </c>
      <c r="G106"/>
      <c r="H106">
        <f t="shared" si="1"/>
        <v>290</v>
      </c>
    </row>
    <row r="107" spans="1:8" x14ac:dyDescent="0.25">
      <c r="A107" s="161">
        <v>106</v>
      </c>
      <c r="B107" s="161">
        <v>103</v>
      </c>
      <c r="C107" s="161" t="s">
        <v>577</v>
      </c>
      <c r="D107" s="161" t="s">
        <v>88</v>
      </c>
      <c r="E107" s="161">
        <v>222.345</v>
      </c>
      <c r="F107" s="161">
        <v>6</v>
      </c>
      <c r="G107"/>
      <c r="H107">
        <f t="shared" si="1"/>
        <v>209</v>
      </c>
    </row>
    <row r="108" spans="1:8" x14ac:dyDescent="0.25">
      <c r="A108" s="161">
        <v>107</v>
      </c>
      <c r="B108" s="161">
        <v>105</v>
      </c>
      <c r="C108" s="161" t="s">
        <v>605</v>
      </c>
      <c r="D108" s="161" t="s">
        <v>91</v>
      </c>
      <c r="E108" s="161">
        <v>220.75</v>
      </c>
      <c r="F108" s="161">
        <v>7</v>
      </c>
      <c r="G108"/>
      <c r="H108">
        <f t="shared" si="1"/>
        <v>481</v>
      </c>
    </row>
    <row r="109" spans="1:8" x14ac:dyDescent="0.25">
      <c r="A109" s="161">
        <v>108</v>
      </c>
      <c r="B109" s="161">
        <v>106</v>
      </c>
      <c r="C109" s="161" t="s">
        <v>612</v>
      </c>
      <c r="D109" s="161" t="s">
        <v>91</v>
      </c>
      <c r="E109" s="161">
        <v>216.5</v>
      </c>
      <c r="F109" s="161">
        <v>4</v>
      </c>
      <c r="G109"/>
      <c r="H109">
        <f t="shared" si="1"/>
        <v>505</v>
      </c>
    </row>
    <row r="110" spans="1:8" x14ac:dyDescent="0.25">
      <c r="A110" s="161">
        <v>109</v>
      </c>
      <c r="B110" s="161">
        <v>117</v>
      </c>
      <c r="C110" s="161" t="s">
        <v>582</v>
      </c>
      <c r="D110" s="161" t="s">
        <v>88</v>
      </c>
      <c r="E110" s="161">
        <v>208.8</v>
      </c>
      <c r="F110" s="161">
        <v>8</v>
      </c>
      <c r="G110"/>
      <c r="H110">
        <f t="shared" si="1"/>
        <v>911</v>
      </c>
    </row>
    <row r="111" spans="1:8" x14ac:dyDescent="0.25">
      <c r="A111" s="161">
        <v>110</v>
      </c>
      <c r="B111" s="161">
        <v>107</v>
      </c>
      <c r="C111" s="161" t="s">
        <v>619</v>
      </c>
      <c r="D111" s="161" t="s">
        <v>88</v>
      </c>
      <c r="E111" s="161">
        <v>207.113</v>
      </c>
      <c r="F111" s="161">
        <v>8</v>
      </c>
      <c r="G111"/>
      <c r="H111">
        <f t="shared" si="1"/>
        <v>802</v>
      </c>
    </row>
    <row r="112" spans="1:8" x14ac:dyDescent="0.25">
      <c r="A112" s="161">
        <v>111</v>
      </c>
      <c r="B112" s="161">
        <v>108</v>
      </c>
      <c r="C112" s="161" t="s">
        <v>644</v>
      </c>
      <c r="D112" s="161" t="s">
        <v>276</v>
      </c>
      <c r="E112" s="161">
        <v>205.3</v>
      </c>
      <c r="F112" s="161">
        <v>6</v>
      </c>
      <c r="G112"/>
      <c r="H112">
        <f t="shared" si="1"/>
        <v>983</v>
      </c>
    </row>
    <row r="113" spans="1:8" x14ac:dyDescent="0.25">
      <c r="A113" s="161">
        <v>112</v>
      </c>
      <c r="B113" s="161">
        <v>110</v>
      </c>
      <c r="C113" s="161" t="s">
        <v>588</v>
      </c>
      <c r="D113" s="161" t="s">
        <v>112</v>
      </c>
      <c r="E113" s="161">
        <v>204.95</v>
      </c>
      <c r="F113" s="161">
        <v>3</v>
      </c>
      <c r="G113"/>
      <c r="H113">
        <f t="shared" si="1"/>
        <v>545</v>
      </c>
    </row>
    <row r="114" spans="1:8" x14ac:dyDescent="0.25">
      <c r="A114" s="161">
        <v>113</v>
      </c>
      <c r="B114" s="161">
        <v>111</v>
      </c>
      <c r="C114" s="161" t="s">
        <v>589</v>
      </c>
      <c r="D114" s="161" t="s">
        <v>274</v>
      </c>
      <c r="E114" s="161">
        <v>204</v>
      </c>
      <c r="F114" s="161">
        <v>2</v>
      </c>
      <c r="G114"/>
      <c r="H114">
        <f t="shared" si="1"/>
        <v>888</v>
      </c>
    </row>
    <row r="115" spans="1:8" x14ac:dyDescent="0.25">
      <c r="A115" s="161">
        <v>114</v>
      </c>
      <c r="B115" s="161">
        <v>156</v>
      </c>
      <c r="C115" s="161" t="s">
        <v>555</v>
      </c>
      <c r="D115" s="161" t="s">
        <v>88</v>
      </c>
      <c r="E115" s="161">
        <v>196.5</v>
      </c>
      <c r="F115" s="161">
        <v>2</v>
      </c>
      <c r="G115"/>
      <c r="H115">
        <f t="shared" si="1"/>
        <v>411</v>
      </c>
    </row>
    <row r="116" spans="1:8" x14ac:dyDescent="0.25">
      <c r="A116" s="161">
        <v>115</v>
      </c>
      <c r="B116" s="161">
        <v>118</v>
      </c>
      <c r="C116" s="161" t="s">
        <v>599</v>
      </c>
      <c r="D116" s="161" t="s">
        <v>88</v>
      </c>
      <c r="E116" s="161">
        <v>194</v>
      </c>
      <c r="F116" s="161">
        <v>2</v>
      </c>
      <c r="G116"/>
      <c r="H116">
        <f t="shared" si="1"/>
        <v>440</v>
      </c>
    </row>
    <row r="117" spans="1:8" x14ac:dyDescent="0.25">
      <c r="A117" s="161">
        <v>116</v>
      </c>
      <c r="B117" s="161">
        <v>112</v>
      </c>
      <c r="C117" s="161" t="s">
        <v>580</v>
      </c>
      <c r="D117" s="161" t="s">
        <v>91</v>
      </c>
      <c r="E117" s="161">
        <v>193.5</v>
      </c>
      <c r="F117" s="161">
        <v>3</v>
      </c>
      <c r="G117"/>
      <c r="H117">
        <f t="shared" si="1"/>
        <v>618</v>
      </c>
    </row>
    <row r="118" spans="1:8" x14ac:dyDescent="0.25">
      <c r="A118" s="161">
        <v>117</v>
      </c>
      <c r="B118" s="161">
        <v>113</v>
      </c>
      <c r="C118" s="161" t="s">
        <v>708</v>
      </c>
      <c r="D118" s="161" t="s">
        <v>91</v>
      </c>
      <c r="E118" s="161">
        <v>192.65</v>
      </c>
      <c r="F118" s="161">
        <v>5</v>
      </c>
      <c r="G118"/>
      <c r="H118">
        <f t="shared" si="1"/>
        <v>899</v>
      </c>
    </row>
    <row r="119" spans="1:8" x14ac:dyDescent="0.25">
      <c r="A119" s="161">
        <v>118</v>
      </c>
      <c r="B119" s="161">
        <v>114</v>
      </c>
      <c r="C119" s="161" t="s">
        <v>626</v>
      </c>
      <c r="D119" s="161" t="s">
        <v>98</v>
      </c>
      <c r="E119" s="161">
        <v>191</v>
      </c>
      <c r="F119" s="161">
        <v>4</v>
      </c>
      <c r="G119"/>
      <c r="H119">
        <f t="shared" si="1"/>
        <v>1021</v>
      </c>
    </row>
    <row r="120" spans="1:8" x14ac:dyDescent="0.25">
      <c r="A120" s="161">
        <v>119</v>
      </c>
      <c r="B120" s="161">
        <v>137</v>
      </c>
      <c r="C120" s="161" t="s">
        <v>594</v>
      </c>
      <c r="D120" s="161" t="s">
        <v>88</v>
      </c>
      <c r="E120" s="161">
        <v>188.65</v>
      </c>
      <c r="F120" s="161">
        <v>6</v>
      </c>
      <c r="G120"/>
      <c r="H120">
        <f t="shared" si="1"/>
        <v>878</v>
      </c>
    </row>
    <row r="121" spans="1:8" x14ac:dyDescent="0.25">
      <c r="A121" s="161">
        <v>120</v>
      </c>
      <c r="B121" s="161">
        <v>115</v>
      </c>
      <c r="C121" s="161" t="s">
        <v>706</v>
      </c>
      <c r="D121" s="161" t="s">
        <v>91</v>
      </c>
      <c r="E121" s="161">
        <v>186.75</v>
      </c>
      <c r="F121" s="161">
        <v>5</v>
      </c>
      <c r="G121"/>
      <c r="H121">
        <f t="shared" si="1"/>
        <v>300</v>
      </c>
    </row>
    <row r="122" spans="1:8" x14ac:dyDescent="0.25">
      <c r="A122" s="161">
        <v>121</v>
      </c>
      <c r="B122" s="161">
        <v>116</v>
      </c>
      <c r="C122" s="161" t="s">
        <v>520</v>
      </c>
      <c r="D122" s="161" t="s">
        <v>98</v>
      </c>
      <c r="E122" s="161">
        <v>185.4</v>
      </c>
      <c r="F122" s="161">
        <v>3</v>
      </c>
      <c r="G122"/>
      <c r="H122">
        <f t="shared" si="1"/>
        <v>511</v>
      </c>
    </row>
    <row r="123" spans="1:8" x14ac:dyDescent="0.25">
      <c r="A123" s="161">
        <v>122</v>
      </c>
      <c r="B123" s="161">
        <v>119</v>
      </c>
      <c r="C123" s="161" t="s">
        <v>810</v>
      </c>
      <c r="D123" s="161" t="s">
        <v>143</v>
      </c>
      <c r="E123" s="161">
        <v>181.7</v>
      </c>
      <c r="F123" s="161">
        <v>3</v>
      </c>
      <c r="G123"/>
      <c r="H123">
        <f t="shared" si="1"/>
        <v>565</v>
      </c>
    </row>
    <row r="124" spans="1:8" x14ac:dyDescent="0.25">
      <c r="A124" s="161">
        <v>123</v>
      </c>
      <c r="B124" s="161">
        <v>121</v>
      </c>
      <c r="C124" s="161" t="s">
        <v>609</v>
      </c>
      <c r="D124" s="161" t="s">
        <v>88</v>
      </c>
      <c r="E124" s="161">
        <v>176.9</v>
      </c>
      <c r="F124" s="161">
        <v>4</v>
      </c>
      <c r="G124"/>
      <c r="H124">
        <f t="shared" si="1"/>
        <v>444</v>
      </c>
    </row>
    <row r="125" spans="1:8" x14ac:dyDescent="0.25">
      <c r="A125" s="161">
        <v>124</v>
      </c>
      <c r="B125" s="161">
        <v>122</v>
      </c>
      <c r="C125" s="161" t="s">
        <v>578</v>
      </c>
      <c r="D125" s="161" t="s">
        <v>88</v>
      </c>
      <c r="E125" s="161">
        <v>176.05</v>
      </c>
      <c r="F125" s="161">
        <v>7</v>
      </c>
      <c r="G125"/>
      <c r="H125">
        <f t="shared" si="1"/>
        <v>691</v>
      </c>
    </row>
    <row r="126" spans="1:8" x14ac:dyDescent="0.25">
      <c r="A126" s="161">
        <v>125</v>
      </c>
      <c r="B126" s="161">
        <v>125</v>
      </c>
      <c r="C126" s="161" t="s">
        <v>648</v>
      </c>
      <c r="D126" s="161" t="s">
        <v>91</v>
      </c>
      <c r="E126" s="161">
        <v>174</v>
      </c>
      <c r="F126" s="161">
        <v>3</v>
      </c>
      <c r="G126"/>
      <c r="H126">
        <f t="shared" si="1"/>
        <v>916</v>
      </c>
    </row>
    <row r="127" spans="1:8" x14ac:dyDescent="0.25">
      <c r="A127" s="161">
        <v>126</v>
      </c>
      <c r="B127" s="161">
        <v>126</v>
      </c>
      <c r="C127" s="161" t="s">
        <v>593</v>
      </c>
      <c r="D127" s="161" t="s">
        <v>98</v>
      </c>
      <c r="E127" s="161">
        <v>174</v>
      </c>
      <c r="F127" s="161">
        <v>4</v>
      </c>
      <c r="G127"/>
      <c r="H127">
        <f t="shared" si="1"/>
        <v>866</v>
      </c>
    </row>
    <row r="128" spans="1:8" x14ac:dyDescent="0.25">
      <c r="A128" s="161">
        <v>127</v>
      </c>
      <c r="B128" s="161">
        <v>127</v>
      </c>
      <c r="C128" s="161" t="s">
        <v>570</v>
      </c>
      <c r="D128" s="161" t="s">
        <v>88</v>
      </c>
      <c r="E128" s="161">
        <v>172.37</v>
      </c>
      <c r="F128" s="161">
        <v>5</v>
      </c>
      <c r="G128"/>
      <c r="H128">
        <f t="shared" si="1"/>
        <v>719</v>
      </c>
    </row>
    <row r="129" spans="1:8" x14ac:dyDescent="0.25">
      <c r="A129" s="161">
        <v>128</v>
      </c>
      <c r="B129" s="161">
        <v>128</v>
      </c>
      <c r="C129" s="161" t="s">
        <v>650</v>
      </c>
      <c r="D129" s="161" t="s">
        <v>91</v>
      </c>
      <c r="E129" s="161">
        <v>172</v>
      </c>
      <c r="F129" s="161">
        <v>4</v>
      </c>
      <c r="G129"/>
      <c r="H129">
        <f t="shared" si="1"/>
        <v>1035</v>
      </c>
    </row>
    <row r="130" spans="1:8" x14ac:dyDescent="0.25">
      <c r="A130" s="161">
        <v>129</v>
      </c>
      <c r="B130" s="161">
        <v>129</v>
      </c>
      <c r="C130" s="161" t="s">
        <v>607</v>
      </c>
      <c r="D130" s="161" t="s">
        <v>91</v>
      </c>
      <c r="E130" s="161">
        <v>168</v>
      </c>
      <c r="F130" s="161">
        <v>2</v>
      </c>
      <c r="G130"/>
      <c r="H130">
        <f t="shared" ref="H130:H193" si="2">SUMPRODUCT((C$2:C$1090 &lt; C130)+(C130="")*1000)</f>
        <v>364</v>
      </c>
    </row>
    <row r="131" spans="1:8" x14ac:dyDescent="0.25">
      <c r="A131" s="161">
        <v>130</v>
      </c>
      <c r="B131" s="161">
        <v>130</v>
      </c>
      <c r="C131" s="161" t="s">
        <v>606</v>
      </c>
      <c r="D131" s="161" t="s">
        <v>91</v>
      </c>
      <c r="E131" s="161">
        <v>165.125</v>
      </c>
      <c r="F131" s="161">
        <v>3</v>
      </c>
      <c r="G131"/>
      <c r="H131">
        <f t="shared" si="2"/>
        <v>905</v>
      </c>
    </row>
    <row r="132" spans="1:8" x14ac:dyDescent="0.25">
      <c r="A132" s="161">
        <v>131</v>
      </c>
      <c r="B132" s="161">
        <v>229</v>
      </c>
      <c r="C132" s="161" t="s">
        <v>872</v>
      </c>
      <c r="D132" s="161" t="s">
        <v>112</v>
      </c>
      <c r="E132" s="161">
        <v>163.57499999999999</v>
      </c>
      <c r="F132" s="161">
        <v>3</v>
      </c>
      <c r="G132"/>
      <c r="H132">
        <f t="shared" si="2"/>
        <v>706</v>
      </c>
    </row>
    <row r="133" spans="1:8" x14ac:dyDescent="0.25">
      <c r="A133" s="161">
        <v>132</v>
      </c>
      <c r="B133" s="161">
        <v>131</v>
      </c>
      <c r="C133" s="161" t="s">
        <v>665</v>
      </c>
      <c r="D133" s="161" t="s">
        <v>88</v>
      </c>
      <c r="E133" s="161">
        <v>160.4</v>
      </c>
      <c r="F133" s="161">
        <v>6</v>
      </c>
      <c r="G133"/>
      <c r="H133">
        <f t="shared" si="2"/>
        <v>215</v>
      </c>
    </row>
    <row r="134" spans="1:8" x14ac:dyDescent="0.25">
      <c r="A134" s="161" t="s">
        <v>1480</v>
      </c>
      <c r="B134" s="161" t="s">
        <v>1481</v>
      </c>
      <c r="C134" s="161" t="s">
        <v>930</v>
      </c>
      <c r="D134" s="161" t="s">
        <v>91</v>
      </c>
      <c r="E134" s="161">
        <v>157.5</v>
      </c>
      <c r="F134" s="161">
        <v>3</v>
      </c>
      <c r="G134"/>
      <c r="H134">
        <f t="shared" si="2"/>
        <v>367</v>
      </c>
    </row>
    <row r="135" spans="1:8" x14ac:dyDescent="0.25">
      <c r="A135" s="161" t="s">
        <v>1480</v>
      </c>
      <c r="B135" s="161" t="s">
        <v>1481</v>
      </c>
      <c r="C135" s="161" t="s">
        <v>556</v>
      </c>
      <c r="D135" s="161" t="s">
        <v>91</v>
      </c>
      <c r="E135" s="161">
        <v>157.5</v>
      </c>
      <c r="F135" s="161">
        <v>3</v>
      </c>
      <c r="G135"/>
      <c r="H135">
        <f t="shared" si="2"/>
        <v>1050</v>
      </c>
    </row>
    <row r="136" spans="1:8" x14ac:dyDescent="0.25">
      <c r="A136" s="161">
        <v>135</v>
      </c>
      <c r="B136" s="161">
        <v>134</v>
      </c>
      <c r="C136" s="161" t="s">
        <v>657</v>
      </c>
      <c r="D136" s="161" t="s">
        <v>91</v>
      </c>
      <c r="E136" s="161">
        <v>156</v>
      </c>
      <c r="F136" s="161">
        <v>4</v>
      </c>
      <c r="G136"/>
      <c r="H136">
        <f t="shared" si="2"/>
        <v>792</v>
      </c>
    </row>
    <row r="137" spans="1:8" x14ac:dyDescent="0.25">
      <c r="A137" s="161">
        <v>136</v>
      </c>
      <c r="B137" s="161">
        <v>136</v>
      </c>
      <c r="C137" s="161" t="s">
        <v>689</v>
      </c>
      <c r="D137" s="161" t="s">
        <v>98</v>
      </c>
      <c r="E137" s="161">
        <v>153.5</v>
      </c>
      <c r="F137" s="161">
        <v>2</v>
      </c>
      <c r="G137"/>
      <c r="H137">
        <f t="shared" si="2"/>
        <v>635</v>
      </c>
    </row>
    <row r="138" spans="1:8" x14ac:dyDescent="0.25">
      <c r="A138" s="161">
        <v>137</v>
      </c>
      <c r="B138" s="161">
        <v>159</v>
      </c>
      <c r="C138" s="161" t="s">
        <v>640</v>
      </c>
      <c r="D138" s="161" t="s">
        <v>88</v>
      </c>
      <c r="E138" s="161">
        <v>152.25</v>
      </c>
      <c r="F138" s="161">
        <v>4</v>
      </c>
      <c r="G138"/>
      <c r="H138">
        <f t="shared" si="2"/>
        <v>957</v>
      </c>
    </row>
    <row r="139" spans="1:8" x14ac:dyDescent="0.25">
      <c r="A139" s="161">
        <v>138</v>
      </c>
      <c r="B139" s="161">
        <v>147</v>
      </c>
      <c r="C139" s="161" t="s">
        <v>684</v>
      </c>
      <c r="D139" s="161" t="s">
        <v>91</v>
      </c>
      <c r="E139" s="161">
        <v>151.75</v>
      </c>
      <c r="F139" s="161">
        <v>4</v>
      </c>
      <c r="G139"/>
      <c r="H139">
        <f t="shared" si="2"/>
        <v>404</v>
      </c>
    </row>
    <row r="140" spans="1:8" x14ac:dyDescent="0.25">
      <c r="A140" s="161">
        <v>139</v>
      </c>
      <c r="B140" s="161">
        <v>138</v>
      </c>
      <c r="C140" s="161" t="s">
        <v>664</v>
      </c>
      <c r="D140" s="161" t="s">
        <v>91</v>
      </c>
      <c r="E140" s="161">
        <v>151.5</v>
      </c>
      <c r="F140" s="161">
        <v>4</v>
      </c>
      <c r="G140"/>
      <c r="H140">
        <f t="shared" si="2"/>
        <v>536</v>
      </c>
    </row>
    <row r="141" spans="1:8" x14ac:dyDescent="0.25">
      <c r="A141" s="161" t="s">
        <v>1482</v>
      </c>
      <c r="B141" s="161" t="s">
        <v>1483</v>
      </c>
      <c r="C141" s="161" t="s">
        <v>558</v>
      </c>
      <c r="D141" s="161" t="s">
        <v>88</v>
      </c>
      <c r="E141" s="161">
        <v>150</v>
      </c>
      <c r="F141" s="161">
        <v>2</v>
      </c>
      <c r="G141"/>
      <c r="H141">
        <f t="shared" si="2"/>
        <v>183</v>
      </c>
    </row>
    <row r="142" spans="1:8" x14ac:dyDescent="0.25">
      <c r="A142" s="161" t="s">
        <v>1482</v>
      </c>
      <c r="B142" s="161" t="s">
        <v>1483</v>
      </c>
      <c r="C142" s="161" t="s">
        <v>616</v>
      </c>
      <c r="D142" s="161" t="s">
        <v>88</v>
      </c>
      <c r="E142" s="161">
        <v>150</v>
      </c>
      <c r="F142" s="161">
        <v>2</v>
      </c>
      <c r="G142"/>
      <c r="H142">
        <f t="shared" si="2"/>
        <v>837</v>
      </c>
    </row>
    <row r="143" spans="1:8" x14ac:dyDescent="0.25">
      <c r="A143" s="161">
        <v>142</v>
      </c>
      <c r="B143" s="161">
        <v>139</v>
      </c>
      <c r="C143" s="161" t="s">
        <v>672</v>
      </c>
      <c r="D143" s="161" t="s">
        <v>88</v>
      </c>
      <c r="E143" s="161">
        <v>149.80000000000001</v>
      </c>
      <c r="F143" s="161">
        <v>5</v>
      </c>
      <c r="G143"/>
      <c r="H143">
        <f t="shared" si="2"/>
        <v>483</v>
      </c>
    </row>
    <row r="144" spans="1:8" x14ac:dyDescent="0.25">
      <c r="A144" s="161">
        <v>143</v>
      </c>
      <c r="B144" s="161">
        <v>175</v>
      </c>
      <c r="C144" s="161" t="s">
        <v>634</v>
      </c>
      <c r="D144" s="161" t="s">
        <v>88</v>
      </c>
      <c r="E144" s="161">
        <v>149.75</v>
      </c>
      <c r="F144" s="161">
        <v>3</v>
      </c>
      <c r="G144"/>
      <c r="H144">
        <f t="shared" si="2"/>
        <v>355</v>
      </c>
    </row>
    <row r="145" spans="1:8" x14ac:dyDescent="0.25">
      <c r="A145" s="161">
        <v>144</v>
      </c>
      <c r="B145" s="161">
        <v>140</v>
      </c>
      <c r="C145" s="161" t="s">
        <v>579</v>
      </c>
      <c r="D145" s="161" t="s">
        <v>98</v>
      </c>
      <c r="E145" s="161">
        <v>149.25</v>
      </c>
      <c r="F145" s="161">
        <v>6</v>
      </c>
      <c r="G145"/>
      <c r="H145">
        <f t="shared" si="2"/>
        <v>1053</v>
      </c>
    </row>
    <row r="146" spans="1:8" x14ac:dyDescent="0.25">
      <c r="A146" s="161" t="s">
        <v>1484</v>
      </c>
      <c r="B146" s="161" t="s">
        <v>1485</v>
      </c>
      <c r="C146" s="161" t="s">
        <v>635</v>
      </c>
      <c r="D146" s="161" t="s">
        <v>91</v>
      </c>
      <c r="E146" s="161">
        <v>147.5</v>
      </c>
      <c r="F146" s="161">
        <v>4</v>
      </c>
      <c r="G146"/>
      <c r="H146">
        <f t="shared" si="2"/>
        <v>331</v>
      </c>
    </row>
    <row r="147" spans="1:8" x14ac:dyDescent="0.25">
      <c r="A147" s="161" t="s">
        <v>1484</v>
      </c>
      <c r="B147" s="161" t="s">
        <v>1485</v>
      </c>
      <c r="C147" s="161" t="s">
        <v>636</v>
      </c>
      <c r="D147" s="161" t="s">
        <v>91</v>
      </c>
      <c r="E147" s="161">
        <v>147.5</v>
      </c>
      <c r="F147" s="161">
        <v>4</v>
      </c>
      <c r="G147"/>
      <c r="H147">
        <f t="shared" si="2"/>
        <v>369</v>
      </c>
    </row>
    <row r="148" spans="1:8" x14ac:dyDescent="0.25">
      <c r="A148" s="161">
        <v>147</v>
      </c>
      <c r="B148" s="161">
        <v>143</v>
      </c>
      <c r="C148" s="161" t="s">
        <v>622</v>
      </c>
      <c r="D148" s="161" t="s">
        <v>150</v>
      </c>
      <c r="E148" s="161">
        <v>143.5</v>
      </c>
      <c r="F148" s="161">
        <v>2</v>
      </c>
      <c r="G148"/>
      <c r="H148">
        <f t="shared" si="2"/>
        <v>224</v>
      </c>
    </row>
    <row r="149" spans="1:8" x14ac:dyDescent="0.25">
      <c r="A149" s="161">
        <v>148</v>
      </c>
      <c r="B149" s="161">
        <v>144</v>
      </c>
      <c r="C149" s="161" t="s">
        <v>623</v>
      </c>
      <c r="D149" s="161" t="s">
        <v>88</v>
      </c>
      <c r="E149" s="161">
        <v>143.25</v>
      </c>
      <c r="F149" s="161">
        <v>2</v>
      </c>
      <c r="G149"/>
      <c r="H149">
        <f t="shared" si="2"/>
        <v>697</v>
      </c>
    </row>
    <row r="150" spans="1:8" x14ac:dyDescent="0.25">
      <c r="A150" s="161">
        <v>149</v>
      </c>
      <c r="B150" s="161">
        <v>145</v>
      </c>
      <c r="C150" s="161" t="s">
        <v>583</v>
      </c>
      <c r="D150" s="161" t="s">
        <v>98</v>
      </c>
      <c r="E150" s="161">
        <v>141.75</v>
      </c>
      <c r="F150" s="161">
        <v>3</v>
      </c>
      <c r="G150"/>
      <c r="H150">
        <f t="shared" si="2"/>
        <v>877</v>
      </c>
    </row>
    <row r="151" spans="1:8" x14ac:dyDescent="0.25">
      <c r="A151" s="161">
        <v>150</v>
      </c>
      <c r="B151" s="161">
        <v>135</v>
      </c>
      <c r="C151" s="161" t="s">
        <v>820</v>
      </c>
      <c r="D151" s="161" t="s">
        <v>91</v>
      </c>
      <c r="E151" s="161">
        <v>139</v>
      </c>
      <c r="F151" s="161">
        <v>9</v>
      </c>
      <c r="G151"/>
      <c r="H151">
        <f t="shared" si="2"/>
        <v>265</v>
      </c>
    </row>
    <row r="152" spans="1:8" x14ac:dyDescent="0.25">
      <c r="A152" s="161">
        <v>151</v>
      </c>
      <c r="B152" s="161">
        <v>189</v>
      </c>
      <c r="C152" s="161" t="s">
        <v>638</v>
      </c>
      <c r="D152" s="161" t="s">
        <v>152</v>
      </c>
      <c r="E152" s="161">
        <v>131.125</v>
      </c>
      <c r="F152" s="161">
        <v>4</v>
      </c>
      <c r="G152"/>
      <c r="H152">
        <f t="shared" si="2"/>
        <v>378</v>
      </c>
    </row>
    <row r="153" spans="1:8" x14ac:dyDescent="0.25">
      <c r="A153" s="161">
        <v>152</v>
      </c>
      <c r="B153" s="161">
        <v>148</v>
      </c>
      <c r="C153" s="161" t="s">
        <v>563</v>
      </c>
      <c r="D153" s="161" t="s">
        <v>91</v>
      </c>
      <c r="E153" s="161">
        <v>130.25</v>
      </c>
      <c r="F153" s="161">
        <v>4</v>
      </c>
      <c r="G153"/>
      <c r="H153">
        <f t="shared" si="2"/>
        <v>321</v>
      </c>
    </row>
    <row r="154" spans="1:8" x14ac:dyDescent="0.25">
      <c r="A154" s="161">
        <v>153</v>
      </c>
      <c r="B154" s="161">
        <v>149</v>
      </c>
      <c r="C154" s="161" t="s">
        <v>796</v>
      </c>
      <c r="D154" s="161" t="s">
        <v>91</v>
      </c>
      <c r="E154" s="161">
        <v>129.5</v>
      </c>
      <c r="F154" s="161">
        <v>3</v>
      </c>
      <c r="G154"/>
      <c r="H154">
        <f t="shared" si="2"/>
        <v>226</v>
      </c>
    </row>
    <row r="155" spans="1:8" x14ac:dyDescent="0.25">
      <c r="A155" s="161">
        <v>154</v>
      </c>
      <c r="B155" s="161">
        <v>150</v>
      </c>
      <c r="C155" s="161" t="s">
        <v>571</v>
      </c>
      <c r="D155" s="161" t="s">
        <v>105</v>
      </c>
      <c r="E155" s="161">
        <v>128.69999999999999</v>
      </c>
      <c r="F155" s="161">
        <v>2</v>
      </c>
      <c r="G155"/>
      <c r="H155">
        <f t="shared" si="2"/>
        <v>222</v>
      </c>
    </row>
    <row r="156" spans="1:8" x14ac:dyDescent="0.25">
      <c r="A156" s="161">
        <v>155</v>
      </c>
      <c r="B156" s="161">
        <v>151</v>
      </c>
      <c r="C156" s="161" t="s">
        <v>750</v>
      </c>
      <c r="D156" s="161" t="s">
        <v>91</v>
      </c>
      <c r="E156" s="161">
        <v>128.5</v>
      </c>
      <c r="F156" s="161">
        <v>2</v>
      </c>
      <c r="G156"/>
      <c r="H156">
        <f t="shared" si="2"/>
        <v>953</v>
      </c>
    </row>
    <row r="157" spans="1:8" x14ac:dyDescent="0.25">
      <c r="A157" s="161">
        <v>156</v>
      </c>
      <c r="B157" s="161">
        <v>152</v>
      </c>
      <c r="C157" s="161" t="s">
        <v>646</v>
      </c>
      <c r="D157" s="161" t="s">
        <v>143</v>
      </c>
      <c r="E157" s="161">
        <v>124.425</v>
      </c>
      <c r="F157" s="161">
        <v>3</v>
      </c>
      <c r="G157"/>
      <c r="H157">
        <f t="shared" si="2"/>
        <v>566</v>
      </c>
    </row>
    <row r="158" spans="1:8" x14ac:dyDescent="0.25">
      <c r="A158" s="161">
        <v>157</v>
      </c>
      <c r="B158" s="161">
        <v>153</v>
      </c>
      <c r="C158" s="161" t="s">
        <v>694</v>
      </c>
      <c r="D158" s="161" t="s">
        <v>141</v>
      </c>
      <c r="E158" s="161">
        <v>122.8</v>
      </c>
      <c r="F158" s="161">
        <v>3</v>
      </c>
      <c r="G158"/>
      <c r="H158">
        <f t="shared" si="2"/>
        <v>254</v>
      </c>
    </row>
    <row r="159" spans="1:8" x14ac:dyDescent="0.25">
      <c r="A159" s="161">
        <v>158</v>
      </c>
      <c r="B159" s="161">
        <v>154</v>
      </c>
      <c r="C159" s="161" t="s">
        <v>705</v>
      </c>
      <c r="D159" s="161" t="s">
        <v>253</v>
      </c>
      <c r="E159" s="161">
        <v>122.25</v>
      </c>
      <c r="F159" s="161">
        <v>3</v>
      </c>
      <c r="G159"/>
      <c r="H159">
        <f t="shared" si="2"/>
        <v>862</v>
      </c>
    </row>
    <row r="160" spans="1:8" x14ac:dyDescent="0.25">
      <c r="A160" s="161">
        <v>159</v>
      </c>
      <c r="B160" s="161">
        <v>155</v>
      </c>
      <c r="C160" s="161" t="s">
        <v>695</v>
      </c>
      <c r="D160" s="161" t="s">
        <v>91</v>
      </c>
      <c r="E160" s="161">
        <v>122</v>
      </c>
      <c r="F160" s="161">
        <v>2</v>
      </c>
      <c r="G160"/>
      <c r="H160">
        <f t="shared" si="2"/>
        <v>628</v>
      </c>
    </row>
    <row r="161" spans="1:8" x14ac:dyDescent="0.25">
      <c r="A161" s="161">
        <v>160</v>
      </c>
      <c r="B161" s="161">
        <v>157</v>
      </c>
      <c r="C161" s="161" t="s">
        <v>738</v>
      </c>
      <c r="D161" s="161" t="s">
        <v>91</v>
      </c>
      <c r="E161" s="161">
        <v>120.5</v>
      </c>
      <c r="F161" s="161">
        <v>2</v>
      </c>
      <c r="G161"/>
      <c r="H161">
        <f t="shared" si="2"/>
        <v>1038</v>
      </c>
    </row>
    <row r="162" spans="1:8" x14ac:dyDescent="0.25">
      <c r="A162" s="161">
        <v>161</v>
      </c>
      <c r="B162" s="161">
        <v>158</v>
      </c>
      <c r="C162" s="161" t="s">
        <v>629</v>
      </c>
      <c r="D162" s="161" t="s">
        <v>91</v>
      </c>
      <c r="E162" s="161">
        <v>117</v>
      </c>
      <c r="F162" s="161">
        <v>2</v>
      </c>
      <c r="G162"/>
      <c r="H162">
        <f t="shared" si="2"/>
        <v>901</v>
      </c>
    </row>
    <row r="163" spans="1:8" x14ac:dyDescent="0.25">
      <c r="A163" s="161">
        <v>162</v>
      </c>
      <c r="B163" s="161">
        <v>193</v>
      </c>
      <c r="C163" s="161" t="s">
        <v>743</v>
      </c>
      <c r="D163" s="161" t="s">
        <v>91</v>
      </c>
      <c r="E163" s="161">
        <v>117</v>
      </c>
      <c r="F163" s="161">
        <v>7</v>
      </c>
      <c r="G163"/>
      <c r="H163">
        <f t="shared" si="2"/>
        <v>725</v>
      </c>
    </row>
    <row r="164" spans="1:8" x14ac:dyDescent="0.25">
      <c r="A164" s="161">
        <v>163</v>
      </c>
      <c r="B164" s="161">
        <v>160</v>
      </c>
      <c r="C164" s="161" t="s">
        <v>642</v>
      </c>
      <c r="D164" s="161" t="s">
        <v>88</v>
      </c>
      <c r="E164" s="161">
        <v>115.5</v>
      </c>
      <c r="F164" s="161">
        <v>2</v>
      </c>
      <c r="G164"/>
      <c r="H164">
        <f t="shared" si="2"/>
        <v>207</v>
      </c>
    </row>
    <row r="165" spans="1:8" x14ac:dyDescent="0.25">
      <c r="A165" s="161">
        <v>164</v>
      </c>
      <c r="B165" s="161">
        <v>161</v>
      </c>
      <c r="C165" s="161" t="s">
        <v>710</v>
      </c>
      <c r="D165" s="161" t="s">
        <v>91</v>
      </c>
      <c r="E165" s="161">
        <v>115.5</v>
      </c>
      <c r="F165" s="161">
        <v>3</v>
      </c>
      <c r="G165"/>
      <c r="H165">
        <f t="shared" si="2"/>
        <v>693</v>
      </c>
    </row>
    <row r="166" spans="1:8" x14ac:dyDescent="0.25">
      <c r="A166" s="161">
        <v>165</v>
      </c>
      <c r="B166" s="161">
        <v>124</v>
      </c>
      <c r="C166" s="161" t="s">
        <v>604</v>
      </c>
      <c r="D166" s="161" t="s">
        <v>152</v>
      </c>
      <c r="E166" s="161">
        <v>115.3125</v>
      </c>
      <c r="F166" s="161">
        <v>3</v>
      </c>
      <c r="G166"/>
      <c r="H166">
        <f t="shared" si="2"/>
        <v>668</v>
      </c>
    </row>
    <row r="167" spans="1:8" x14ac:dyDescent="0.25">
      <c r="A167" s="161">
        <v>166</v>
      </c>
      <c r="B167" s="161">
        <v>184</v>
      </c>
      <c r="C167" s="161" t="s">
        <v>670</v>
      </c>
      <c r="D167" s="161" t="s">
        <v>88</v>
      </c>
      <c r="E167" s="161">
        <v>115.3</v>
      </c>
      <c r="F167" s="161">
        <v>4</v>
      </c>
      <c r="G167"/>
      <c r="H167">
        <f t="shared" si="2"/>
        <v>455</v>
      </c>
    </row>
    <row r="168" spans="1:8" x14ac:dyDescent="0.25">
      <c r="A168" s="161">
        <v>167</v>
      </c>
      <c r="B168" s="161">
        <v>162</v>
      </c>
      <c r="C168" s="161" t="s">
        <v>567</v>
      </c>
      <c r="D168" s="161" t="s">
        <v>146</v>
      </c>
      <c r="E168" s="161">
        <v>115</v>
      </c>
      <c r="F168" s="161">
        <v>2</v>
      </c>
      <c r="G168"/>
      <c r="H168">
        <f t="shared" si="2"/>
        <v>665</v>
      </c>
    </row>
    <row r="169" spans="1:8" x14ac:dyDescent="0.25">
      <c r="A169" s="161" t="s">
        <v>1486</v>
      </c>
      <c r="B169" s="161" t="s">
        <v>1487</v>
      </c>
      <c r="C169" s="161" t="s">
        <v>792</v>
      </c>
      <c r="D169" s="161" t="s">
        <v>98</v>
      </c>
      <c r="E169" s="161">
        <v>115</v>
      </c>
      <c r="F169" s="161">
        <v>3</v>
      </c>
      <c r="G169"/>
      <c r="H169">
        <f t="shared" si="2"/>
        <v>824</v>
      </c>
    </row>
    <row r="170" spans="1:8" x14ac:dyDescent="0.25">
      <c r="A170" s="161" t="s">
        <v>1486</v>
      </c>
      <c r="B170" s="161">
        <v>232</v>
      </c>
      <c r="C170" s="161" t="s">
        <v>812</v>
      </c>
      <c r="D170" s="161" t="s">
        <v>98</v>
      </c>
      <c r="E170" s="161">
        <v>115</v>
      </c>
      <c r="F170" s="161">
        <v>3</v>
      </c>
      <c r="G170"/>
      <c r="H170">
        <f t="shared" si="2"/>
        <v>506</v>
      </c>
    </row>
    <row r="171" spans="1:8" x14ac:dyDescent="0.25">
      <c r="A171" s="161" t="s">
        <v>1486</v>
      </c>
      <c r="B171" s="161">
        <v>163</v>
      </c>
      <c r="C171" s="161" t="s">
        <v>561</v>
      </c>
      <c r="D171" s="161" t="s">
        <v>146</v>
      </c>
      <c r="E171" s="161">
        <v>115</v>
      </c>
      <c r="F171" s="161">
        <v>3</v>
      </c>
      <c r="G171"/>
      <c r="H171">
        <f t="shared" si="2"/>
        <v>932</v>
      </c>
    </row>
    <row r="172" spans="1:8" x14ac:dyDescent="0.25">
      <c r="A172" s="161">
        <v>171</v>
      </c>
      <c r="B172" s="161">
        <v>179</v>
      </c>
      <c r="C172" s="161" t="s">
        <v>674</v>
      </c>
      <c r="D172" s="161" t="s">
        <v>91</v>
      </c>
      <c r="E172" s="161">
        <v>114.5</v>
      </c>
      <c r="F172" s="161">
        <v>2</v>
      </c>
      <c r="G172"/>
      <c r="H172">
        <f t="shared" si="2"/>
        <v>276</v>
      </c>
    </row>
    <row r="173" spans="1:8" x14ac:dyDescent="0.25">
      <c r="A173" s="161">
        <v>172</v>
      </c>
      <c r="B173" s="161">
        <v>164</v>
      </c>
      <c r="C173" s="161" t="s">
        <v>645</v>
      </c>
      <c r="D173" s="161" t="s">
        <v>150</v>
      </c>
      <c r="E173" s="161">
        <v>111.4</v>
      </c>
      <c r="F173" s="161">
        <v>3</v>
      </c>
      <c r="G173"/>
      <c r="H173">
        <f t="shared" si="2"/>
        <v>939</v>
      </c>
    </row>
    <row r="174" spans="1:8" x14ac:dyDescent="0.25">
      <c r="A174" s="161">
        <v>173</v>
      </c>
      <c r="B174" s="161">
        <v>165</v>
      </c>
      <c r="C174" s="161" t="s">
        <v>647</v>
      </c>
      <c r="D174" s="161" t="s">
        <v>98</v>
      </c>
      <c r="E174" s="161">
        <v>110.25</v>
      </c>
      <c r="F174" s="161">
        <v>3</v>
      </c>
      <c r="G174"/>
      <c r="H174">
        <f t="shared" si="2"/>
        <v>526</v>
      </c>
    </row>
    <row r="175" spans="1:8" x14ac:dyDescent="0.25">
      <c r="A175" s="161">
        <v>174</v>
      </c>
      <c r="B175" s="161">
        <v>166</v>
      </c>
      <c r="C175" s="161" t="s">
        <v>621</v>
      </c>
      <c r="D175" s="161" t="s">
        <v>105</v>
      </c>
      <c r="E175" s="161">
        <v>110</v>
      </c>
      <c r="F175" s="161">
        <v>1</v>
      </c>
      <c r="G175"/>
      <c r="H175">
        <f t="shared" si="2"/>
        <v>975</v>
      </c>
    </row>
    <row r="176" spans="1:8" x14ac:dyDescent="0.25">
      <c r="A176" s="161">
        <v>175</v>
      </c>
      <c r="B176" s="161">
        <v>167</v>
      </c>
      <c r="C176" s="161" t="s">
        <v>655</v>
      </c>
      <c r="D176" s="161" t="s">
        <v>91</v>
      </c>
      <c r="E176" s="161">
        <v>107</v>
      </c>
      <c r="F176" s="161">
        <v>2</v>
      </c>
      <c r="G176"/>
      <c r="H176">
        <f t="shared" si="2"/>
        <v>291</v>
      </c>
    </row>
    <row r="177" spans="1:8" x14ac:dyDescent="0.25">
      <c r="A177" s="161">
        <v>176</v>
      </c>
      <c r="B177" s="161">
        <v>317</v>
      </c>
      <c r="C177" s="161" t="s">
        <v>603</v>
      </c>
      <c r="D177" s="161" t="s">
        <v>88</v>
      </c>
      <c r="E177" s="161">
        <v>106</v>
      </c>
      <c r="F177" s="161">
        <v>3</v>
      </c>
      <c r="G177"/>
      <c r="H177">
        <f t="shared" si="2"/>
        <v>470</v>
      </c>
    </row>
    <row r="178" spans="1:8" x14ac:dyDescent="0.25">
      <c r="A178" s="161">
        <v>177</v>
      </c>
      <c r="B178" s="161">
        <v>168</v>
      </c>
      <c r="C178" s="161" t="s">
        <v>663</v>
      </c>
      <c r="D178" s="161" t="s">
        <v>98</v>
      </c>
      <c r="E178" s="161">
        <v>105.5</v>
      </c>
      <c r="F178" s="161">
        <v>3</v>
      </c>
      <c r="G178"/>
      <c r="H178">
        <f t="shared" si="2"/>
        <v>676</v>
      </c>
    </row>
    <row r="179" spans="1:8" x14ac:dyDescent="0.25">
      <c r="A179" s="161">
        <v>178</v>
      </c>
      <c r="B179" s="161">
        <v>169</v>
      </c>
      <c r="C179" s="161" t="s">
        <v>617</v>
      </c>
      <c r="D179" s="161" t="s">
        <v>91</v>
      </c>
      <c r="E179" s="161">
        <v>105.5</v>
      </c>
      <c r="F179" s="161">
        <v>4</v>
      </c>
      <c r="G179"/>
      <c r="H179">
        <f t="shared" si="2"/>
        <v>883</v>
      </c>
    </row>
    <row r="180" spans="1:8" x14ac:dyDescent="0.25">
      <c r="A180" s="161">
        <v>179</v>
      </c>
      <c r="B180" s="161">
        <v>146</v>
      </c>
      <c r="C180" s="161" t="s">
        <v>565</v>
      </c>
      <c r="D180" s="161" t="s">
        <v>91</v>
      </c>
      <c r="E180" s="161">
        <v>103.25</v>
      </c>
      <c r="F180" s="161">
        <v>3</v>
      </c>
      <c r="G180"/>
      <c r="H180">
        <f t="shared" si="2"/>
        <v>914</v>
      </c>
    </row>
    <row r="181" spans="1:8" x14ac:dyDescent="0.25">
      <c r="A181" s="161">
        <v>180</v>
      </c>
      <c r="B181" s="161">
        <v>170</v>
      </c>
      <c r="C181" s="161" t="s">
        <v>728</v>
      </c>
      <c r="D181" s="161" t="s">
        <v>91</v>
      </c>
      <c r="E181" s="161">
        <v>103</v>
      </c>
      <c r="F181" s="161">
        <v>3</v>
      </c>
      <c r="G181"/>
      <c r="H181">
        <f t="shared" si="2"/>
        <v>278</v>
      </c>
    </row>
    <row r="182" spans="1:8" x14ac:dyDescent="0.25">
      <c r="A182" s="161">
        <v>181</v>
      </c>
      <c r="B182" s="161" t="s">
        <v>1488</v>
      </c>
      <c r="C182" s="161" t="s">
        <v>698</v>
      </c>
      <c r="D182" s="161" t="s">
        <v>88</v>
      </c>
      <c r="E182" s="161">
        <v>101</v>
      </c>
      <c r="F182" s="161">
        <v>3</v>
      </c>
      <c r="G182"/>
      <c r="H182">
        <f t="shared" si="2"/>
        <v>700</v>
      </c>
    </row>
    <row r="183" spans="1:8" x14ac:dyDescent="0.25">
      <c r="A183" s="161" t="s">
        <v>1489</v>
      </c>
      <c r="B183" s="161" t="s">
        <v>1490</v>
      </c>
      <c r="C183" s="161" t="s">
        <v>592</v>
      </c>
      <c r="D183" s="161" t="s">
        <v>91</v>
      </c>
      <c r="E183" s="161">
        <v>100</v>
      </c>
      <c r="F183" s="161">
        <v>1</v>
      </c>
      <c r="G183"/>
      <c r="H183">
        <f t="shared" si="2"/>
        <v>839</v>
      </c>
    </row>
    <row r="184" spans="1:8" x14ac:dyDescent="0.25">
      <c r="A184" s="161" t="s">
        <v>1489</v>
      </c>
      <c r="B184" s="161" t="s">
        <v>1491</v>
      </c>
      <c r="C184" s="161" t="s">
        <v>774</v>
      </c>
      <c r="D184" s="161" t="s">
        <v>147</v>
      </c>
      <c r="E184" s="161">
        <v>100</v>
      </c>
      <c r="F184" s="161">
        <v>1</v>
      </c>
      <c r="G184"/>
      <c r="H184">
        <f t="shared" si="2"/>
        <v>710</v>
      </c>
    </row>
    <row r="185" spans="1:8" x14ac:dyDescent="0.25">
      <c r="A185" s="161" t="s">
        <v>1489</v>
      </c>
      <c r="B185" s="161" t="s">
        <v>1490</v>
      </c>
      <c r="C185" s="161" t="s">
        <v>715</v>
      </c>
      <c r="D185" s="161" t="s">
        <v>91</v>
      </c>
      <c r="E185" s="161">
        <v>100</v>
      </c>
      <c r="F185" s="161">
        <v>1</v>
      </c>
      <c r="G185"/>
      <c r="H185">
        <f t="shared" si="2"/>
        <v>902</v>
      </c>
    </row>
    <row r="186" spans="1:8" x14ac:dyDescent="0.25">
      <c r="A186" s="161">
        <v>185</v>
      </c>
      <c r="B186" s="161">
        <v>173</v>
      </c>
      <c r="C186" s="161" t="s">
        <v>601</v>
      </c>
      <c r="D186" s="161" t="s">
        <v>98</v>
      </c>
      <c r="E186" s="161">
        <v>100</v>
      </c>
      <c r="F186" s="161">
        <v>2</v>
      </c>
      <c r="G186"/>
      <c r="H186">
        <f t="shared" si="2"/>
        <v>867</v>
      </c>
    </row>
    <row r="187" spans="1:8" x14ac:dyDescent="0.25">
      <c r="A187" s="161">
        <v>186</v>
      </c>
      <c r="B187" s="161">
        <v>174</v>
      </c>
      <c r="C187" s="161" t="s">
        <v>669</v>
      </c>
      <c r="D187" s="161" t="s">
        <v>150</v>
      </c>
      <c r="E187" s="161">
        <v>98.9</v>
      </c>
      <c r="F187" s="161">
        <v>2</v>
      </c>
      <c r="G187"/>
      <c r="H187">
        <f t="shared" si="2"/>
        <v>632</v>
      </c>
    </row>
    <row r="188" spans="1:8" x14ac:dyDescent="0.25">
      <c r="A188" s="161">
        <v>187</v>
      </c>
      <c r="B188" s="161">
        <v>176</v>
      </c>
      <c r="C188" s="161" t="s">
        <v>682</v>
      </c>
      <c r="D188" s="161" t="s">
        <v>91</v>
      </c>
      <c r="E188" s="161">
        <v>96.5</v>
      </c>
      <c r="F188" s="161">
        <v>2</v>
      </c>
      <c r="G188"/>
      <c r="H188">
        <f t="shared" si="2"/>
        <v>673</v>
      </c>
    </row>
    <row r="189" spans="1:8" x14ac:dyDescent="0.25">
      <c r="A189" s="161">
        <v>188</v>
      </c>
      <c r="B189" s="161">
        <v>177</v>
      </c>
      <c r="C189" s="161" t="s">
        <v>600</v>
      </c>
      <c r="D189" s="161" t="s">
        <v>88</v>
      </c>
      <c r="E189" s="161">
        <v>93.15</v>
      </c>
      <c r="F189" s="161">
        <v>4</v>
      </c>
      <c r="G189"/>
      <c r="H189">
        <f t="shared" si="2"/>
        <v>439</v>
      </c>
    </row>
    <row r="190" spans="1:8" x14ac:dyDescent="0.25">
      <c r="A190" s="161">
        <v>189</v>
      </c>
      <c r="B190" s="161">
        <v>178</v>
      </c>
      <c r="C190" s="161" t="s">
        <v>811</v>
      </c>
      <c r="D190" s="161" t="s">
        <v>88</v>
      </c>
      <c r="E190" s="161">
        <v>93.05</v>
      </c>
      <c r="F190" s="161">
        <v>12</v>
      </c>
      <c r="G190"/>
      <c r="H190">
        <f t="shared" si="2"/>
        <v>234</v>
      </c>
    </row>
    <row r="191" spans="1:8" x14ac:dyDescent="0.25">
      <c r="A191" s="161">
        <v>190</v>
      </c>
      <c r="B191" s="161">
        <v>180</v>
      </c>
      <c r="C191" s="161" t="s">
        <v>696</v>
      </c>
      <c r="D191" s="161" t="s">
        <v>91</v>
      </c>
      <c r="E191" s="161">
        <v>92.5</v>
      </c>
      <c r="F191" s="161">
        <v>2</v>
      </c>
      <c r="G191"/>
      <c r="H191">
        <f t="shared" si="2"/>
        <v>952</v>
      </c>
    </row>
    <row r="192" spans="1:8" x14ac:dyDescent="0.25">
      <c r="A192" s="161">
        <v>191</v>
      </c>
      <c r="B192" s="161">
        <v>181</v>
      </c>
      <c r="C192" s="161" t="s">
        <v>676</v>
      </c>
      <c r="D192" s="161" t="s">
        <v>88</v>
      </c>
      <c r="E192" s="161">
        <v>92</v>
      </c>
      <c r="F192" s="161">
        <v>1</v>
      </c>
      <c r="G192"/>
      <c r="H192">
        <f t="shared" si="2"/>
        <v>486</v>
      </c>
    </row>
    <row r="193" spans="1:8" x14ac:dyDescent="0.25">
      <c r="A193" s="161">
        <v>192</v>
      </c>
      <c r="B193" s="161">
        <v>182</v>
      </c>
      <c r="C193" s="161" t="s">
        <v>1492</v>
      </c>
      <c r="D193" s="161" t="s">
        <v>98</v>
      </c>
      <c r="E193" s="161">
        <v>91</v>
      </c>
      <c r="F193" s="161">
        <v>1</v>
      </c>
      <c r="G193"/>
      <c r="H193">
        <f t="shared" si="2"/>
        <v>964</v>
      </c>
    </row>
    <row r="194" spans="1:8" x14ac:dyDescent="0.25">
      <c r="A194" s="161">
        <v>193</v>
      </c>
      <c r="B194" s="161" t="s">
        <v>1342</v>
      </c>
      <c r="C194" s="161" t="s">
        <v>627</v>
      </c>
      <c r="D194" s="161" t="s">
        <v>88</v>
      </c>
      <c r="E194" s="161">
        <v>91</v>
      </c>
      <c r="F194" s="161">
        <v>2</v>
      </c>
      <c r="G194"/>
      <c r="H194">
        <f t="shared" ref="H194:H257" si="3">SUMPRODUCT((C$2:C$1090 &lt; C194)+(C194="")*1000)</f>
        <v>445</v>
      </c>
    </row>
    <row r="195" spans="1:8" x14ac:dyDescent="0.25">
      <c r="A195" s="161">
        <v>194</v>
      </c>
      <c r="B195" s="161">
        <v>183</v>
      </c>
      <c r="C195" s="161" t="s">
        <v>586</v>
      </c>
      <c r="D195" s="161" t="s">
        <v>105</v>
      </c>
      <c r="E195" s="161">
        <v>90</v>
      </c>
      <c r="F195" s="161">
        <v>1</v>
      </c>
      <c r="G195"/>
      <c r="H195">
        <f t="shared" si="3"/>
        <v>791</v>
      </c>
    </row>
    <row r="196" spans="1:8" x14ac:dyDescent="0.25">
      <c r="A196" s="161">
        <v>195</v>
      </c>
      <c r="B196" s="161" t="s">
        <v>80</v>
      </c>
      <c r="C196" s="161" t="s">
        <v>1493</v>
      </c>
      <c r="D196" s="161" t="s">
        <v>98</v>
      </c>
      <c r="E196" s="161">
        <v>88</v>
      </c>
      <c r="F196" s="161">
        <v>1</v>
      </c>
      <c r="G196"/>
      <c r="H196">
        <f t="shared" si="3"/>
        <v>458</v>
      </c>
    </row>
    <row r="197" spans="1:8" x14ac:dyDescent="0.25">
      <c r="A197" s="161">
        <v>196</v>
      </c>
      <c r="B197" s="161">
        <v>185</v>
      </c>
      <c r="C197" s="161" t="s">
        <v>680</v>
      </c>
      <c r="D197" s="161" t="s">
        <v>150</v>
      </c>
      <c r="E197" s="161">
        <v>88</v>
      </c>
      <c r="F197" s="161">
        <v>2</v>
      </c>
      <c r="G197"/>
      <c r="H197">
        <f t="shared" si="3"/>
        <v>770</v>
      </c>
    </row>
    <row r="198" spans="1:8" x14ac:dyDescent="0.25">
      <c r="A198" s="161">
        <v>197</v>
      </c>
      <c r="B198" s="161">
        <v>186</v>
      </c>
      <c r="C198" s="161" t="s">
        <v>704</v>
      </c>
      <c r="D198" s="161" t="s">
        <v>112</v>
      </c>
      <c r="E198" s="161">
        <v>86.224999999999994</v>
      </c>
      <c r="F198" s="161">
        <v>6</v>
      </c>
      <c r="G198"/>
      <c r="H198">
        <f t="shared" si="3"/>
        <v>704</v>
      </c>
    </row>
    <row r="199" spans="1:8" x14ac:dyDescent="0.25">
      <c r="A199" s="161">
        <v>198</v>
      </c>
      <c r="B199" s="161">
        <v>187</v>
      </c>
      <c r="C199" s="161" t="s">
        <v>895</v>
      </c>
      <c r="D199" s="161" t="s">
        <v>149</v>
      </c>
      <c r="E199" s="161">
        <v>86</v>
      </c>
      <c r="F199" s="161">
        <v>1</v>
      </c>
      <c r="G199"/>
      <c r="H199">
        <f t="shared" si="3"/>
        <v>478</v>
      </c>
    </row>
    <row r="200" spans="1:8" x14ac:dyDescent="0.25">
      <c r="A200" s="161">
        <v>199</v>
      </c>
      <c r="B200" s="161">
        <v>188</v>
      </c>
      <c r="C200" s="161" t="s">
        <v>685</v>
      </c>
      <c r="D200" s="161" t="s">
        <v>98</v>
      </c>
      <c r="E200" s="161">
        <v>85.25</v>
      </c>
      <c r="F200" s="161">
        <v>1</v>
      </c>
      <c r="G200"/>
      <c r="H200">
        <f t="shared" si="3"/>
        <v>350</v>
      </c>
    </row>
    <row r="201" spans="1:8" x14ac:dyDescent="0.25">
      <c r="A201" s="161">
        <v>200</v>
      </c>
      <c r="B201" s="161">
        <v>268</v>
      </c>
      <c r="C201" s="161" t="s">
        <v>678</v>
      </c>
      <c r="D201" s="161" t="s">
        <v>88</v>
      </c>
      <c r="E201" s="161">
        <v>84</v>
      </c>
      <c r="F201" s="161">
        <v>3</v>
      </c>
      <c r="G201"/>
      <c r="H201">
        <f t="shared" si="3"/>
        <v>835</v>
      </c>
    </row>
    <row r="202" spans="1:8" x14ac:dyDescent="0.25">
      <c r="A202" s="161">
        <v>201</v>
      </c>
      <c r="B202" s="161">
        <v>190</v>
      </c>
      <c r="C202" s="161" t="s">
        <v>749</v>
      </c>
      <c r="D202" s="161" t="s">
        <v>91</v>
      </c>
      <c r="E202" s="161">
        <v>83</v>
      </c>
      <c r="F202" s="161">
        <v>2</v>
      </c>
      <c r="G202"/>
      <c r="H202">
        <f t="shared" si="3"/>
        <v>400</v>
      </c>
    </row>
    <row r="203" spans="1:8" x14ac:dyDescent="0.25">
      <c r="A203" s="161">
        <v>202</v>
      </c>
      <c r="B203" s="161" t="s">
        <v>1487</v>
      </c>
      <c r="C203" s="161" t="s">
        <v>748</v>
      </c>
      <c r="D203" s="161" t="s">
        <v>91</v>
      </c>
      <c r="E203" s="161">
        <v>82.5</v>
      </c>
      <c r="F203" s="161">
        <v>2</v>
      </c>
      <c r="G203"/>
      <c r="H203">
        <f t="shared" si="3"/>
        <v>1020</v>
      </c>
    </row>
    <row r="204" spans="1:8" x14ac:dyDescent="0.25">
      <c r="A204" s="161">
        <v>203</v>
      </c>
      <c r="B204" s="161">
        <v>194</v>
      </c>
      <c r="C204" s="161" t="s">
        <v>688</v>
      </c>
      <c r="D204" s="161" t="s">
        <v>146</v>
      </c>
      <c r="E204" s="161">
        <v>81.25</v>
      </c>
      <c r="F204" s="161">
        <v>1</v>
      </c>
      <c r="G204"/>
      <c r="H204">
        <f t="shared" si="3"/>
        <v>1081</v>
      </c>
    </row>
    <row r="205" spans="1:8" x14ac:dyDescent="0.25">
      <c r="A205" s="161">
        <v>204</v>
      </c>
      <c r="B205" s="161">
        <v>195</v>
      </c>
      <c r="C205" s="161" t="s">
        <v>608</v>
      </c>
      <c r="D205" s="161" t="s">
        <v>146</v>
      </c>
      <c r="E205" s="161">
        <v>81.25</v>
      </c>
      <c r="F205" s="161">
        <v>2</v>
      </c>
      <c r="G205"/>
      <c r="H205">
        <f t="shared" si="3"/>
        <v>748</v>
      </c>
    </row>
    <row r="206" spans="1:8" x14ac:dyDescent="0.25">
      <c r="A206" s="161">
        <v>205</v>
      </c>
      <c r="B206" s="161">
        <v>196</v>
      </c>
      <c r="C206" s="161" t="s">
        <v>721</v>
      </c>
      <c r="D206" s="161" t="s">
        <v>105</v>
      </c>
      <c r="E206" s="161">
        <v>79.5</v>
      </c>
      <c r="F206" s="161">
        <v>1</v>
      </c>
      <c r="G206"/>
      <c r="H206">
        <f t="shared" si="3"/>
        <v>857</v>
      </c>
    </row>
    <row r="207" spans="1:8" x14ac:dyDescent="0.25">
      <c r="A207" s="161">
        <v>206</v>
      </c>
      <c r="B207" s="161">
        <v>197</v>
      </c>
      <c r="C207" s="161" t="s">
        <v>691</v>
      </c>
      <c r="D207" s="161" t="s">
        <v>112</v>
      </c>
      <c r="E207" s="161">
        <v>79.075000000000003</v>
      </c>
      <c r="F207" s="161">
        <v>2</v>
      </c>
      <c r="G207"/>
      <c r="H207">
        <f t="shared" si="3"/>
        <v>827</v>
      </c>
    </row>
    <row r="208" spans="1:8" x14ac:dyDescent="0.25">
      <c r="A208" s="161">
        <v>207</v>
      </c>
      <c r="B208" s="161">
        <v>209</v>
      </c>
      <c r="C208" s="161" t="s">
        <v>702</v>
      </c>
      <c r="D208" s="161" t="s">
        <v>91</v>
      </c>
      <c r="E208" s="161">
        <v>79</v>
      </c>
      <c r="F208" s="161">
        <v>2</v>
      </c>
      <c r="G208"/>
      <c r="H208">
        <f t="shared" si="3"/>
        <v>730</v>
      </c>
    </row>
    <row r="209" spans="1:8" x14ac:dyDescent="0.25">
      <c r="A209" s="161">
        <v>208</v>
      </c>
      <c r="B209" s="161">
        <v>198</v>
      </c>
      <c r="C209" s="161" t="s">
        <v>1338</v>
      </c>
      <c r="D209" s="161" t="s">
        <v>98</v>
      </c>
      <c r="E209" s="161">
        <v>76.5</v>
      </c>
      <c r="F209" s="161">
        <v>1</v>
      </c>
      <c r="G209"/>
      <c r="H209">
        <f t="shared" si="3"/>
        <v>192</v>
      </c>
    </row>
    <row r="210" spans="1:8" x14ac:dyDescent="0.25">
      <c r="A210" s="161">
        <v>209</v>
      </c>
      <c r="B210" s="161">
        <v>199</v>
      </c>
      <c r="C210" s="161" t="s">
        <v>1494</v>
      </c>
      <c r="D210" s="161" t="s">
        <v>98</v>
      </c>
      <c r="E210" s="161">
        <v>76.5</v>
      </c>
      <c r="F210" s="161">
        <v>2</v>
      </c>
      <c r="G210"/>
      <c r="H210">
        <f t="shared" si="3"/>
        <v>963</v>
      </c>
    </row>
    <row r="211" spans="1:8" x14ac:dyDescent="0.25">
      <c r="A211" s="161">
        <v>210</v>
      </c>
      <c r="B211" s="161">
        <v>200</v>
      </c>
      <c r="C211" s="161" t="s">
        <v>730</v>
      </c>
      <c r="D211" s="161" t="s">
        <v>88</v>
      </c>
      <c r="E211" s="161">
        <v>76.245000000000005</v>
      </c>
      <c r="F211" s="161">
        <v>4</v>
      </c>
      <c r="G211"/>
      <c r="H211">
        <f t="shared" si="3"/>
        <v>412</v>
      </c>
    </row>
    <row r="212" spans="1:8" x14ac:dyDescent="0.25">
      <c r="A212" s="161">
        <v>211</v>
      </c>
      <c r="B212" s="161">
        <v>201</v>
      </c>
      <c r="C212" s="161" t="s">
        <v>746</v>
      </c>
      <c r="D212" s="161" t="s">
        <v>144</v>
      </c>
      <c r="E212" s="161">
        <v>76</v>
      </c>
      <c r="F212" s="161">
        <v>1</v>
      </c>
      <c r="G212"/>
      <c r="H212">
        <f t="shared" si="3"/>
        <v>1024</v>
      </c>
    </row>
    <row r="213" spans="1:8" x14ac:dyDescent="0.25">
      <c r="A213" s="161">
        <v>212</v>
      </c>
      <c r="B213" s="161">
        <v>202</v>
      </c>
      <c r="C213" s="161" t="s">
        <v>770</v>
      </c>
      <c r="D213" s="161" t="s">
        <v>91</v>
      </c>
      <c r="E213" s="161">
        <v>75.5</v>
      </c>
      <c r="F213" s="161">
        <v>7</v>
      </c>
      <c r="G213"/>
      <c r="H213">
        <f t="shared" si="3"/>
        <v>987</v>
      </c>
    </row>
    <row r="214" spans="1:8" x14ac:dyDescent="0.25">
      <c r="A214" s="161">
        <v>213</v>
      </c>
      <c r="B214" s="161">
        <v>207</v>
      </c>
      <c r="C214" s="161" t="s">
        <v>643</v>
      </c>
      <c r="D214" s="161" t="s">
        <v>91</v>
      </c>
      <c r="E214" s="161">
        <v>75.25</v>
      </c>
      <c r="F214" s="161">
        <v>1</v>
      </c>
      <c r="G214"/>
      <c r="H214">
        <f t="shared" si="3"/>
        <v>376</v>
      </c>
    </row>
    <row r="215" spans="1:8" x14ac:dyDescent="0.25">
      <c r="A215" s="161">
        <v>214</v>
      </c>
      <c r="B215" s="161" t="s">
        <v>1488</v>
      </c>
      <c r="C215" s="161" t="s">
        <v>832</v>
      </c>
      <c r="D215" s="161" t="s">
        <v>91</v>
      </c>
      <c r="E215" s="161">
        <v>75</v>
      </c>
      <c r="F215" s="161">
        <v>2</v>
      </c>
      <c r="G215"/>
      <c r="H215">
        <f t="shared" si="3"/>
        <v>611</v>
      </c>
    </row>
    <row r="216" spans="1:8" x14ac:dyDescent="0.25">
      <c r="A216" s="161">
        <v>215</v>
      </c>
      <c r="B216" s="161">
        <v>206</v>
      </c>
      <c r="C216" s="161" t="s">
        <v>714</v>
      </c>
      <c r="D216" s="161" t="s">
        <v>149</v>
      </c>
      <c r="E216" s="161">
        <v>74.63</v>
      </c>
      <c r="F216" s="161">
        <v>4</v>
      </c>
      <c r="G216"/>
      <c r="H216">
        <f t="shared" si="3"/>
        <v>910</v>
      </c>
    </row>
    <row r="217" spans="1:8" x14ac:dyDescent="0.25">
      <c r="A217" s="161">
        <v>216</v>
      </c>
      <c r="B217" s="161">
        <v>208</v>
      </c>
      <c r="C217" s="161" t="s">
        <v>700</v>
      </c>
      <c r="D217" s="161" t="s">
        <v>88</v>
      </c>
      <c r="E217" s="161">
        <v>73.5</v>
      </c>
      <c r="F217" s="161">
        <v>1</v>
      </c>
      <c r="G217"/>
      <c r="H217">
        <f t="shared" si="3"/>
        <v>489</v>
      </c>
    </row>
    <row r="218" spans="1:8" x14ac:dyDescent="0.25">
      <c r="A218" s="161">
        <v>217</v>
      </c>
      <c r="B218" s="161">
        <v>210</v>
      </c>
      <c r="C218" s="161" t="s">
        <v>654</v>
      </c>
      <c r="D218" s="161" t="s">
        <v>152</v>
      </c>
      <c r="E218" s="161">
        <v>72.762500000000003</v>
      </c>
      <c r="F218" s="161">
        <v>4</v>
      </c>
      <c r="G218"/>
      <c r="H218">
        <f t="shared" si="3"/>
        <v>670</v>
      </c>
    </row>
    <row r="219" spans="1:8" x14ac:dyDescent="0.25">
      <c r="A219" s="161">
        <v>218</v>
      </c>
      <c r="B219" s="161">
        <v>211</v>
      </c>
      <c r="C219" s="161" t="s">
        <v>652</v>
      </c>
      <c r="D219" s="161" t="s">
        <v>98</v>
      </c>
      <c r="E219" s="161">
        <v>71.5</v>
      </c>
      <c r="F219" s="161">
        <v>4</v>
      </c>
      <c r="G219"/>
      <c r="H219">
        <f t="shared" si="3"/>
        <v>652</v>
      </c>
    </row>
    <row r="220" spans="1:8" x14ac:dyDescent="0.25">
      <c r="A220" s="161">
        <v>219</v>
      </c>
      <c r="B220" s="161">
        <v>212</v>
      </c>
      <c r="C220" s="161" t="s">
        <v>1495</v>
      </c>
      <c r="D220" s="161" t="s">
        <v>98</v>
      </c>
      <c r="E220" s="161">
        <v>70.5</v>
      </c>
      <c r="F220" s="161">
        <v>1</v>
      </c>
      <c r="G220"/>
      <c r="H220">
        <f t="shared" si="3"/>
        <v>868</v>
      </c>
    </row>
    <row r="221" spans="1:8" x14ac:dyDescent="0.25">
      <c r="A221" s="161">
        <v>220</v>
      </c>
      <c r="B221" s="161">
        <v>213</v>
      </c>
      <c r="C221" s="161" t="s">
        <v>641</v>
      </c>
      <c r="D221" s="161" t="s">
        <v>98</v>
      </c>
      <c r="E221" s="161">
        <v>70.25</v>
      </c>
      <c r="F221" s="161">
        <v>2</v>
      </c>
      <c r="G221"/>
      <c r="H221">
        <f t="shared" si="3"/>
        <v>1028</v>
      </c>
    </row>
    <row r="222" spans="1:8" x14ac:dyDescent="0.25">
      <c r="A222" s="161">
        <v>221</v>
      </c>
      <c r="B222" s="161">
        <v>214</v>
      </c>
      <c r="C222" s="161" t="s">
        <v>610</v>
      </c>
      <c r="D222" s="161" t="s">
        <v>112</v>
      </c>
      <c r="E222" s="161">
        <v>69.2</v>
      </c>
      <c r="F222" s="161">
        <v>2</v>
      </c>
      <c r="G222"/>
      <c r="H222">
        <f t="shared" si="3"/>
        <v>560</v>
      </c>
    </row>
    <row r="223" spans="1:8" x14ac:dyDescent="0.25">
      <c r="A223" s="161">
        <v>222</v>
      </c>
      <c r="B223" s="161">
        <v>215</v>
      </c>
      <c r="C223" s="161" t="s">
        <v>585</v>
      </c>
      <c r="D223" s="161" t="s">
        <v>88</v>
      </c>
      <c r="E223" s="161">
        <v>68.67</v>
      </c>
      <c r="F223" s="161">
        <v>2</v>
      </c>
      <c r="G223"/>
      <c r="H223">
        <f t="shared" si="3"/>
        <v>468</v>
      </c>
    </row>
    <row r="224" spans="1:8" x14ac:dyDescent="0.25">
      <c r="A224" s="161" t="s">
        <v>1496</v>
      </c>
      <c r="B224" s="161">
        <v>343</v>
      </c>
      <c r="C224" s="161" t="s">
        <v>681</v>
      </c>
      <c r="D224" s="161" t="s">
        <v>88</v>
      </c>
      <c r="E224" s="161">
        <v>68.5</v>
      </c>
      <c r="F224" s="161">
        <v>2</v>
      </c>
      <c r="G224"/>
      <c r="H224">
        <f t="shared" si="3"/>
        <v>208</v>
      </c>
    </row>
    <row r="225" spans="1:8" x14ac:dyDescent="0.25">
      <c r="A225" s="161" t="s">
        <v>1496</v>
      </c>
      <c r="B225" s="161">
        <v>216</v>
      </c>
      <c r="C225" s="161" t="s">
        <v>732</v>
      </c>
      <c r="D225" s="161" t="s">
        <v>98</v>
      </c>
      <c r="E225" s="161">
        <v>68.5</v>
      </c>
      <c r="F225" s="161">
        <v>2</v>
      </c>
      <c r="G225"/>
      <c r="H225">
        <f t="shared" si="3"/>
        <v>597</v>
      </c>
    </row>
    <row r="226" spans="1:8" x14ac:dyDescent="0.25">
      <c r="A226" s="161" t="s">
        <v>1496</v>
      </c>
      <c r="B226" s="161" t="s">
        <v>1497</v>
      </c>
      <c r="C226" s="161" t="s">
        <v>1227</v>
      </c>
      <c r="D226" s="161" t="s">
        <v>98</v>
      </c>
      <c r="E226" s="161">
        <v>68.5</v>
      </c>
      <c r="F226" s="161">
        <v>2</v>
      </c>
      <c r="G226"/>
      <c r="H226">
        <f t="shared" si="3"/>
        <v>353</v>
      </c>
    </row>
    <row r="227" spans="1:8" x14ac:dyDescent="0.25">
      <c r="A227" s="161">
        <v>226</v>
      </c>
      <c r="B227" s="161">
        <v>217</v>
      </c>
      <c r="C227" s="161" t="s">
        <v>1339</v>
      </c>
      <c r="D227" s="161" t="s">
        <v>91</v>
      </c>
      <c r="E227" s="161">
        <v>67.625</v>
      </c>
      <c r="F227" s="161">
        <v>2</v>
      </c>
      <c r="G227"/>
      <c r="H227">
        <f t="shared" si="3"/>
        <v>589</v>
      </c>
    </row>
    <row r="228" spans="1:8" x14ac:dyDescent="0.25">
      <c r="A228" s="161">
        <v>227</v>
      </c>
      <c r="B228" s="161">
        <v>218</v>
      </c>
      <c r="C228" s="161" t="s">
        <v>753</v>
      </c>
      <c r="D228" s="161" t="s">
        <v>98</v>
      </c>
      <c r="E228" s="161">
        <v>67.474999999999994</v>
      </c>
      <c r="F228" s="161">
        <v>4</v>
      </c>
      <c r="G228"/>
      <c r="H228">
        <f t="shared" si="3"/>
        <v>986</v>
      </c>
    </row>
    <row r="229" spans="1:8" x14ac:dyDescent="0.25">
      <c r="A229" s="161">
        <v>228</v>
      </c>
      <c r="B229" s="161">
        <v>219</v>
      </c>
      <c r="C229" s="161" t="s">
        <v>671</v>
      </c>
      <c r="D229" s="161" t="s">
        <v>88</v>
      </c>
      <c r="E229" s="161">
        <v>67</v>
      </c>
      <c r="F229" s="161">
        <v>1</v>
      </c>
      <c r="G229"/>
      <c r="H229">
        <f t="shared" si="3"/>
        <v>181</v>
      </c>
    </row>
    <row r="230" spans="1:8" x14ac:dyDescent="0.25">
      <c r="A230" s="161">
        <v>229</v>
      </c>
      <c r="B230" s="161">
        <v>220</v>
      </c>
      <c r="C230" s="161" t="s">
        <v>656</v>
      </c>
      <c r="D230" s="161" t="s">
        <v>149</v>
      </c>
      <c r="E230" s="161">
        <v>66.5</v>
      </c>
      <c r="F230" s="161">
        <v>2</v>
      </c>
      <c r="G230"/>
      <c r="H230">
        <f t="shared" si="3"/>
        <v>488</v>
      </c>
    </row>
    <row r="231" spans="1:8" x14ac:dyDescent="0.25">
      <c r="A231" s="161">
        <v>230</v>
      </c>
      <c r="B231" s="161">
        <v>221</v>
      </c>
      <c r="C231" s="161" t="s">
        <v>789</v>
      </c>
      <c r="D231" s="161" t="s">
        <v>276</v>
      </c>
      <c r="E231" s="161">
        <v>66.25</v>
      </c>
      <c r="F231" s="161">
        <v>2</v>
      </c>
      <c r="G231"/>
      <c r="H231">
        <f t="shared" si="3"/>
        <v>809</v>
      </c>
    </row>
    <row r="232" spans="1:8" x14ac:dyDescent="0.25">
      <c r="A232" s="161">
        <v>231</v>
      </c>
      <c r="B232" s="161" t="s">
        <v>1498</v>
      </c>
      <c r="C232" s="161" t="s">
        <v>834</v>
      </c>
      <c r="D232" s="161" t="s">
        <v>91</v>
      </c>
      <c r="E232" s="161">
        <v>65</v>
      </c>
      <c r="F232" s="161">
        <v>3</v>
      </c>
      <c r="G232"/>
      <c r="H232">
        <f t="shared" si="3"/>
        <v>898</v>
      </c>
    </row>
    <row r="233" spans="1:8" x14ac:dyDescent="0.25">
      <c r="A233" s="161" t="s">
        <v>1499</v>
      </c>
      <c r="B233" s="161" t="s">
        <v>1340</v>
      </c>
      <c r="C233" s="161" t="s">
        <v>711</v>
      </c>
      <c r="D233" s="161" t="s">
        <v>148</v>
      </c>
      <c r="E233" s="161">
        <v>64</v>
      </c>
      <c r="F233" s="161">
        <v>1</v>
      </c>
      <c r="G233"/>
      <c r="H233">
        <f t="shared" si="3"/>
        <v>496</v>
      </c>
    </row>
    <row r="234" spans="1:8" x14ac:dyDescent="0.25">
      <c r="A234" s="161" t="s">
        <v>1499</v>
      </c>
      <c r="B234" s="161" t="s">
        <v>1340</v>
      </c>
      <c r="C234" s="161" t="s">
        <v>1287</v>
      </c>
      <c r="D234" s="161" t="s">
        <v>91</v>
      </c>
      <c r="E234" s="161">
        <v>64</v>
      </c>
      <c r="F234" s="161">
        <v>1</v>
      </c>
      <c r="G234"/>
      <c r="H234">
        <f t="shared" si="3"/>
        <v>284</v>
      </c>
    </row>
    <row r="235" spans="1:8" x14ac:dyDescent="0.25">
      <c r="A235" s="161">
        <v>234</v>
      </c>
      <c r="B235" s="161">
        <v>226</v>
      </c>
      <c r="C235" s="161" t="s">
        <v>1071</v>
      </c>
      <c r="D235" s="161" t="s">
        <v>91</v>
      </c>
      <c r="E235" s="161">
        <v>64</v>
      </c>
      <c r="F235" s="161">
        <v>2</v>
      </c>
      <c r="G235"/>
      <c r="H235">
        <f t="shared" si="3"/>
        <v>283</v>
      </c>
    </row>
    <row r="236" spans="1:8" x14ac:dyDescent="0.25">
      <c r="A236" s="161" t="s">
        <v>1500</v>
      </c>
      <c r="B236" s="161" t="s">
        <v>1501</v>
      </c>
      <c r="C236" s="161" t="s">
        <v>631</v>
      </c>
      <c r="D236" s="161" t="s">
        <v>146</v>
      </c>
      <c r="E236" s="161">
        <v>63.5</v>
      </c>
      <c r="F236" s="161">
        <v>1</v>
      </c>
      <c r="G236"/>
      <c r="H236">
        <f t="shared" si="3"/>
        <v>1048</v>
      </c>
    </row>
    <row r="237" spans="1:8" x14ac:dyDescent="0.25">
      <c r="A237" s="161" t="s">
        <v>1500</v>
      </c>
      <c r="B237" s="161" t="s">
        <v>1501</v>
      </c>
      <c r="C237" s="161" t="s">
        <v>615</v>
      </c>
      <c r="D237" s="161" t="s">
        <v>146</v>
      </c>
      <c r="E237" s="161">
        <v>63.5</v>
      </c>
      <c r="F237" s="161">
        <v>1</v>
      </c>
      <c r="G237"/>
      <c r="H237">
        <f t="shared" si="3"/>
        <v>1075</v>
      </c>
    </row>
    <row r="238" spans="1:8" x14ac:dyDescent="0.25">
      <c r="A238" s="161">
        <v>237</v>
      </c>
      <c r="B238" s="161">
        <v>230</v>
      </c>
      <c r="C238" s="161" t="s">
        <v>809</v>
      </c>
      <c r="D238" s="161" t="s">
        <v>91</v>
      </c>
      <c r="E238" s="161">
        <v>60</v>
      </c>
      <c r="F238" s="161">
        <v>3</v>
      </c>
      <c r="G238"/>
      <c r="H238">
        <f t="shared" si="3"/>
        <v>934</v>
      </c>
    </row>
    <row r="239" spans="1:8" x14ac:dyDescent="0.25">
      <c r="A239" s="161" t="s">
        <v>1502</v>
      </c>
      <c r="B239" s="161" t="s">
        <v>1503</v>
      </c>
      <c r="C239" s="161" t="s">
        <v>1504</v>
      </c>
      <c r="D239" s="161" t="s">
        <v>152</v>
      </c>
      <c r="E239" s="161">
        <v>58</v>
      </c>
      <c r="F239" s="161">
        <v>1</v>
      </c>
      <c r="G239"/>
      <c r="H239">
        <f t="shared" si="3"/>
        <v>755</v>
      </c>
    </row>
    <row r="240" spans="1:8" x14ac:dyDescent="0.25">
      <c r="A240" s="161" t="s">
        <v>1502</v>
      </c>
      <c r="B240" s="161" t="s">
        <v>1503</v>
      </c>
      <c r="C240" s="161" t="s">
        <v>590</v>
      </c>
      <c r="D240" s="161" t="s">
        <v>91</v>
      </c>
      <c r="E240" s="161">
        <v>58</v>
      </c>
      <c r="F240" s="161">
        <v>1</v>
      </c>
      <c r="G240"/>
      <c r="H240">
        <f t="shared" si="3"/>
        <v>798</v>
      </c>
    </row>
    <row r="241" spans="1:8" x14ac:dyDescent="0.25">
      <c r="A241" s="161">
        <v>240</v>
      </c>
      <c r="B241" s="161">
        <v>235</v>
      </c>
      <c r="C241" s="161" t="s">
        <v>1328</v>
      </c>
      <c r="D241" s="161" t="s">
        <v>88</v>
      </c>
      <c r="E241" s="161">
        <v>57.75</v>
      </c>
      <c r="F241" s="161">
        <v>1</v>
      </c>
      <c r="G241"/>
      <c r="H241">
        <f t="shared" si="3"/>
        <v>213</v>
      </c>
    </row>
    <row r="242" spans="1:8" x14ac:dyDescent="0.25">
      <c r="A242" s="161" t="s">
        <v>1365</v>
      </c>
      <c r="B242" s="161" t="s">
        <v>1505</v>
      </c>
      <c r="C242" s="161" t="s">
        <v>822</v>
      </c>
      <c r="D242" s="161" t="s">
        <v>91</v>
      </c>
      <c r="E242" s="161">
        <v>56.5</v>
      </c>
      <c r="F242" s="161">
        <v>2</v>
      </c>
      <c r="G242"/>
      <c r="H242">
        <f t="shared" si="3"/>
        <v>309</v>
      </c>
    </row>
    <row r="243" spans="1:8" x14ac:dyDescent="0.25">
      <c r="A243" s="161" t="s">
        <v>1365</v>
      </c>
      <c r="B243" s="161" t="s">
        <v>1505</v>
      </c>
      <c r="C243" s="161" t="s">
        <v>720</v>
      </c>
      <c r="D243" s="161" t="s">
        <v>91</v>
      </c>
      <c r="E243" s="161">
        <v>56.5</v>
      </c>
      <c r="F243" s="161">
        <v>2</v>
      </c>
      <c r="G243"/>
      <c r="H243">
        <f t="shared" si="3"/>
        <v>525</v>
      </c>
    </row>
    <row r="244" spans="1:8" x14ac:dyDescent="0.25">
      <c r="A244" s="161">
        <v>243</v>
      </c>
      <c r="B244" s="161">
        <v>238</v>
      </c>
      <c r="C244" s="161" t="s">
        <v>1506</v>
      </c>
      <c r="D244" s="161" t="s">
        <v>98</v>
      </c>
      <c r="E244" s="161">
        <v>56</v>
      </c>
      <c r="F244" s="161">
        <v>1</v>
      </c>
      <c r="G244"/>
      <c r="H244">
        <f t="shared" si="3"/>
        <v>908</v>
      </c>
    </row>
    <row r="245" spans="1:8" x14ac:dyDescent="0.25">
      <c r="A245" s="161">
        <v>244</v>
      </c>
      <c r="B245" s="161">
        <v>239</v>
      </c>
      <c r="C245" s="161" t="s">
        <v>775</v>
      </c>
      <c r="D245" s="161" t="s">
        <v>91</v>
      </c>
      <c r="E245" s="161">
        <v>55.5</v>
      </c>
      <c r="F245" s="161">
        <v>4</v>
      </c>
      <c r="G245"/>
      <c r="H245">
        <f t="shared" si="3"/>
        <v>1026</v>
      </c>
    </row>
    <row r="246" spans="1:8" x14ac:dyDescent="0.25">
      <c r="A246" s="161">
        <v>245</v>
      </c>
      <c r="B246" s="161">
        <v>240</v>
      </c>
      <c r="C246" s="161" t="s">
        <v>614</v>
      </c>
      <c r="D246" s="161" t="s">
        <v>88</v>
      </c>
      <c r="E246" s="161">
        <v>55.25</v>
      </c>
      <c r="F246" s="161">
        <v>1</v>
      </c>
      <c r="G246"/>
      <c r="H246">
        <f t="shared" si="3"/>
        <v>325</v>
      </c>
    </row>
    <row r="247" spans="1:8" x14ac:dyDescent="0.25">
      <c r="A247" s="161" t="s">
        <v>1507</v>
      </c>
      <c r="B247" s="161" t="s">
        <v>1365</v>
      </c>
      <c r="C247" s="161" t="s">
        <v>1508</v>
      </c>
      <c r="D247" s="161" t="s">
        <v>98</v>
      </c>
      <c r="E247" s="161">
        <v>55</v>
      </c>
      <c r="F247" s="161">
        <v>1</v>
      </c>
      <c r="G247"/>
      <c r="H247">
        <f t="shared" si="3"/>
        <v>907</v>
      </c>
    </row>
    <row r="248" spans="1:8" x14ac:dyDescent="0.25">
      <c r="A248" s="161" t="s">
        <v>1507</v>
      </c>
      <c r="B248" s="161" t="s">
        <v>1365</v>
      </c>
      <c r="C248" s="161" t="s">
        <v>722</v>
      </c>
      <c r="D248" s="161" t="s">
        <v>150</v>
      </c>
      <c r="E248" s="161">
        <v>55</v>
      </c>
      <c r="F248" s="161">
        <v>1</v>
      </c>
      <c r="G248"/>
      <c r="H248">
        <f t="shared" si="3"/>
        <v>631</v>
      </c>
    </row>
    <row r="249" spans="1:8" x14ac:dyDescent="0.25">
      <c r="A249" s="161">
        <v>248</v>
      </c>
      <c r="B249" s="161">
        <v>243</v>
      </c>
      <c r="C249" s="161" t="s">
        <v>611</v>
      </c>
      <c r="D249" s="161" t="s">
        <v>98</v>
      </c>
      <c r="E249" s="161">
        <v>54.5</v>
      </c>
      <c r="F249" s="161">
        <v>5</v>
      </c>
      <c r="G249"/>
      <c r="H249">
        <f t="shared" si="3"/>
        <v>684</v>
      </c>
    </row>
    <row r="250" spans="1:8" x14ac:dyDescent="0.25">
      <c r="A250" s="161">
        <v>249</v>
      </c>
      <c r="B250" s="161">
        <v>244</v>
      </c>
      <c r="C250" s="161" t="s">
        <v>624</v>
      </c>
      <c r="D250" s="161" t="s">
        <v>98</v>
      </c>
      <c r="E250" s="161">
        <v>53.75</v>
      </c>
      <c r="F250" s="161">
        <v>4</v>
      </c>
      <c r="G250"/>
      <c r="H250">
        <f t="shared" si="3"/>
        <v>633</v>
      </c>
    </row>
    <row r="251" spans="1:8" x14ac:dyDescent="0.25">
      <c r="A251" s="161">
        <v>250</v>
      </c>
      <c r="B251" s="161">
        <v>245</v>
      </c>
      <c r="C251" s="161" t="s">
        <v>677</v>
      </c>
      <c r="D251" s="161" t="s">
        <v>98</v>
      </c>
      <c r="E251" s="161">
        <v>52.5</v>
      </c>
      <c r="F251" s="161">
        <v>5</v>
      </c>
      <c r="G251"/>
      <c r="H251">
        <f t="shared" si="3"/>
        <v>808</v>
      </c>
    </row>
    <row r="252" spans="1:8" x14ac:dyDescent="0.25">
      <c r="A252" s="161" t="s">
        <v>725</v>
      </c>
      <c r="B252" s="161" t="s">
        <v>1507</v>
      </c>
      <c r="C252" s="161" t="s">
        <v>620</v>
      </c>
      <c r="D252" s="161" t="s">
        <v>105</v>
      </c>
      <c r="E252" s="161">
        <v>52</v>
      </c>
      <c r="F252" s="161">
        <v>1</v>
      </c>
      <c r="G252"/>
      <c r="H252">
        <f t="shared" si="3"/>
        <v>554</v>
      </c>
    </row>
    <row r="253" spans="1:8" x14ac:dyDescent="0.25">
      <c r="A253" s="161" t="s">
        <v>725</v>
      </c>
      <c r="B253" s="161" t="s">
        <v>1507</v>
      </c>
      <c r="C253" s="161" t="s">
        <v>726</v>
      </c>
      <c r="D253" s="161" t="s">
        <v>146</v>
      </c>
      <c r="E253" s="161">
        <v>52</v>
      </c>
      <c r="F253" s="161">
        <v>1</v>
      </c>
      <c r="G253"/>
      <c r="H253">
        <f t="shared" si="3"/>
        <v>517</v>
      </c>
    </row>
    <row r="254" spans="1:8" x14ac:dyDescent="0.25">
      <c r="A254" s="161" t="s">
        <v>725</v>
      </c>
      <c r="B254" s="161" t="s">
        <v>1507</v>
      </c>
      <c r="C254" s="161" t="s">
        <v>727</v>
      </c>
      <c r="D254" s="161" t="s">
        <v>146</v>
      </c>
      <c r="E254" s="161">
        <v>52</v>
      </c>
      <c r="F254" s="161">
        <v>1</v>
      </c>
      <c r="G254"/>
      <c r="H254">
        <f t="shared" si="3"/>
        <v>522</v>
      </c>
    </row>
    <row r="255" spans="1:8" x14ac:dyDescent="0.25">
      <c r="A255" s="161">
        <v>254</v>
      </c>
      <c r="B255" s="161" t="s">
        <v>1498</v>
      </c>
      <c r="C255" s="161" t="s">
        <v>729</v>
      </c>
      <c r="D255" s="161" t="s">
        <v>146</v>
      </c>
      <c r="E255" s="161">
        <v>52</v>
      </c>
      <c r="F255" s="161">
        <v>2</v>
      </c>
      <c r="G255"/>
      <c r="H255">
        <f t="shared" si="3"/>
        <v>1004</v>
      </c>
    </row>
    <row r="256" spans="1:8" x14ac:dyDescent="0.25">
      <c r="A256" s="161">
        <v>255</v>
      </c>
      <c r="B256" s="161">
        <v>251</v>
      </c>
      <c r="C256" s="161" t="s">
        <v>699</v>
      </c>
      <c r="D256" s="161" t="s">
        <v>91</v>
      </c>
      <c r="E256" s="161">
        <v>52</v>
      </c>
      <c r="F256" s="161">
        <v>3</v>
      </c>
      <c r="G256"/>
      <c r="H256">
        <f t="shared" si="3"/>
        <v>998</v>
      </c>
    </row>
    <row r="257" spans="1:8" x14ac:dyDescent="0.25">
      <c r="A257" s="161">
        <v>256</v>
      </c>
      <c r="B257" s="161">
        <v>252</v>
      </c>
      <c r="C257" s="161" t="s">
        <v>1200</v>
      </c>
      <c r="D257" s="161" t="s">
        <v>88</v>
      </c>
      <c r="E257" s="161">
        <v>49.75</v>
      </c>
      <c r="F257" s="161">
        <v>1</v>
      </c>
      <c r="G257"/>
      <c r="H257">
        <f t="shared" si="3"/>
        <v>384</v>
      </c>
    </row>
    <row r="258" spans="1:8" x14ac:dyDescent="0.25">
      <c r="A258" s="161">
        <v>257</v>
      </c>
      <c r="B258" s="161" t="s">
        <v>1342</v>
      </c>
      <c r="C258" s="161" t="s">
        <v>735</v>
      </c>
      <c r="D258" s="161" t="s">
        <v>148</v>
      </c>
      <c r="E258" s="161">
        <v>49</v>
      </c>
      <c r="F258" s="161">
        <v>1</v>
      </c>
      <c r="G258"/>
      <c r="H258">
        <f t="shared" ref="H258:H321" si="4">SUMPRODUCT((C$2:C$1090 &lt; C258)+(C258="")*1000)</f>
        <v>861</v>
      </c>
    </row>
    <row r="259" spans="1:8" x14ac:dyDescent="0.25">
      <c r="A259" s="161" t="s">
        <v>733</v>
      </c>
      <c r="B259" s="161" t="s">
        <v>1509</v>
      </c>
      <c r="C259" s="161" t="s">
        <v>1341</v>
      </c>
      <c r="D259" s="161" t="s">
        <v>91</v>
      </c>
      <c r="E259" s="161">
        <v>48</v>
      </c>
      <c r="F259" s="161">
        <v>1</v>
      </c>
      <c r="G259"/>
      <c r="H259">
        <f t="shared" si="4"/>
        <v>399</v>
      </c>
    </row>
    <row r="260" spans="1:8" x14ac:dyDescent="0.25">
      <c r="A260" s="161" t="s">
        <v>733</v>
      </c>
      <c r="B260" s="161" t="s">
        <v>1509</v>
      </c>
      <c r="C260" s="161" t="s">
        <v>1265</v>
      </c>
      <c r="D260" s="161" t="s">
        <v>91</v>
      </c>
      <c r="E260" s="161">
        <v>48</v>
      </c>
      <c r="F260" s="161">
        <v>1</v>
      </c>
      <c r="G260"/>
      <c r="H260">
        <f t="shared" si="4"/>
        <v>593</v>
      </c>
    </row>
    <row r="261" spans="1:8" x14ac:dyDescent="0.25">
      <c r="A261" s="161" t="s">
        <v>1510</v>
      </c>
      <c r="B261" s="161">
        <v>257</v>
      </c>
      <c r="C261" s="161" t="s">
        <v>737</v>
      </c>
      <c r="D261" s="161" t="s">
        <v>88</v>
      </c>
      <c r="E261" s="161">
        <v>47.5</v>
      </c>
      <c r="F261" s="161">
        <v>1</v>
      </c>
      <c r="G261"/>
      <c r="H261">
        <f t="shared" si="4"/>
        <v>825</v>
      </c>
    </row>
    <row r="262" spans="1:8" x14ac:dyDescent="0.25">
      <c r="A262" s="161" t="s">
        <v>1510</v>
      </c>
      <c r="B262" s="161">
        <v>258</v>
      </c>
      <c r="C262" s="161" t="s">
        <v>683</v>
      </c>
      <c r="D262" s="161" t="s">
        <v>91</v>
      </c>
      <c r="E262" s="161">
        <v>47.5</v>
      </c>
      <c r="F262" s="161">
        <v>1</v>
      </c>
      <c r="G262"/>
      <c r="H262">
        <f t="shared" si="4"/>
        <v>359</v>
      </c>
    </row>
    <row r="263" spans="1:8" x14ac:dyDescent="0.25">
      <c r="A263" s="161">
        <v>262</v>
      </c>
      <c r="B263" s="161" t="s">
        <v>1511</v>
      </c>
      <c r="C263" s="161" t="s">
        <v>707</v>
      </c>
      <c r="D263" s="161" t="s">
        <v>88</v>
      </c>
      <c r="E263" s="161">
        <v>47</v>
      </c>
      <c r="F263" s="161">
        <v>1</v>
      </c>
      <c r="G263"/>
      <c r="H263">
        <f t="shared" si="4"/>
        <v>361</v>
      </c>
    </row>
    <row r="264" spans="1:8" x14ac:dyDescent="0.25">
      <c r="A264" s="161">
        <v>263</v>
      </c>
      <c r="B264" s="161">
        <v>259</v>
      </c>
      <c r="C264" s="161" t="s">
        <v>597</v>
      </c>
      <c r="D264" s="161" t="s">
        <v>98</v>
      </c>
      <c r="E264" s="161">
        <v>46.25</v>
      </c>
      <c r="F264" s="161">
        <v>2</v>
      </c>
      <c r="G264"/>
      <c r="H264">
        <f t="shared" si="4"/>
        <v>297</v>
      </c>
    </row>
    <row r="265" spans="1:8" x14ac:dyDescent="0.25">
      <c r="A265" s="161">
        <v>264</v>
      </c>
      <c r="B265" s="161">
        <v>260</v>
      </c>
      <c r="C265" s="161" t="s">
        <v>813</v>
      </c>
      <c r="D265" s="161" t="s">
        <v>91</v>
      </c>
      <c r="E265" s="161">
        <v>46.25</v>
      </c>
      <c r="F265" s="161">
        <v>3</v>
      </c>
      <c r="G265"/>
      <c r="H265">
        <f t="shared" si="4"/>
        <v>580</v>
      </c>
    </row>
    <row r="266" spans="1:8" x14ac:dyDescent="0.25">
      <c r="A266" s="161" t="s">
        <v>1512</v>
      </c>
      <c r="B266" s="161" t="s">
        <v>1513</v>
      </c>
      <c r="C266" s="161" t="s">
        <v>653</v>
      </c>
      <c r="D266" s="161" t="s">
        <v>105</v>
      </c>
      <c r="E266" s="161">
        <v>45.5</v>
      </c>
      <c r="F266" s="161">
        <v>1</v>
      </c>
      <c r="G266"/>
      <c r="H266">
        <f t="shared" si="4"/>
        <v>1042</v>
      </c>
    </row>
    <row r="267" spans="1:8" x14ac:dyDescent="0.25">
      <c r="A267" s="161" t="s">
        <v>1512</v>
      </c>
      <c r="B267" s="161" t="s">
        <v>1513</v>
      </c>
      <c r="C267" s="161" t="s">
        <v>739</v>
      </c>
      <c r="D267" s="161" t="s">
        <v>146</v>
      </c>
      <c r="E267" s="161">
        <v>45.5</v>
      </c>
      <c r="F267" s="161">
        <v>1</v>
      </c>
      <c r="G267"/>
      <c r="H267">
        <f t="shared" si="4"/>
        <v>810</v>
      </c>
    </row>
    <row r="268" spans="1:8" x14ac:dyDescent="0.25">
      <c r="A268" s="161" t="s">
        <v>1512</v>
      </c>
      <c r="B268" s="161" t="s">
        <v>1513</v>
      </c>
      <c r="C268" s="161" t="s">
        <v>740</v>
      </c>
      <c r="D268" s="161" t="s">
        <v>146</v>
      </c>
      <c r="E268" s="161">
        <v>45.5</v>
      </c>
      <c r="F268" s="161">
        <v>1</v>
      </c>
      <c r="G268"/>
      <c r="H268">
        <f t="shared" si="4"/>
        <v>1049</v>
      </c>
    </row>
    <row r="269" spans="1:8" x14ac:dyDescent="0.25">
      <c r="A269" s="161">
        <v>268</v>
      </c>
      <c r="B269" s="161">
        <v>264</v>
      </c>
      <c r="C269" s="161" t="s">
        <v>741</v>
      </c>
      <c r="D269" s="161" t="s">
        <v>91</v>
      </c>
      <c r="E269" s="161">
        <v>45</v>
      </c>
      <c r="F269" s="161">
        <v>1</v>
      </c>
      <c r="G269"/>
      <c r="H269">
        <f t="shared" si="4"/>
        <v>377</v>
      </c>
    </row>
    <row r="270" spans="1:8" x14ac:dyDescent="0.25">
      <c r="A270" s="161">
        <v>269</v>
      </c>
      <c r="B270" s="161">
        <v>265</v>
      </c>
      <c r="C270" s="161" t="s">
        <v>747</v>
      </c>
      <c r="D270" s="161" t="s">
        <v>91</v>
      </c>
      <c r="E270" s="161">
        <v>43.5</v>
      </c>
      <c r="F270" s="161">
        <v>2</v>
      </c>
      <c r="G270"/>
      <c r="H270">
        <f t="shared" si="4"/>
        <v>375</v>
      </c>
    </row>
    <row r="271" spans="1:8" x14ac:dyDescent="0.25">
      <c r="A271" s="161">
        <v>270</v>
      </c>
      <c r="B271" s="161">
        <v>266</v>
      </c>
      <c r="C271" s="161" t="s">
        <v>1514</v>
      </c>
      <c r="D271" s="161" t="s">
        <v>98</v>
      </c>
      <c r="E271" s="161">
        <v>43</v>
      </c>
      <c r="F271" s="161">
        <v>1</v>
      </c>
      <c r="G271"/>
      <c r="H271">
        <f t="shared" si="4"/>
        <v>849</v>
      </c>
    </row>
    <row r="272" spans="1:8" x14ac:dyDescent="0.25">
      <c r="A272" s="161">
        <v>271</v>
      </c>
      <c r="B272" s="161">
        <v>267</v>
      </c>
      <c r="C272" s="161" t="s">
        <v>1343</v>
      </c>
      <c r="D272" s="161" t="s">
        <v>1344</v>
      </c>
      <c r="E272" s="161">
        <v>42.5</v>
      </c>
      <c r="F272" s="161">
        <v>1</v>
      </c>
      <c r="G272"/>
      <c r="H272">
        <f t="shared" si="4"/>
        <v>596</v>
      </c>
    </row>
    <row r="273" spans="1:8" x14ac:dyDescent="0.25">
      <c r="A273" s="161">
        <v>272</v>
      </c>
      <c r="B273" s="161">
        <v>269</v>
      </c>
      <c r="C273" s="161" t="s">
        <v>754</v>
      </c>
      <c r="D273" s="161" t="s">
        <v>88</v>
      </c>
      <c r="E273" s="161">
        <v>41.75</v>
      </c>
      <c r="F273" s="161">
        <v>1</v>
      </c>
      <c r="G273"/>
      <c r="H273">
        <f t="shared" si="4"/>
        <v>762</v>
      </c>
    </row>
    <row r="274" spans="1:8" x14ac:dyDescent="0.25">
      <c r="A274" s="161">
        <v>273</v>
      </c>
      <c r="B274" s="161">
        <v>270</v>
      </c>
      <c r="C274" s="161" t="s">
        <v>755</v>
      </c>
      <c r="D274" s="161" t="s">
        <v>150</v>
      </c>
      <c r="E274" s="161">
        <v>41.4</v>
      </c>
      <c r="F274" s="161">
        <v>1</v>
      </c>
      <c r="G274"/>
      <c r="H274">
        <f t="shared" si="4"/>
        <v>587</v>
      </c>
    </row>
    <row r="275" spans="1:8" x14ac:dyDescent="0.25">
      <c r="A275" s="161">
        <v>274</v>
      </c>
      <c r="B275" s="161">
        <v>271</v>
      </c>
      <c r="C275" s="161" t="s">
        <v>742</v>
      </c>
      <c r="D275" s="161" t="s">
        <v>112</v>
      </c>
      <c r="E275" s="161">
        <v>41.262500000000003</v>
      </c>
      <c r="F275" s="161">
        <v>2</v>
      </c>
      <c r="G275"/>
      <c r="H275">
        <f t="shared" si="4"/>
        <v>548</v>
      </c>
    </row>
    <row r="276" spans="1:8" x14ac:dyDescent="0.25">
      <c r="A276" s="161">
        <v>275</v>
      </c>
      <c r="B276" s="161">
        <v>272</v>
      </c>
      <c r="C276" s="161" t="s">
        <v>759</v>
      </c>
      <c r="D276" s="161" t="s">
        <v>91</v>
      </c>
      <c r="E276" s="161">
        <v>40.5</v>
      </c>
      <c r="F276" s="161">
        <v>1</v>
      </c>
      <c r="G276"/>
      <c r="H276">
        <f t="shared" si="4"/>
        <v>841</v>
      </c>
    </row>
    <row r="277" spans="1:8" x14ac:dyDescent="0.25">
      <c r="A277" s="161" t="s">
        <v>1515</v>
      </c>
      <c r="B277" s="161" t="s">
        <v>745</v>
      </c>
      <c r="C277" s="161" t="s">
        <v>764</v>
      </c>
      <c r="D277" s="161" t="s">
        <v>88</v>
      </c>
      <c r="E277" s="161">
        <v>40.15</v>
      </c>
      <c r="F277" s="161">
        <v>1</v>
      </c>
      <c r="G277"/>
      <c r="H277">
        <f t="shared" si="4"/>
        <v>220</v>
      </c>
    </row>
    <row r="278" spans="1:8" x14ac:dyDescent="0.25">
      <c r="A278" s="161" t="s">
        <v>1515</v>
      </c>
      <c r="B278" s="161" t="s">
        <v>745</v>
      </c>
      <c r="C278" s="161" t="s">
        <v>765</v>
      </c>
      <c r="D278" s="161" t="s">
        <v>88</v>
      </c>
      <c r="E278" s="161">
        <v>40.15</v>
      </c>
      <c r="F278" s="161">
        <v>1</v>
      </c>
      <c r="G278"/>
      <c r="H278">
        <f t="shared" si="4"/>
        <v>358</v>
      </c>
    </row>
    <row r="279" spans="1:8" x14ac:dyDescent="0.25">
      <c r="A279" s="161" t="s">
        <v>1516</v>
      </c>
      <c r="B279" s="161" t="s">
        <v>1517</v>
      </c>
      <c r="C279" s="161" t="s">
        <v>1345</v>
      </c>
      <c r="D279" s="161" t="s">
        <v>98</v>
      </c>
      <c r="E279" s="161">
        <v>40</v>
      </c>
      <c r="F279" s="161">
        <v>1</v>
      </c>
      <c r="G279"/>
      <c r="H279">
        <f t="shared" si="4"/>
        <v>221</v>
      </c>
    </row>
    <row r="280" spans="1:8" x14ac:dyDescent="0.25">
      <c r="A280" s="161" t="s">
        <v>1516</v>
      </c>
      <c r="B280" s="161" t="s">
        <v>1517</v>
      </c>
      <c r="C280" s="161" t="s">
        <v>1346</v>
      </c>
      <c r="D280" s="161" t="s">
        <v>91</v>
      </c>
      <c r="E280" s="161">
        <v>40</v>
      </c>
      <c r="F280" s="161">
        <v>1</v>
      </c>
      <c r="G280"/>
      <c r="H280">
        <f t="shared" si="4"/>
        <v>678</v>
      </c>
    </row>
    <row r="281" spans="1:8" x14ac:dyDescent="0.25">
      <c r="A281" s="161" t="s">
        <v>1516</v>
      </c>
      <c r="B281" s="161" t="s">
        <v>1517</v>
      </c>
      <c r="C281" s="161" t="s">
        <v>1329</v>
      </c>
      <c r="D281" s="161" t="s">
        <v>91</v>
      </c>
      <c r="E281" s="161">
        <v>40</v>
      </c>
      <c r="F281" s="161">
        <v>1</v>
      </c>
      <c r="G281"/>
      <c r="H281">
        <f t="shared" si="4"/>
        <v>196</v>
      </c>
    </row>
    <row r="282" spans="1:8" x14ac:dyDescent="0.25">
      <c r="A282" s="161" t="s">
        <v>1516</v>
      </c>
      <c r="B282" s="161" t="s">
        <v>1517</v>
      </c>
      <c r="C282" s="161" t="s">
        <v>786</v>
      </c>
      <c r="D282" s="161" t="s">
        <v>91</v>
      </c>
      <c r="E282" s="161">
        <v>40</v>
      </c>
      <c r="F282" s="161">
        <v>1</v>
      </c>
      <c r="G282"/>
      <c r="H282">
        <f t="shared" si="4"/>
        <v>480</v>
      </c>
    </row>
    <row r="283" spans="1:8" x14ac:dyDescent="0.25">
      <c r="A283" s="161" t="s">
        <v>1516</v>
      </c>
      <c r="B283" s="161" t="s">
        <v>1517</v>
      </c>
      <c r="C283" s="161" t="s">
        <v>692</v>
      </c>
      <c r="D283" s="161" t="s">
        <v>146</v>
      </c>
      <c r="E283" s="161">
        <v>40</v>
      </c>
      <c r="F283" s="161">
        <v>1</v>
      </c>
      <c r="G283"/>
      <c r="H283">
        <f t="shared" si="4"/>
        <v>338</v>
      </c>
    </row>
    <row r="284" spans="1:8" x14ac:dyDescent="0.25">
      <c r="A284" s="161" t="s">
        <v>1516</v>
      </c>
      <c r="B284" s="161" t="s">
        <v>1517</v>
      </c>
      <c r="C284" s="161" t="s">
        <v>675</v>
      </c>
      <c r="D284" s="161" t="s">
        <v>146</v>
      </c>
      <c r="E284" s="161">
        <v>40</v>
      </c>
      <c r="F284" s="161">
        <v>1</v>
      </c>
      <c r="G284"/>
      <c r="H284">
        <f t="shared" si="4"/>
        <v>1002</v>
      </c>
    </row>
    <row r="285" spans="1:8" x14ac:dyDescent="0.25">
      <c r="A285" s="161" t="s">
        <v>1516</v>
      </c>
      <c r="B285" s="161" t="s">
        <v>1517</v>
      </c>
      <c r="C285" s="161" t="s">
        <v>766</v>
      </c>
      <c r="D285" s="161" t="s">
        <v>91</v>
      </c>
      <c r="E285" s="161">
        <v>40</v>
      </c>
      <c r="F285" s="161">
        <v>1</v>
      </c>
      <c r="G285"/>
      <c r="H285">
        <f t="shared" si="4"/>
        <v>567</v>
      </c>
    </row>
    <row r="286" spans="1:8" x14ac:dyDescent="0.25">
      <c r="A286" s="161" t="s">
        <v>1516</v>
      </c>
      <c r="B286" s="161" t="s">
        <v>1517</v>
      </c>
      <c r="C286" s="161" t="s">
        <v>1347</v>
      </c>
      <c r="D286" s="161" t="s">
        <v>91</v>
      </c>
      <c r="E286" s="161">
        <v>40</v>
      </c>
      <c r="F286" s="161">
        <v>1</v>
      </c>
      <c r="G286"/>
      <c r="H286">
        <f t="shared" si="4"/>
        <v>256</v>
      </c>
    </row>
    <row r="287" spans="1:8" x14ac:dyDescent="0.25">
      <c r="A287" s="161" t="s">
        <v>763</v>
      </c>
      <c r="B287" s="161" t="s">
        <v>1518</v>
      </c>
      <c r="C287" s="161" t="s">
        <v>767</v>
      </c>
      <c r="D287" s="161" t="s">
        <v>146</v>
      </c>
      <c r="E287" s="161">
        <v>39</v>
      </c>
      <c r="F287" s="161">
        <v>1</v>
      </c>
      <c r="G287"/>
      <c r="H287">
        <f t="shared" si="4"/>
        <v>1082</v>
      </c>
    </row>
    <row r="288" spans="1:8" x14ac:dyDescent="0.25">
      <c r="A288" s="161" t="s">
        <v>763</v>
      </c>
      <c r="B288" s="161" t="s">
        <v>1518</v>
      </c>
      <c r="C288" s="161" t="s">
        <v>1330</v>
      </c>
      <c r="D288" s="161" t="s">
        <v>141</v>
      </c>
      <c r="E288" s="161">
        <v>39</v>
      </c>
      <c r="F288" s="161">
        <v>1</v>
      </c>
      <c r="G288"/>
      <c r="H288">
        <f t="shared" si="4"/>
        <v>414</v>
      </c>
    </row>
    <row r="289" spans="1:8" x14ac:dyDescent="0.25">
      <c r="A289" s="161" t="s">
        <v>763</v>
      </c>
      <c r="B289" s="161" t="s">
        <v>1518</v>
      </c>
      <c r="C289" s="161" t="s">
        <v>1201</v>
      </c>
      <c r="D289" s="161" t="s">
        <v>88</v>
      </c>
      <c r="E289" s="161">
        <v>39</v>
      </c>
      <c r="F289" s="161">
        <v>1</v>
      </c>
      <c r="G289"/>
      <c r="H289">
        <f t="shared" si="4"/>
        <v>723</v>
      </c>
    </row>
    <row r="290" spans="1:8" x14ac:dyDescent="0.25">
      <c r="A290" s="161" t="s">
        <v>763</v>
      </c>
      <c r="B290" s="161" t="s">
        <v>1518</v>
      </c>
      <c r="C290" s="161" t="s">
        <v>769</v>
      </c>
      <c r="D290" s="161" t="s">
        <v>146</v>
      </c>
      <c r="E290" s="161">
        <v>39</v>
      </c>
      <c r="F290" s="161">
        <v>1</v>
      </c>
      <c r="G290"/>
      <c r="H290">
        <f t="shared" si="4"/>
        <v>654</v>
      </c>
    </row>
    <row r="291" spans="1:8" x14ac:dyDescent="0.25">
      <c r="A291" s="161">
        <v>290</v>
      </c>
      <c r="B291" s="161">
        <v>287</v>
      </c>
      <c r="C291" s="161" t="s">
        <v>1336</v>
      </c>
      <c r="D291" s="161" t="s">
        <v>91</v>
      </c>
      <c r="E291" s="161">
        <v>38.5</v>
      </c>
      <c r="F291" s="161">
        <v>2</v>
      </c>
      <c r="G291"/>
      <c r="H291">
        <f t="shared" si="4"/>
        <v>648</v>
      </c>
    </row>
    <row r="292" spans="1:8" x14ac:dyDescent="0.25">
      <c r="A292" s="161">
        <v>291</v>
      </c>
      <c r="B292" s="161">
        <v>203</v>
      </c>
      <c r="C292" s="161" t="s">
        <v>569</v>
      </c>
      <c r="D292" s="161" t="s">
        <v>88</v>
      </c>
      <c r="E292" s="161">
        <v>38.4</v>
      </c>
      <c r="F292" s="161">
        <v>1</v>
      </c>
      <c r="G292"/>
      <c r="H292">
        <f t="shared" si="4"/>
        <v>763</v>
      </c>
    </row>
    <row r="293" spans="1:8" x14ac:dyDescent="0.25">
      <c r="A293" s="161" t="s">
        <v>1352</v>
      </c>
      <c r="B293" s="161" t="s">
        <v>1349</v>
      </c>
      <c r="C293" s="161" t="s">
        <v>1348</v>
      </c>
      <c r="D293" s="161" t="s">
        <v>98</v>
      </c>
      <c r="E293" s="161">
        <v>38</v>
      </c>
      <c r="F293" s="161">
        <v>1</v>
      </c>
      <c r="G293"/>
      <c r="H293">
        <f t="shared" si="4"/>
        <v>271</v>
      </c>
    </row>
    <row r="294" spans="1:8" x14ac:dyDescent="0.25">
      <c r="A294" s="161" t="s">
        <v>1352</v>
      </c>
      <c r="B294" s="161" t="s">
        <v>1349</v>
      </c>
      <c r="C294" s="161" t="s">
        <v>637</v>
      </c>
      <c r="D294" s="161" t="s">
        <v>98</v>
      </c>
      <c r="E294" s="161">
        <v>38</v>
      </c>
      <c r="F294" s="161">
        <v>1</v>
      </c>
      <c r="G294"/>
      <c r="H294">
        <f t="shared" si="4"/>
        <v>816</v>
      </c>
    </row>
    <row r="295" spans="1:8" x14ac:dyDescent="0.25">
      <c r="A295" s="161">
        <v>294</v>
      </c>
      <c r="B295" s="161" t="s">
        <v>80</v>
      </c>
      <c r="C295" s="161" t="s">
        <v>1519</v>
      </c>
      <c r="D295" s="161" t="s">
        <v>91</v>
      </c>
      <c r="E295" s="161">
        <v>37.75</v>
      </c>
      <c r="F295" s="161">
        <v>1</v>
      </c>
      <c r="G295"/>
      <c r="H295">
        <f t="shared" si="4"/>
        <v>588</v>
      </c>
    </row>
    <row r="296" spans="1:8" x14ac:dyDescent="0.25">
      <c r="A296" s="161" t="s">
        <v>1520</v>
      </c>
      <c r="B296" s="161" t="s">
        <v>1350</v>
      </c>
      <c r="C296" s="161" t="s">
        <v>772</v>
      </c>
      <c r="D296" s="161" t="s">
        <v>148</v>
      </c>
      <c r="E296" s="161">
        <v>37</v>
      </c>
      <c r="F296" s="161">
        <v>1</v>
      </c>
      <c r="G296"/>
      <c r="H296">
        <f t="shared" si="4"/>
        <v>534</v>
      </c>
    </row>
    <row r="297" spans="1:8" x14ac:dyDescent="0.25">
      <c r="A297" s="161" t="s">
        <v>1520</v>
      </c>
      <c r="B297" s="161" t="s">
        <v>1350</v>
      </c>
      <c r="C297" s="161" t="s">
        <v>773</v>
      </c>
      <c r="D297" s="161" t="s">
        <v>110</v>
      </c>
      <c r="E297" s="161">
        <v>37</v>
      </c>
      <c r="F297" s="161">
        <v>1</v>
      </c>
      <c r="G297"/>
      <c r="H297">
        <f t="shared" si="4"/>
        <v>1054</v>
      </c>
    </row>
    <row r="298" spans="1:8" x14ac:dyDescent="0.25">
      <c r="A298" s="161">
        <v>297</v>
      </c>
      <c r="B298" s="161">
        <v>292</v>
      </c>
      <c r="C298" s="161" t="s">
        <v>861</v>
      </c>
      <c r="D298" s="161" t="s">
        <v>98</v>
      </c>
      <c r="E298" s="161">
        <v>36.9</v>
      </c>
      <c r="F298" s="161">
        <v>3</v>
      </c>
      <c r="G298"/>
      <c r="H298">
        <f t="shared" si="4"/>
        <v>971</v>
      </c>
    </row>
    <row r="299" spans="1:8" x14ac:dyDescent="0.25">
      <c r="A299" s="161">
        <v>298</v>
      </c>
      <c r="B299" s="161">
        <v>295</v>
      </c>
      <c r="C299" s="161" t="s">
        <v>787</v>
      </c>
      <c r="D299" s="161" t="s">
        <v>91</v>
      </c>
      <c r="E299" s="161">
        <v>36.5</v>
      </c>
      <c r="F299" s="161">
        <v>2</v>
      </c>
      <c r="G299"/>
      <c r="H299">
        <f t="shared" si="4"/>
        <v>774</v>
      </c>
    </row>
    <row r="300" spans="1:8" x14ac:dyDescent="0.25">
      <c r="A300" s="161" t="s">
        <v>1351</v>
      </c>
      <c r="B300" s="161" t="s">
        <v>1497</v>
      </c>
      <c r="C300" s="161" t="s">
        <v>776</v>
      </c>
      <c r="D300" s="161" t="s">
        <v>91</v>
      </c>
      <c r="E300" s="161">
        <v>36</v>
      </c>
      <c r="F300" s="161">
        <v>1</v>
      </c>
      <c r="G300"/>
      <c r="H300">
        <f t="shared" si="4"/>
        <v>304</v>
      </c>
    </row>
    <row r="301" spans="1:8" x14ac:dyDescent="0.25">
      <c r="A301" s="161" t="s">
        <v>1351</v>
      </c>
      <c r="B301" s="161" t="s">
        <v>1497</v>
      </c>
      <c r="C301" s="161" t="s">
        <v>1331</v>
      </c>
      <c r="D301" s="161" t="s">
        <v>88</v>
      </c>
      <c r="E301" s="161">
        <v>36</v>
      </c>
      <c r="F301" s="161">
        <v>1</v>
      </c>
      <c r="G301"/>
      <c r="H301">
        <f t="shared" si="4"/>
        <v>453</v>
      </c>
    </row>
    <row r="302" spans="1:8" x14ac:dyDescent="0.25">
      <c r="A302" s="161" t="s">
        <v>1351</v>
      </c>
      <c r="B302" s="161" t="s">
        <v>1497</v>
      </c>
      <c r="C302" s="161" t="s">
        <v>1332</v>
      </c>
      <c r="D302" s="161" t="s">
        <v>88</v>
      </c>
      <c r="E302" s="161">
        <v>36</v>
      </c>
      <c r="F302" s="161">
        <v>1</v>
      </c>
      <c r="G302"/>
      <c r="H302">
        <f t="shared" si="4"/>
        <v>454</v>
      </c>
    </row>
    <row r="303" spans="1:8" x14ac:dyDescent="0.25">
      <c r="A303" s="161" t="s">
        <v>1351</v>
      </c>
      <c r="B303" s="161" t="s">
        <v>80</v>
      </c>
      <c r="C303" s="161" t="s">
        <v>1521</v>
      </c>
      <c r="D303" s="161" t="s">
        <v>143</v>
      </c>
      <c r="E303" s="161">
        <v>36</v>
      </c>
      <c r="F303" s="161">
        <v>1</v>
      </c>
      <c r="G303"/>
      <c r="H303">
        <f t="shared" si="4"/>
        <v>492</v>
      </c>
    </row>
    <row r="304" spans="1:8" x14ac:dyDescent="0.25">
      <c r="A304" s="161" t="s">
        <v>1351</v>
      </c>
      <c r="B304" s="161" t="s">
        <v>1511</v>
      </c>
      <c r="C304" s="161" t="s">
        <v>1014</v>
      </c>
      <c r="D304" s="161" t="s">
        <v>88</v>
      </c>
      <c r="E304" s="161">
        <v>36</v>
      </c>
      <c r="F304" s="161">
        <v>1</v>
      </c>
      <c r="G304"/>
      <c r="H304">
        <f t="shared" si="4"/>
        <v>881</v>
      </c>
    </row>
    <row r="305" spans="1:8" x14ac:dyDescent="0.25">
      <c r="A305" s="161" t="s">
        <v>1351</v>
      </c>
      <c r="B305" s="161" t="s">
        <v>1497</v>
      </c>
      <c r="C305" s="161" t="s">
        <v>1046</v>
      </c>
      <c r="D305" s="161" t="s">
        <v>91</v>
      </c>
      <c r="E305" s="161">
        <v>36</v>
      </c>
      <c r="F305" s="161">
        <v>1</v>
      </c>
      <c r="G305"/>
      <c r="H305">
        <f t="shared" si="4"/>
        <v>927</v>
      </c>
    </row>
    <row r="306" spans="1:8" x14ac:dyDescent="0.25">
      <c r="A306" s="161" t="s">
        <v>1351</v>
      </c>
      <c r="B306" s="161" t="s">
        <v>1497</v>
      </c>
      <c r="C306" s="161" t="s">
        <v>777</v>
      </c>
      <c r="D306" s="161" t="s">
        <v>91</v>
      </c>
      <c r="E306" s="161">
        <v>36</v>
      </c>
      <c r="F306" s="161">
        <v>1</v>
      </c>
      <c r="G306"/>
      <c r="H306">
        <f t="shared" si="4"/>
        <v>427</v>
      </c>
    </row>
    <row r="307" spans="1:8" x14ac:dyDescent="0.25">
      <c r="A307" s="161" t="s">
        <v>1351</v>
      </c>
      <c r="B307" s="161" t="s">
        <v>1497</v>
      </c>
      <c r="C307" s="161" t="s">
        <v>1353</v>
      </c>
      <c r="D307" s="161" t="s">
        <v>91</v>
      </c>
      <c r="E307" s="161">
        <v>36</v>
      </c>
      <c r="F307" s="161">
        <v>1</v>
      </c>
      <c r="G307"/>
      <c r="H307">
        <f t="shared" si="4"/>
        <v>163</v>
      </c>
    </row>
    <row r="308" spans="1:8" x14ac:dyDescent="0.25">
      <c r="A308" s="161">
        <v>307</v>
      </c>
      <c r="B308" s="161">
        <v>303</v>
      </c>
      <c r="C308" s="161" t="s">
        <v>703</v>
      </c>
      <c r="D308" s="161" t="s">
        <v>91</v>
      </c>
      <c r="E308" s="161">
        <v>36</v>
      </c>
      <c r="F308" s="161">
        <v>3</v>
      </c>
      <c r="G308"/>
      <c r="H308">
        <f t="shared" si="4"/>
        <v>741</v>
      </c>
    </row>
    <row r="309" spans="1:8" x14ac:dyDescent="0.25">
      <c r="A309" s="161" t="s">
        <v>1522</v>
      </c>
      <c r="B309" s="161" t="s">
        <v>1523</v>
      </c>
      <c r="C309" s="161" t="s">
        <v>785</v>
      </c>
      <c r="D309" s="161" t="s">
        <v>98</v>
      </c>
      <c r="E309" s="161">
        <v>35</v>
      </c>
      <c r="F309" s="161">
        <v>1</v>
      </c>
      <c r="G309"/>
      <c r="H309">
        <f t="shared" si="4"/>
        <v>572</v>
      </c>
    </row>
    <row r="310" spans="1:8" x14ac:dyDescent="0.25">
      <c r="A310" s="161" t="s">
        <v>1522</v>
      </c>
      <c r="B310" s="161" t="s">
        <v>1523</v>
      </c>
      <c r="C310" s="161" t="s">
        <v>788</v>
      </c>
      <c r="D310" s="161" t="s">
        <v>91</v>
      </c>
      <c r="E310" s="161">
        <v>35</v>
      </c>
      <c r="F310" s="161">
        <v>1</v>
      </c>
      <c r="G310"/>
      <c r="H310">
        <f t="shared" si="4"/>
        <v>590</v>
      </c>
    </row>
    <row r="311" spans="1:8" x14ac:dyDescent="0.25">
      <c r="A311" s="161" t="s">
        <v>1522</v>
      </c>
      <c r="B311" s="161" t="s">
        <v>1523</v>
      </c>
      <c r="C311" s="161" t="s">
        <v>1354</v>
      </c>
      <c r="D311" s="161" t="s">
        <v>91</v>
      </c>
      <c r="E311" s="161">
        <v>35</v>
      </c>
      <c r="F311" s="161">
        <v>1</v>
      </c>
      <c r="G311"/>
      <c r="H311">
        <f t="shared" si="4"/>
        <v>656</v>
      </c>
    </row>
    <row r="312" spans="1:8" x14ac:dyDescent="0.25">
      <c r="A312" s="161">
        <v>311</v>
      </c>
      <c r="B312" s="161">
        <v>307</v>
      </c>
      <c r="C312" s="161" t="s">
        <v>632</v>
      </c>
      <c r="D312" s="161" t="s">
        <v>146</v>
      </c>
      <c r="E312" s="161">
        <v>35</v>
      </c>
      <c r="F312" s="161">
        <v>2</v>
      </c>
      <c r="G312"/>
      <c r="H312">
        <f t="shared" si="4"/>
        <v>773</v>
      </c>
    </row>
    <row r="313" spans="1:8" x14ac:dyDescent="0.25">
      <c r="A313" s="161">
        <v>312</v>
      </c>
      <c r="B313" s="161">
        <v>308</v>
      </c>
      <c r="C313" s="161" t="s">
        <v>815</v>
      </c>
      <c r="D313" s="161" t="s">
        <v>91</v>
      </c>
      <c r="E313" s="161">
        <v>34.75</v>
      </c>
      <c r="F313" s="161">
        <v>3</v>
      </c>
      <c r="G313"/>
      <c r="H313">
        <f t="shared" si="4"/>
        <v>729</v>
      </c>
    </row>
    <row r="314" spans="1:8" x14ac:dyDescent="0.25">
      <c r="A314" s="161">
        <v>313</v>
      </c>
      <c r="B314" s="161">
        <v>309</v>
      </c>
      <c r="C314" s="161" t="s">
        <v>791</v>
      </c>
      <c r="D314" s="161" t="s">
        <v>98</v>
      </c>
      <c r="E314" s="161">
        <v>33.5</v>
      </c>
      <c r="F314" s="161">
        <v>1</v>
      </c>
      <c r="G314"/>
      <c r="H314">
        <f t="shared" si="4"/>
        <v>223</v>
      </c>
    </row>
    <row r="315" spans="1:8" x14ac:dyDescent="0.25">
      <c r="A315" s="161">
        <v>314</v>
      </c>
      <c r="B315" s="161">
        <v>310</v>
      </c>
      <c r="C315" s="161" t="s">
        <v>1321</v>
      </c>
      <c r="D315" s="161" t="s">
        <v>91</v>
      </c>
      <c r="E315" s="161">
        <v>33</v>
      </c>
      <c r="F315" s="161">
        <v>3</v>
      </c>
      <c r="G315"/>
      <c r="H315">
        <f t="shared" si="4"/>
        <v>264</v>
      </c>
    </row>
    <row r="316" spans="1:8" x14ac:dyDescent="0.25">
      <c r="A316" s="161" t="s">
        <v>1355</v>
      </c>
      <c r="B316" s="161" t="s">
        <v>1524</v>
      </c>
      <c r="C316" s="161" t="s">
        <v>795</v>
      </c>
      <c r="D316" s="161" t="s">
        <v>98</v>
      </c>
      <c r="E316" s="161">
        <v>32.5</v>
      </c>
      <c r="F316" s="161">
        <v>1</v>
      </c>
      <c r="G316"/>
      <c r="H316">
        <f t="shared" si="4"/>
        <v>1001</v>
      </c>
    </row>
    <row r="317" spans="1:8" x14ac:dyDescent="0.25">
      <c r="A317" s="161" t="s">
        <v>1355</v>
      </c>
      <c r="B317" s="161" t="s">
        <v>1524</v>
      </c>
      <c r="C317" s="161" t="s">
        <v>797</v>
      </c>
      <c r="D317" s="161" t="s">
        <v>274</v>
      </c>
      <c r="E317" s="161">
        <v>32.5</v>
      </c>
      <c r="F317" s="161">
        <v>1</v>
      </c>
      <c r="G317"/>
      <c r="H317">
        <f t="shared" si="4"/>
        <v>638</v>
      </c>
    </row>
    <row r="318" spans="1:8" x14ac:dyDescent="0.25">
      <c r="A318" s="161" t="s">
        <v>1355</v>
      </c>
      <c r="B318" s="161" t="s">
        <v>1524</v>
      </c>
      <c r="C318" s="161" t="s">
        <v>1525</v>
      </c>
      <c r="D318" s="161" t="s">
        <v>98</v>
      </c>
      <c r="E318" s="161">
        <v>32.5</v>
      </c>
      <c r="F318" s="161">
        <v>1</v>
      </c>
      <c r="G318"/>
      <c r="H318">
        <f t="shared" si="4"/>
        <v>699</v>
      </c>
    </row>
    <row r="319" spans="1:8" x14ac:dyDescent="0.25">
      <c r="A319" s="161" t="s">
        <v>1355</v>
      </c>
      <c r="B319" s="161" t="s">
        <v>1524</v>
      </c>
      <c r="C319" s="161" t="s">
        <v>1356</v>
      </c>
      <c r="D319" s="161" t="s">
        <v>143</v>
      </c>
      <c r="E319" s="161">
        <v>32.5</v>
      </c>
      <c r="F319" s="161">
        <v>1</v>
      </c>
      <c r="G319"/>
      <c r="H319">
        <f t="shared" si="4"/>
        <v>969</v>
      </c>
    </row>
    <row r="320" spans="1:8" x14ac:dyDescent="0.25">
      <c r="A320" s="161">
        <v>319</v>
      </c>
      <c r="B320" s="161">
        <v>315</v>
      </c>
      <c r="C320" s="161" t="s">
        <v>798</v>
      </c>
      <c r="D320" s="161" t="s">
        <v>105</v>
      </c>
      <c r="E320" s="161">
        <v>32.5</v>
      </c>
      <c r="F320" s="161">
        <v>2</v>
      </c>
      <c r="G320"/>
      <c r="H320">
        <f t="shared" si="4"/>
        <v>623</v>
      </c>
    </row>
    <row r="321" spans="1:8" x14ac:dyDescent="0.25">
      <c r="A321" s="161">
        <v>320</v>
      </c>
      <c r="B321" s="161">
        <v>316</v>
      </c>
      <c r="C321" s="161" t="s">
        <v>1357</v>
      </c>
      <c r="D321" s="161" t="s">
        <v>91</v>
      </c>
      <c r="E321" s="161">
        <v>32</v>
      </c>
      <c r="F321" s="161">
        <v>1</v>
      </c>
      <c r="G321"/>
      <c r="H321">
        <f t="shared" si="4"/>
        <v>542</v>
      </c>
    </row>
    <row r="322" spans="1:8" x14ac:dyDescent="0.25">
      <c r="A322" s="161">
        <v>321</v>
      </c>
      <c r="B322" s="161">
        <v>318</v>
      </c>
      <c r="C322" s="161" t="s">
        <v>1526</v>
      </c>
      <c r="D322" s="161" t="s">
        <v>98</v>
      </c>
      <c r="E322" s="161">
        <v>30.8</v>
      </c>
      <c r="F322" s="161">
        <v>2</v>
      </c>
      <c r="G322"/>
      <c r="H322">
        <f t="shared" ref="H322:H385" si="5">SUMPRODUCT((C$2:C$1090 &lt; C322)+(C322="")*1000)</f>
        <v>408</v>
      </c>
    </row>
    <row r="323" spans="1:8" x14ac:dyDescent="0.25">
      <c r="A323" s="161" t="s">
        <v>1527</v>
      </c>
      <c r="B323" s="161" t="s">
        <v>1528</v>
      </c>
      <c r="C323" s="161" t="s">
        <v>1358</v>
      </c>
      <c r="D323" s="161" t="s">
        <v>98</v>
      </c>
      <c r="E323" s="161">
        <v>30.5</v>
      </c>
      <c r="F323" s="161">
        <v>1</v>
      </c>
      <c r="G323"/>
      <c r="H323">
        <f t="shared" si="5"/>
        <v>974</v>
      </c>
    </row>
    <row r="324" spans="1:8" x14ac:dyDescent="0.25">
      <c r="A324" s="161" t="s">
        <v>1527</v>
      </c>
      <c r="B324" s="161" t="s">
        <v>1528</v>
      </c>
      <c r="C324" s="161" t="s">
        <v>1359</v>
      </c>
      <c r="D324" s="161" t="s">
        <v>98</v>
      </c>
      <c r="E324" s="161">
        <v>30.5</v>
      </c>
      <c r="F324" s="161">
        <v>1</v>
      </c>
      <c r="G324"/>
      <c r="H324">
        <f t="shared" si="5"/>
        <v>1009</v>
      </c>
    </row>
    <row r="325" spans="1:8" x14ac:dyDescent="0.25">
      <c r="A325" s="161">
        <v>324</v>
      </c>
      <c r="B325" s="161">
        <v>321</v>
      </c>
      <c r="C325" s="161" t="s">
        <v>800</v>
      </c>
      <c r="D325" s="161" t="s">
        <v>96</v>
      </c>
      <c r="E325" s="161">
        <v>30.1</v>
      </c>
      <c r="F325" s="161">
        <v>1</v>
      </c>
      <c r="G325"/>
      <c r="H325">
        <f t="shared" si="5"/>
        <v>482</v>
      </c>
    </row>
    <row r="326" spans="1:8" x14ac:dyDescent="0.25">
      <c r="A326" s="161" t="s">
        <v>1333</v>
      </c>
      <c r="B326" s="161">
        <v>123</v>
      </c>
      <c r="C326" s="161" t="s">
        <v>584</v>
      </c>
      <c r="D326" s="161" t="s">
        <v>98</v>
      </c>
      <c r="E326" s="161">
        <v>30</v>
      </c>
      <c r="F326" s="161">
        <v>1</v>
      </c>
      <c r="G326"/>
      <c r="H326">
        <f t="shared" si="5"/>
        <v>1025</v>
      </c>
    </row>
    <row r="327" spans="1:8" x14ac:dyDescent="0.25">
      <c r="A327" s="161" t="s">
        <v>1333</v>
      </c>
      <c r="B327" s="161" t="s">
        <v>1527</v>
      </c>
      <c r="C327" s="161" t="s">
        <v>802</v>
      </c>
      <c r="D327" s="161" t="s">
        <v>91</v>
      </c>
      <c r="E327" s="161">
        <v>30</v>
      </c>
      <c r="F327" s="161">
        <v>1</v>
      </c>
      <c r="G327"/>
      <c r="H327">
        <f t="shared" si="5"/>
        <v>279</v>
      </c>
    </row>
    <row r="328" spans="1:8" x14ac:dyDescent="0.25">
      <c r="A328" s="161" t="s">
        <v>1333</v>
      </c>
      <c r="B328" s="161" t="s">
        <v>1527</v>
      </c>
      <c r="C328" s="161" t="s">
        <v>803</v>
      </c>
      <c r="D328" s="161" t="s">
        <v>146</v>
      </c>
      <c r="E328" s="161">
        <v>30</v>
      </c>
      <c r="F328" s="161">
        <v>1</v>
      </c>
      <c r="G328"/>
      <c r="H328">
        <f t="shared" si="5"/>
        <v>1074</v>
      </c>
    </row>
    <row r="329" spans="1:8" x14ac:dyDescent="0.25">
      <c r="A329" s="161" t="s">
        <v>1333</v>
      </c>
      <c r="B329" s="161" t="s">
        <v>1527</v>
      </c>
      <c r="C329" s="161" t="s">
        <v>804</v>
      </c>
      <c r="D329" s="161" t="s">
        <v>146</v>
      </c>
      <c r="E329" s="161">
        <v>30</v>
      </c>
      <c r="F329" s="161">
        <v>1</v>
      </c>
      <c r="G329"/>
      <c r="H329">
        <f t="shared" si="5"/>
        <v>749</v>
      </c>
    </row>
    <row r="330" spans="1:8" x14ac:dyDescent="0.25">
      <c r="A330" s="161">
        <v>329</v>
      </c>
      <c r="B330" s="161">
        <v>325</v>
      </c>
      <c r="C330" s="161" t="s">
        <v>690</v>
      </c>
      <c r="D330" s="161" t="s">
        <v>98</v>
      </c>
      <c r="E330" s="161">
        <v>29</v>
      </c>
      <c r="F330" s="161">
        <v>1</v>
      </c>
      <c r="G330"/>
      <c r="H330">
        <f t="shared" si="5"/>
        <v>865</v>
      </c>
    </row>
    <row r="331" spans="1:8" x14ac:dyDescent="0.25">
      <c r="A331" s="161">
        <v>330</v>
      </c>
      <c r="B331" s="161">
        <v>326</v>
      </c>
      <c r="C331" s="161" t="s">
        <v>808</v>
      </c>
      <c r="D331" s="161" t="s">
        <v>112</v>
      </c>
      <c r="E331" s="161">
        <v>28.287500000000001</v>
      </c>
      <c r="F331" s="161">
        <v>2</v>
      </c>
      <c r="G331"/>
      <c r="H331">
        <f t="shared" si="5"/>
        <v>856</v>
      </c>
    </row>
    <row r="332" spans="1:8" x14ac:dyDescent="0.25">
      <c r="A332" s="161">
        <v>331</v>
      </c>
      <c r="B332" s="161">
        <v>327</v>
      </c>
      <c r="C332" s="161" t="s">
        <v>1360</v>
      </c>
      <c r="D332" s="161" t="s">
        <v>98</v>
      </c>
      <c r="E332" s="161">
        <v>28</v>
      </c>
      <c r="F332" s="161">
        <v>1</v>
      </c>
      <c r="G332"/>
      <c r="H332">
        <f t="shared" si="5"/>
        <v>1033</v>
      </c>
    </row>
    <row r="333" spans="1:8" x14ac:dyDescent="0.25">
      <c r="A333" s="161">
        <v>332</v>
      </c>
      <c r="B333" s="161">
        <v>328</v>
      </c>
      <c r="C333" s="161" t="s">
        <v>1529</v>
      </c>
      <c r="D333" s="161" t="s">
        <v>91</v>
      </c>
      <c r="E333" s="161">
        <v>27.5</v>
      </c>
      <c r="F333" s="161">
        <v>1</v>
      </c>
      <c r="G333"/>
      <c r="H333">
        <f t="shared" si="5"/>
        <v>231</v>
      </c>
    </row>
    <row r="334" spans="1:8" x14ac:dyDescent="0.25">
      <c r="A334" s="161">
        <v>333</v>
      </c>
      <c r="B334" s="161">
        <v>329</v>
      </c>
      <c r="C334" s="161" t="s">
        <v>693</v>
      </c>
      <c r="D334" s="161" t="s">
        <v>152</v>
      </c>
      <c r="E334" s="161">
        <v>26.3125</v>
      </c>
      <c r="F334" s="161">
        <v>2</v>
      </c>
      <c r="G334"/>
      <c r="H334">
        <f t="shared" si="5"/>
        <v>258</v>
      </c>
    </row>
    <row r="335" spans="1:8" x14ac:dyDescent="0.25">
      <c r="A335" s="161">
        <v>334</v>
      </c>
      <c r="B335" s="161" t="s">
        <v>1511</v>
      </c>
      <c r="C335" s="161" t="s">
        <v>1163</v>
      </c>
      <c r="D335" s="161" t="s">
        <v>88</v>
      </c>
      <c r="E335" s="161">
        <v>26</v>
      </c>
      <c r="F335" s="161">
        <v>1</v>
      </c>
      <c r="G335"/>
      <c r="H335">
        <f t="shared" si="5"/>
        <v>293</v>
      </c>
    </row>
    <row r="336" spans="1:8" x14ac:dyDescent="0.25">
      <c r="A336" s="161">
        <v>335</v>
      </c>
      <c r="B336" s="161" t="s">
        <v>1530</v>
      </c>
      <c r="C336" s="161" t="s">
        <v>1315</v>
      </c>
      <c r="D336" s="161" t="s">
        <v>91</v>
      </c>
      <c r="E336" s="161">
        <v>25</v>
      </c>
      <c r="F336" s="161">
        <v>3</v>
      </c>
      <c r="G336"/>
      <c r="H336">
        <f t="shared" si="5"/>
        <v>636</v>
      </c>
    </row>
    <row r="337" spans="1:8" x14ac:dyDescent="0.25">
      <c r="A337" s="161" t="s">
        <v>1531</v>
      </c>
      <c r="B337" s="161" t="s">
        <v>1532</v>
      </c>
      <c r="C337" s="161" t="s">
        <v>816</v>
      </c>
      <c r="D337" s="161" t="s">
        <v>150</v>
      </c>
      <c r="E337" s="161">
        <v>24.5</v>
      </c>
      <c r="F337" s="161">
        <v>1</v>
      </c>
      <c r="G337"/>
      <c r="H337">
        <f t="shared" si="5"/>
        <v>938</v>
      </c>
    </row>
    <row r="338" spans="1:8" x14ac:dyDescent="0.25">
      <c r="A338" s="161" t="s">
        <v>1531</v>
      </c>
      <c r="B338" s="161" t="s">
        <v>1532</v>
      </c>
      <c r="C338" s="161" t="s">
        <v>817</v>
      </c>
      <c r="D338" s="161" t="s">
        <v>150</v>
      </c>
      <c r="E338" s="161">
        <v>24.5</v>
      </c>
      <c r="F338" s="161">
        <v>1</v>
      </c>
      <c r="G338"/>
      <c r="H338">
        <f t="shared" si="5"/>
        <v>955</v>
      </c>
    </row>
    <row r="339" spans="1:8" x14ac:dyDescent="0.25">
      <c r="A339" s="161" t="s">
        <v>1531</v>
      </c>
      <c r="B339" s="161" t="s">
        <v>1532</v>
      </c>
      <c r="C339" s="161" t="s">
        <v>818</v>
      </c>
      <c r="D339" s="161" t="s">
        <v>150</v>
      </c>
      <c r="E339" s="161">
        <v>24.5</v>
      </c>
      <c r="F339" s="161">
        <v>1</v>
      </c>
      <c r="G339"/>
      <c r="H339">
        <f t="shared" si="5"/>
        <v>349</v>
      </c>
    </row>
    <row r="340" spans="1:8" x14ac:dyDescent="0.25">
      <c r="A340" s="161" t="s">
        <v>1531</v>
      </c>
      <c r="B340" s="161" t="s">
        <v>1532</v>
      </c>
      <c r="C340" s="161" t="s">
        <v>659</v>
      </c>
      <c r="D340" s="161" t="s">
        <v>105</v>
      </c>
      <c r="E340" s="161">
        <v>24.5</v>
      </c>
      <c r="F340" s="161">
        <v>1</v>
      </c>
      <c r="G340"/>
      <c r="H340">
        <f t="shared" si="5"/>
        <v>1043</v>
      </c>
    </row>
    <row r="341" spans="1:8" x14ac:dyDescent="0.25">
      <c r="A341" s="161" t="s">
        <v>1531</v>
      </c>
      <c r="B341" s="161" t="s">
        <v>1532</v>
      </c>
      <c r="C341" s="161" t="s">
        <v>819</v>
      </c>
      <c r="D341" s="161" t="s">
        <v>150</v>
      </c>
      <c r="E341" s="161">
        <v>24.5</v>
      </c>
      <c r="F341" s="161">
        <v>1</v>
      </c>
      <c r="G341"/>
      <c r="H341">
        <f t="shared" si="5"/>
        <v>225</v>
      </c>
    </row>
    <row r="342" spans="1:8" x14ac:dyDescent="0.25">
      <c r="A342" s="161" t="s">
        <v>1531</v>
      </c>
      <c r="B342" s="161" t="s">
        <v>1532</v>
      </c>
      <c r="C342" s="161" t="s">
        <v>1238</v>
      </c>
      <c r="D342" s="161" t="s">
        <v>105</v>
      </c>
      <c r="E342" s="161">
        <v>24.5</v>
      </c>
      <c r="F342" s="161">
        <v>1</v>
      </c>
      <c r="G342"/>
      <c r="H342">
        <f t="shared" si="5"/>
        <v>984</v>
      </c>
    </row>
    <row r="343" spans="1:8" x14ac:dyDescent="0.25">
      <c r="A343" s="161" t="s">
        <v>1533</v>
      </c>
      <c r="B343" s="161" t="s">
        <v>1531</v>
      </c>
      <c r="C343" s="161" t="s">
        <v>821</v>
      </c>
      <c r="D343" s="161" t="s">
        <v>91</v>
      </c>
      <c r="E343" s="161">
        <v>24</v>
      </c>
      <c r="F343" s="161">
        <v>1</v>
      </c>
      <c r="G343"/>
      <c r="H343">
        <f t="shared" si="5"/>
        <v>782</v>
      </c>
    </row>
    <row r="344" spans="1:8" x14ac:dyDescent="0.25">
      <c r="A344" s="161" t="s">
        <v>1533</v>
      </c>
      <c r="B344" s="161" t="s">
        <v>1531</v>
      </c>
      <c r="C344" s="161" t="s">
        <v>823</v>
      </c>
      <c r="D344" s="161" t="s">
        <v>112</v>
      </c>
      <c r="E344" s="161">
        <v>24</v>
      </c>
      <c r="F344" s="161">
        <v>1</v>
      </c>
      <c r="G344"/>
      <c r="H344">
        <f t="shared" si="5"/>
        <v>649</v>
      </c>
    </row>
    <row r="345" spans="1:8" x14ac:dyDescent="0.25">
      <c r="A345" s="161" t="s">
        <v>1533</v>
      </c>
      <c r="B345" s="161" t="s">
        <v>1531</v>
      </c>
      <c r="C345" s="161" t="s">
        <v>649</v>
      </c>
      <c r="D345" s="161" t="s">
        <v>91</v>
      </c>
      <c r="E345" s="161">
        <v>24</v>
      </c>
      <c r="F345" s="161">
        <v>1</v>
      </c>
      <c r="G345"/>
      <c r="H345">
        <f t="shared" si="5"/>
        <v>299</v>
      </c>
    </row>
    <row r="346" spans="1:8" x14ac:dyDescent="0.25">
      <c r="A346" s="161" t="s">
        <v>1533</v>
      </c>
      <c r="B346" s="161" t="s">
        <v>1531</v>
      </c>
      <c r="C346" s="161" t="s">
        <v>824</v>
      </c>
      <c r="D346" s="161" t="s">
        <v>91</v>
      </c>
      <c r="E346" s="161">
        <v>24</v>
      </c>
      <c r="F346" s="161">
        <v>1</v>
      </c>
      <c r="G346"/>
      <c r="H346">
        <f t="shared" si="5"/>
        <v>406</v>
      </c>
    </row>
    <row r="347" spans="1:8" x14ac:dyDescent="0.25">
      <c r="A347" s="161" t="s">
        <v>1533</v>
      </c>
      <c r="B347" s="161" t="s">
        <v>1531</v>
      </c>
      <c r="C347" s="161" t="s">
        <v>825</v>
      </c>
      <c r="D347" s="161" t="s">
        <v>91</v>
      </c>
      <c r="E347" s="161">
        <v>24</v>
      </c>
      <c r="F347" s="161">
        <v>1</v>
      </c>
      <c r="G347"/>
      <c r="H347">
        <f t="shared" si="5"/>
        <v>657</v>
      </c>
    </row>
    <row r="348" spans="1:8" x14ac:dyDescent="0.25">
      <c r="A348" s="161">
        <v>347</v>
      </c>
      <c r="B348" s="161" t="s">
        <v>80</v>
      </c>
      <c r="C348" s="161" t="s">
        <v>1534</v>
      </c>
      <c r="D348" s="161" t="s">
        <v>91</v>
      </c>
      <c r="E348" s="161">
        <v>23</v>
      </c>
      <c r="F348" s="161">
        <v>1</v>
      </c>
      <c r="G348"/>
      <c r="H348">
        <f t="shared" si="5"/>
        <v>360</v>
      </c>
    </row>
    <row r="349" spans="1:8" x14ac:dyDescent="0.25">
      <c r="A349" s="161">
        <v>348</v>
      </c>
      <c r="B349" s="161">
        <v>341</v>
      </c>
      <c r="C349" s="161" t="s">
        <v>856</v>
      </c>
      <c r="D349" s="161" t="s">
        <v>91</v>
      </c>
      <c r="E349" s="161">
        <v>22.25</v>
      </c>
      <c r="F349" s="161">
        <v>2</v>
      </c>
      <c r="G349"/>
      <c r="H349">
        <f t="shared" si="5"/>
        <v>1000</v>
      </c>
    </row>
    <row r="350" spans="1:8" x14ac:dyDescent="0.25">
      <c r="A350" s="161">
        <v>349</v>
      </c>
      <c r="B350" s="161">
        <v>342</v>
      </c>
      <c r="C350" s="161" t="s">
        <v>1361</v>
      </c>
      <c r="D350" s="161" t="s">
        <v>98</v>
      </c>
      <c r="E350" s="161">
        <v>22</v>
      </c>
      <c r="F350" s="161">
        <v>1</v>
      </c>
      <c r="G350"/>
      <c r="H350">
        <f t="shared" si="5"/>
        <v>391</v>
      </c>
    </row>
    <row r="351" spans="1:8" x14ac:dyDescent="0.25">
      <c r="A351" s="161">
        <v>350</v>
      </c>
      <c r="B351" s="161">
        <v>395</v>
      </c>
      <c r="C351" s="161" t="s">
        <v>873</v>
      </c>
      <c r="D351" s="161" t="s">
        <v>88</v>
      </c>
      <c r="E351" s="161">
        <v>21.5</v>
      </c>
      <c r="F351" s="161">
        <v>2</v>
      </c>
      <c r="G351"/>
      <c r="H351">
        <f t="shared" si="5"/>
        <v>195</v>
      </c>
    </row>
    <row r="352" spans="1:8" x14ac:dyDescent="0.25">
      <c r="A352" s="161" t="s">
        <v>1535</v>
      </c>
      <c r="B352" s="161" t="s">
        <v>80</v>
      </c>
      <c r="C352" s="161" t="s">
        <v>1536</v>
      </c>
      <c r="D352" s="161" t="s">
        <v>143</v>
      </c>
      <c r="E352" s="161">
        <v>20</v>
      </c>
      <c r="F352" s="161">
        <v>1</v>
      </c>
      <c r="G352"/>
      <c r="H352">
        <f t="shared" si="5"/>
        <v>797</v>
      </c>
    </row>
    <row r="353" spans="1:8" x14ac:dyDescent="0.25">
      <c r="A353" s="161" t="s">
        <v>1535</v>
      </c>
      <c r="B353" s="161" t="s">
        <v>1537</v>
      </c>
      <c r="C353" s="161" t="s">
        <v>1362</v>
      </c>
      <c r="D353" s="161" t="s">
        <v>98</v>
      </c>
      <c r="E353" s="161">
        <v>20</v>
      </c>
      <c r="F353" s="161">
        <v>1</v>
      </c>
      <c r="G353"/>
      <c r="H353">
        <f t="shared" si="5"/>
        <v>712</v>
      </c>
    </row>
    <row r="354" spans="1:8" x14ac:dyDescent="0.25">
      <c r="A354" s="161" t="s">
        <v>1535</v>
      </c>
      <c r="B354" s="161" t="s">
        <v>1511</v>
      </c>
      <c r="C354" s="161" t="s">
        <v>814</v>
      </c>
      <c r="D354" s="161" t="s">
        <v>91</v>
      </c>
      <c r="E354" s="161">
        <v>20</v>
      </c>
      <c r="F354" s="161">
        <v>1</v>
      </c>
      <c r="G354"/>
      <c r="H354">
        <f t="shared" si="5"/>
        <v>569</v>
      </c>
    </row>
    <row r="355" spans="1:8" x14ac:dyDescent="0.25">
      <c r="A355" s="161" t="s">
        <v>1535</v>
      </c>
      <c r="B355" s="161" t="s">
        <v>1537</v>
      </c>
      <c r="C355" s="161" t="s">
        <v>1363</v>
      </c>
      <c r="D355" s="161" t="s">
        <v>98</v>
      </c>
      <c r="E355" s="161">
        <v>20</v>
      </c>
      <c r="F355" s="161">
        <v>1</v>
      </c>
      <c r="G355"/>
      <c r="H355">
        <f t="shared" si="5"/>
        <v>1014</v>
      </c>
    </row>
    <row r="356" spans="1:8" x14ac:dyDescent="0.25">
      <c r="A356" s="161" t="s">
        <v>1535</v>
      </c>
      <c r="B356" s="161" t="s">
        <v>80</v>
      </c>
      <c r="C356" s="161" t="s">
        <v>1538</v>
      </c>
      <c r="D356" s="161" t="s">
        <v>143</v>
      </c>
      <c r="E356" s="161">
        <v>20</v>
      </c>
      <c r="F356" s="161">
        <v>1</v>
      </c>
      <c r="G356"/>
      <c r="H356">
        <f t="shared" si="5"/>
        <v>992</v>
      </c>
    </row>
    <row r="357" spans="1:8" x14ac:dyDescent="0.25">
      <c r="A357" s="161" t="s">
        <v>1535</v>
      </c>
      <c r="B357" s="161" t="s">
        <v>80</v>
      </c>
      <c r="C357" s="161" t="s">
        <v>1539</v>
      </c>
      <c r="D357" s="161" t="s">
        <v>88</v>
      </c>
      <c r="E357" s="161">
        <v>20</v>
      </c>
      <c r="F357" s="161">
        <v>1</v>
      </c>
      <c r="G357"/>
      <c r="H357">
        <f t="shared" si="5"/>
        <v>422</v>
      </c>
    </row>
    <row r="358" spans="1:8" x14ac:dyDescent="0.25">
      <c r="A358" s="161" t="s">
        <v>1535</v>
      </c>
      <c r="B358" s="161" t="s">
        <v>1537</v>
      </c>
      <c r="C358" s="161" t="s">
        <v>829</v>
      </c>
      <c r="D358" s="161" t="s">
        <v>88</v>
      </c>
      <c r="E358" s="161">
        <v>20</v>
      </c>
      <c r="F358" s="161">
        <v>1</v>
      </c>
      <c r="G358"/>
      <c r="H358">
        <f t="shared" si="5"/>
        <v>753</v>
      </c>
    </row>
    <row r="359" spans="1:8" x14ac:dyDescent="0.25">
      <c r="A359" s="161">
        <v>358</v>
      </c>
      <c r="B359" s="161">
        <v>347</v>
      </c>
      <c r="C359" s="161" t="s">
        <v>827</v>
      </c>
      <c r="D359" s="161" t="s">
        <v>91</v>
      </c>
      <c r="E359" s="161">
        <v>19.5</v>
      </c>
      <c r="F359" s="161">
        <v>6</v>
      </c>
      <c r="G359"/>
      <c r="H359">
        <f t="shared" si="5"/>
        <v>1023</v>
      </c>
    </row>
    <row r="360" spans="1:8" x14ac:dyDescent="0.25">
      <c r="A360" s="161" t="s">
        <v>1335</v>
      </c>
      <c r="B360" s="161" t="s">
        <v>1540</v>
      </c>
      <c r="C360" s="161" t="s">
        <v>830</v>
      </c>
      <c r="D360" s="161" t="s">
        <v>91</v>
      </c>
      <c r="E360" s="161">
        <v>19.2</v>
      </c>
      <c r="F360" s="161">
        <v>1</v>
      </c>
      <c r="G360"/>
      <c r="H360">
        <f t="shared" si="5"/>
        <v>343</v>
      </c>
    </row>
    <row r="361" spans="1:8" x14ac:dyDescent="0.25">
      <c r="A361" s="161" t="s">
        <v>1335</v>
      </c>
      <c r="B361" s="161" t="s">
        <v>1540</v>
      </c>
      <c r="C361" s="161" t="s">
        <v>831</v>
      </c>
      <c r="D361" s="161" t="s">
        <v>91</v>
      </c>
      <c r="E361" s="161">
        <v>19.2</v>
      </c>
      <c r="F361" s="161">
        <v>1</v>
      </c>
      <c r="G361"/>
      <c r="H361">
        <f t="shared" si="5"/>
        <v>872</v>
      </c>
    </row>
    <row r="362" spans="1:8" x14ac:dyDescent="0.25">
      <c r="A362" s="161" t="s">
        <v>1541</v>
      </c>
      <c r="B362" s="161" t="s">
        <v>1334</v>
      </c>
      <c r="C362" s="161" t="s">
        <v>1542</v>
      </c>
      <c r="D362" s="161" t="s">
        <v>152</v>
      </c>
      <c r="E362" s="161">
        <v>19</v>
      </c>
      <c r="F362" s="161">
        <v>1</v>
      </c>
      <c r="G362"/>
      <c r="H362">
        <f t="shared" si="5"/>
        <v>718</v>
      </c>
    </row>
    <row r="363" spans="1:8" x14ac:dyDescent="0.25">
      <c r="A363" s="161" t="s">
        <v>1541</v>
      </c>
      <c r="B363" s="161" t="s">
        <v>1334</v>
      </c>
      <c r="C363" s="161" t="s">
        <v>833</v>
      </c>
      <c r="D363" s="161" t="s">
        <v>91</v>
      </c>
      <c r="E363" s="161">
        <v>19</v>
      </c>
      <c r="F363" s="161">
        <v>1</v>
      </c>
      <c r="G363"/>
      <c r="H363">
        <f t="shared" si="5"/>
        <v>535</v>
      </c>
    </row>
    <row r="364" spans="1:8" x14ac:dyDescent="0.25">
      <c r="A364" s="161" t="s">
        <v>1541</v>
      </c>
      <c r="B364" s="161" t="s">
        <v>1334</v>
      </c>
      <c r="C364" s="161" t="s">
        <v>835</v>
      </c>
      <c r="D364" s="161" t="s">
        <v>91</v>
      </c>
      <c r="E364" s="161">
        <v>19</v>
      </c>
      <c r="F364" s="161">
        <v>1</v>
      </c>
      <c r="G364"/>
      <c r="H364">
        <f t="shared" si="5"/>
        <v>538</v>
      </c>
    </row>
    <row r="365" spans="1:8" x14ac:dyDescent="0.25">
      <c r="A365" s="161" t="s">
        <v>1541</v>
      </c>
      <c r="B365" s="161" t="s">
        <v>1334</v>
      </c>
      <c r="C365" s="161" t="s">
        <v>836</v>
      </c>
      <c r="D365" s="161" t="s">
        <v>91</v>
      </c>
      <c r="E365" s="161">
        <v>19</v>
      </c>
      <c r="F365" s="161">
        <v>1</v>
      </c>
      <c r="G365"/>
      <c r="H365">
        <f t="shared" si="5"/>
        <v>288</v>
      </c>
    </row>
    <row r="366" spans="1:8" x14ac:dyDescent="0.25">
      <c r="A366" s="161" t="s">
        <v>1541</v>
      </c>
      <c r="B366" s="161" t="s">
        <v>1334</v>
      </c>
      <c r="C366" s="161" t="s">
        <v>837</v>
      </c>
      <c r="D366" s="161" t="s">
        <v>91</v>
      </c>
      <c r="E366" s="161">
        <v>19</v>
      </c>
      <c r="F366" s="161">
        <v>1</v>
      </c>
      <c r="G366"/>
      <c r="H366">
        <f t="shared" si="5"/>
        <v>848</v>
      </c>
    </row>
    <row r="367" spans="1:8" x14ac:dyDescent="0.25">
      <c r="A367" s="161" t="s">
        <v>1541</v>
      </c>
      <c r="B367" s="161" t="s">
        <v>1334</v>
      </c>
      <c r="C367" s="161" t="s">
        <v>838</v>
      </c>
      <c r="D367" s="161" t="s">
        <v>91</v>
      </c>
      <c r="E367" s="161">
        <v>19</v>
      </c>
      <c r="F367" s="161">
        <v>1</v>
      </c>
      <c r="G367"/>
      <c r="H367">
        <f t="shared" si="5"/>
        <v>922</v>
      </c>
    </row>
    <row r="368" spans="1:8" x14ac:dyDescent="0.25">
      <c r="A368" s="161">
        <v>367</v>
      </c>
      <c r="B368" s="161">
        <v>356</v>
      </c>
      <c r="C368" s="161" t="s">
        <v>866</v>
      </c>
      <c r="D368" s="161" t="s">
        <v>91</v>
      </c>
      <c r="E368" s="161">
        <v>18.5</v>
      </c>
      <c r="F368" s="161">
        <v>2</v>
      </c>
      <c r="G368"/>
      <c r="H368">
        <f t="shared" si="5"/>
        <v>576</v>
      </c>
    </row>
    <row r="369" spans="1:8" x14ac:dyDescent="0.25">
      <c r="A369" s="161">
        <v>368</v>
      </c>
      <c r="B369" s="161">
        <v>357</v>
      </c>
      <c r="C369" s="161" t="s">
        <v>1364</v>
      </c>
      <c r="D369" s="161" t="s">
        <v>105</v>
      </c>
      <c r="E369" s="161">
        <v>17.5</v>
      </c>
      <c r="F369" s="161">
        <v>1</v>
      </c>
      <c r="G369"/>
      <c r="H369">
        <f t="shared" si="5"/>
        <v>516</v>
      </c>
    </row>
    <row r="370" spans="1:8" x14ac:dyDescent="0.25">
      <c r="A370" s="161" t="s">
        <v>847</v>
      </c>
      <c r="B370" s="161" t="s">
        <v>1543</v>
      </c>
      <c r="C370" s="161" t="s">
        <v>679</v>
      </c>
      <c r="D370" s="161" t="s">
        <v>105</v>
      </c>
      <c r="E370" s="161">
        <v>17</v>
      </c>
      <c r="F370" s="161">
        <v>1</v>
      </c>
      <c r="G370"/>
      <c r="H370">
        <f t="shared" si="5"/>
        <v>621</v>
      </c>
    </row>
    <row r="371" spans="1:8" x14ac:dyDescent="0.25">
      <c r="A371" s="161" t="s">
        <v>847</v>
      </c>
      <c r="B371" s="161" t="s">
        <v>1543</v>
      </c>
      <c r="C371" s="161" t="s">
        <v>717</v>
      </c>
      <c r="D371" s="161" t="s">
        <v>105</v>
      </c>
      <c r="E371" s="161">
        <v>17</v>
      </c>
      <c r="F371" s="161">
        <v>1</v>
      </c>
      <c r="G371"/>
      <c r="H371">
        <f t="shared" si="5"/>
        <v>855</v>
      </c>
    </row>
    <row r="372" spans="1:8" x14ac:dyDescent="0.25">
      <c r="A372" s="161" t="s">
        <v>847</v>
      </c>
      <c r="B372" s="161" t="s">
        <v>1543</v>
      </c>
      <c r="C372" s="161" t="s">
        <v>1366</v>
      </c>
      <c r="D372" s="161" t="s">
        <v>1344</v>
      </c>
      <c r="E372" s="161">
        <v>17</v>
      </c>
      <c r="F372" s="161">
        <v>1</v>
      </c>
      <c r="G372"/>
      <c r="H372">
        <f t="shared" si="5"/>
        <v>925</v>
      </c>
    </row>
    <row r="373" spans="1:8" x14ac:dyDescent="0.25">
      <c r="A373" s="161">
        <v>372</v>
      </c>
      <c r="B373" s="161">
        <v>361</v>
      </c>
      <c r="C373" s="161" t="s">
        <v>844</v>
      </c>
      <c r="D373" s="161" t="s">
        <v>112</v>
      </c>
      <c r="E373" s="161">
        <v>16.75</v>
      </c>
      <c r="F373" s="161">
        <v>1</v>
      </c>
      <c r="G373"/>
      <c r="H373">
        <f t="shared" si="5"/>
        <v>549</v>
      </c>
    </row>
    <row r="374" spans="1:8" x14ac:dyDescent="0.25">
      <c r="A374" s="161" t="s">
        <v>1544</v>
      </c>
      <c r="B374" s="161" t="s">
        <v>80</v>
      </c>
      <c r="C374" s="161" t="s">
        <v>1545</v>
      </c>
      <c r="D374" s="161" t="s">
        <v>91</v>
      </c>
      <c r="E374" s="161">
        <v>16.25</v>
      </c>
      <c r="F374" s="161">
        <v>1</v>
      </c>
      <c r="G374"/>
      <c r="H374">
        <f t="shared" si="5"/>
        <v>269</v>
      </c>
    </row>
    <row r="375" spans="1:8" x14ac:dyDescent="0.25">
      <c r="A375" s="161" t="s">
        <v>1544</v>
      </c>
      <c r="B375" s="161" t="s">
        <v>1511</v>
      </c>
      <c r="C375" s="161" t="s">
        <v>805</v>
      </c>
      <c r="D375" s="161" t="s">
        <v>91</v>
      </c>
      <c r="E375" s="161">
        <v>16.25</v>
      </c>
      <c r="F375" s="161">
        <v>1</v>
      </c>
      <c r="G375"/>
      <c r="H375">
        <f t="shared" si="5"/>
        <v>617</v>
      </c>
    </row>
    <row r="376" spans="1:8" x14ac:dyDescent="0.25">
      <c r="A376" s="161">
        <v>375</v>
      </c>
      <c r="B376" s="161">
        <v>362</v>
      </c>
      <c r="C376" s="161" t="s">
        <v>845</v>
      </c>
      <c r="D376" s="161" t="s">
        <v>91</v>
      </c>
      <c r="E376" s="161">
        <v>16</v>
      </c>
      <c r="F376" s="161">
        <v>1</v>
      </c>
      <c r="G376"/>
      <c r="H376">
        <f t="shared" si="5"/>
        <v>994</v>
      </c>
    </row>
    <row r="377" spans="1:8" x14ac:dyDescent="0.25">
      <c r="A377" s="161">
        <v>376</v>
      </c>
      <c r="B377" s="161">
        <v>363</v>
      </c>
      <c r="C377" s="161" t="s">
        <v>1367</v>
      </c>
      <c r="D377" s="161" t="s">
        <v>91</v>
      </c>
      <c r="E377" s="161">
        <v>15.8</v>
      </c>
      <c r="F377" s="161">
        <v>2</v>
      </c>
      <c r="G377"/>
      <c r="H377">
        <f t="shared" si="5"/>
        <v>686</v>
      </c>
    </row>
    <row r="378" spans="1:8" x14ac:dyDescent="0.25">
      <c r="A378" s="161">
        <v>377</v>
      </c>
      <c r="B378" s="161">
        <v>364</v>
      </c>
      <c r="C378" s="161" t="s">
        <v>846</v>
      </c>
      <c r="D378" s="161" t="s">
        <v>91</v>
      </c>
      <c r="E378" s="161">
        <v>15.5</v>
      </c>
      <c r="F378" s="161">
        <v>1</v>
      </c>
      <c r="G378"/>
      <c r="H378">
        <f t="shared" si="5"/>
        <v>845</v>
      </c>
    </row>
    <row r="379" spans="1:8" x14ac:dyDescent="0.25">
      <c r="A379" s="161" t="s">
        <v>1546</v>
      </c>
      <c r="B379" s="161" t="s">
        <v>1547</v>
      </c>
      <c r="C379" s="161" t="s">
        <v>848</v>
      </c>
      <c r="D379" s="161" t="s">
        <v>112</v>
      </c>
      <c r="E379" s="161">
        <v>15.3375</v>
      </c>
      <c r="F379" s="161">
        <v>2</v>
      </c>
      <c r="G379"/>
      <c r="H379">
        <f t="shared" si="5"/>
        <v>705</v>
      </c>
    </row>
    <row r="380" spans="1:8" x14ac:dyDescent="0.25">
      <c r="A380" s="161" t="s">
        <v>1546</v>
      </c>
      <c r="B380" s="161" t="s">
        <v>1547</v>
      </c>
      <c r="C380" s="161" t="s">
        <v>849</v>
      </c>
      <c r="D380" s="161"/>
      <c r="E380" s="161">
        <v>15.3375</v>
      </c>
      <c r="F380" s="161">
        <v>2</v>
      </c>
      <c r="G380"/>
      <c r="H380">
        <f t="shared" si="5"/>
        <v>396</v>
      </c>
    </row>
    <row r="381" spans="1:8" x14ac:dyDescent="0.25">
      <c r="A381" s="161" t="s">
        <v>1369</v>
      </c>
      <c r="B381" s="161" t="s">
        <v>1368</v>
      </c>
      <c r="C381" s="161" t="s">
        <v>850</v>
      </c>
      <c r="D381" s="161" t="s">
        <v>91</v>
      </c>
      <c r="E381" s="161">
        <v>15</v>
      </c>
      <c r="F381" s="161">
        <v>1</v>
      </c>
      <c r="G381"/>
      <c r="H381">
        <f t="shared" si="5"/>
        <v>619</v>
      </c>
    </row>
    <row r="382" spans="1:8" x14ac:dyDescent="0.25">
      <c r="A382" s="161" t="s">
        <v>1369</v>
      </c>
      <c r="B382" s="161" t="s">
        <v>1368</v>
      </c>
      <c r="C382" s="161" t="s">
        <v>851</v>
      </c>
      <c r="D382" s="161" t="s">
        <v>91</v>
      </c>
      <c r="E382" s="161">
        <v>15</v>
      </c>
      <c r="F382" s="161">
        <v>1</v>
      </c>
      <c r="G382"/>
      <c r="H382">
        <f t="shared" si="5"/>
        <v>537</v>
      </c>
    </row>
    <row r="383" spans="1:8" x14ac:dyDescent="0.25">
      <c r="A383" s="161" t="s">
        <v>1369</v>
      </c>
      <c r="B383" s="161" t="s">
        <v>1368</v>
      </c>
      <c r="C383" s="161" t="s">
        <v>852</v>
      </c>
      <c r="D383" s="161" t="s">
        <v>91</v>
      </c>
      <c r="E383" s="161">
        <v>15</v>
      </c>
      <c r="F383" s="161">
        <v>1</v>
      </c>
      <c r="G383"/>
      <c r="H383">
        <f t="shared" si="5"/>
        <v>972</v>
      </c>
    </row>
    <row r="384" spans="1:8" x14ac:dyDescent="0.25">
      <c r="A384" s="161" t="s">
        <v>1369</v>
      </c>
      <c r="B384" s="161" t="s">
        <v>1368</v>
      </c>
      <c r="C384" s="161" t="s">
        <v>853</v>
      </c>
      <c r="D384" s="161" t="s">
        <v>91</v>
      </c>
      <c r="E384" s="161">
        <v>15</v>
      </c>
      <c r="F384" s="161">
        <v>1</v>
      </c>
      <c r="G384"/>
      <c r="H384">
        <f t="shared" si="5"/>
        <v>570</v>
      </c>
    </row>
    <row r="385" spans="1:8" x14ac:dyDescent="0.25">
      <c r="A385" s="161">
        <v>384</v>
      </c>
      <c r="B385" s="161">
        <v>371</v>
      </c>
      <c r="C385" s="161" t="s">
        <v>854</v>
      </c>
      <c r="D385" s="161" t="s">
        <v>152</v>
      </c>
      <c r="E385" s="161">
        <v>14.4</v>
      </c>
      <c r="F385" s="161">
        <v>2</v>
      </c>
      <c r="G385"/>
      <c r="H385">
        <f t="shared" si="5"/>
        <v>643</v>
      </c>
    </row>
    <row r="386" spans="1:8" x14ac:dyDescent="0.25">
      <c r="A386" s="161">
        <v>385</v>
      </c>
      <c r="B386" s="161">
        <v>372</v>
      </c>
      <c r="C386" s="161" t="s">
        <v>855</v>
      </c>
      <c r="D386" s="161" t="s">
        <v>91</v>
      </c>
      <c r="E386" s="161">
        <v>12.8</v>
      </c>
      <c r="F386" s="161">
        <v>1</v>
      </c>
      <c r="G386"/>
      <c r="H386">
        <f t="shared" ref="H386:H449" si="6">SUMPRODUCT((C$2:C$1090 &lt; C386)+(C386="")*1000)</f>
        <v>707</v>
      </c>
    </row>
    <row r="387" spans="1:8" x14ac:dyDescent="0.25">
      <c r="A387" s="161" t="s">
        <v>1548</v>
      </c>
      <c r="B387" s="161" t="s">
        <v>1544</v>
      </c>
      <c r="C387" s="161" t="s">
        <v>857</v>
      </c>
      <c r="D387" s="161" t="s">
        <v>91</v>
      </c>
      <c r="E387" s="161">
        <v>12.5</v>
      </c>
      <c r="F387" s="161">
        <v>1</v>
      </c>
      <c r="G387"/>
      <c r="H387">
        <f t="shared" si="6"/>
        <v>386</v>
      </c>
    </row>
    <row r="388" spans="1:8" x14ac:dyDescent="0.25">
      <c r="A388" s="161" t="s">
        <v>1548</v>
      </c>
      <c r="B388" s="161" t="s">
        <v>1544</v>
      </c>
      <c r="C388" s="161" t="s">
        <v>799</v>
      </c>
      <c r="D388" s="161" t="s">
        <v>88</v>
      </c>
      <c r="E388" s="161">
        <v>12.5</v>
      </c>
      <c r="F388" s="161">
        <v>1</v>
      </c>
      <c r="G388"/>
      <c r="H388">
        <f t="shared" si="6"/>
        <v>967</v>
      </c>
    </row>
    <row r="389" spans="1:8" x14ac:dyDescent="0.25">
      <c r="A389" s="161" t="s">
        <v>1548</v>
      </c>
      <c r="B389" s="161" t="s">
        <v>1544</v>
      </c>
      <c r="C389" s="161" t="s">
        <v>858</v>
      </c>
      <c r="D389" s="161" t="s">
        <v>98</v>
      </c>
      <c r="E389" s="161">
        <v>12.5</v>
      </c>
      <c r="F389" s="161">
        <v>1</v>
      </c>
      <c r="G389"/>
      <c r="H389">
        <f t="shared" si="6"/>
        <v>316</v>
      </c>
    </row>
    <row r="390" spans="1:8" x14ac:dyDescent="0.25">
      <c r="A390" s="161" t="s">
        <v>1548</v>
      </c>
      <c r="B390" s="161" t="s">
        <v>1544</v>
      </c>
      <c r="C390" s="161" t="s">
        <v>859</v>
      </c>
      <c r="D390" s="161" t="s">
        <v>91</v>
      </c>
      <c r="E390" s="161">
        <v>12.5</v>
      </c>
      <c r="F390" s="161">
        <v>1</v>
      </c>
      <c r="G390"/>
      <c r="H390">
        <f t="shared" si="6"/>
        <v>436</v>
      </c>
    </row>
    <row r="391" spans="1:8" x14ac:dyDescent="0.25">
      <c r="A391" s="161" t="s">
        <v>1549</v>
      </c>
      <c r="B391" s="161" t="s">
        <v>1550</v>
      </c>
      <c r="C391" s="161" t="s">
        <v>841</v>
      </c>
      <c r="D391" s="161" t="s">
        <v>105</v>
      </c>
      <c r="E391" s="161">
        <v>11.63</v>
      </c>
      <c r="F391" s="161">
        <v>1</v>
      </c>
      <c r="G391"/>
      <c r="H391">
        <f t="shared" si="6"/>
        <v>1016</v>
      </c>
    </row>
    <row r="392" spans="1:8" x14ac:dyDescent="0.25">
      <c r="A392" s="161" t="s">
        <v>1549</v>
      </c>
      <c r="B392" s="161" t="s">
        <v>1550</v>
      </c>
      <c r="C392" s="161" t="s">
        <v>1186</v>
      </c>
      <c r="D392" s="161" t="s">
        <v>91</v>
      </c>
      <c r="E392" s="161">
        <v>11.63</v>
      </c>
      <c r="F392" s="161">
        <v>1</v>
      </c>
      <c r="G392"/>
      <c r="H392">
        <f t="shared" si="6"/>
        <v>346</v>
      </c>
    </row>
    <row r="393" spans="1:8" x14ac:dyDescent="0.25">
      <c r="A393" s="161" t="s">
        <v>1549</v>
      </c>
      <c r="B393" s="161" t="s">
        <v>1550</v>
      </c>
      <c r="C393" s="161" t="s">
        <v>843</v>
      </c>
      <c r="D393" s="161" t="s">
        <v>105</v>
      </c>
      <c r="E393" s="161">
        <v>11.63</v>
      </c>
      <c r="F393" s="161">
        <v>1</v>
      </c>
      <c r="G393"/>
      <c r="H393">
        <f t="shared" si="6"/>
        <v>790</v>
      </c>
    </row>
    <row r="394" spans="1:8" x14ac:dyDescent="0.25">
      <c r="A394" s="161" t="s">
        <v>1551</v>
      </c>
      <c r="B394" s="161" t="s">
        <v>1369</v>
      </c>
      <c r="C394" s="161" t="s">
        <v>1370</v>
      </c>
      <c r="D394" s="161" t="s">
        <v>105</v>
      </c>
      <c r="E394" s="161">
        <v>11.625</v>
      </c>
      <c r="F394" s="161">
        <v>1</v>
      </c>
      <c r="G394"/>
      <c r="H394">
        <f t="shared" si="6"/>
        <v>474</v>
      </c>
    </row>
    <row r="395" spans="1:8" x14ac:dyDescent="0.25">
      <c r="A395" s="161" t="s">
        <v>1551</v>
      </c>
      <c r="B395" s="161" t="s">
        <v>1369</v>
      </c>
      <c r="C395" s="161" t="s">
        <v>1371</v>
      </c>
      <c r="D395" s="161" t="s">
        <v>1372</v>
      </c>
      <c r="E395" s="161">
        <v>11.625</v>
      </c>
      <c r="F395" s="161">
        <v>1</v>
      </c>
      <c r="G395"/>
      <c r="H395">
        <f t="shared" si="6"/>
        <v>784</v>
      </c>
    </row>
    <row r="396" spans="1:8" x14ac:dyDescent="0.25">
      <c r="A396" s="161" t="s">
        <v>1551</v>
      </c>
      <c r="B396" s="161" t="s">
        <v>1369</v>
      </c>
      <c r="C396" s="161" t="s">
        <v>1373</v>
      </c>
      <c r="D396" s="161" t="s">
        <v>105</v>
      </c>
      <c r="E396" s="161">
        <v>11.625</v>
      </c>
      <c r="F396" s="161">
        <v>1</v>
      </c>
      <c r="G396"/>
      <c r="H396">
        <f t="shared" si="6"/>
        <v>605</v>
      </c>
    </row>
    <row r="397" spans="1:8" x14ac:dyDescent="0.25">
      <c r="A397" s="161">
        <v>396</v>
      </c>
      <c r="B397" s="161">
        <v>383</v>
      </c>
      <c r="C397" s="161" t="s">
        <v>862</v>
      </c>
      <c r="D397" s="161" t="s">
        <v>91</v>
      </c>
      <c r="E397" s="161">
        <v>11.2</v>
      </c>
      <c r="F397" s="161">
        <v>1</v>
      </c>
      <c r="G397"/>
      <c r="H397">
        <f t="shared" si="6"/>
        <v>880</v>
      </c>
    </row>
    <row r="398" spans="1:8" x14ac:dyDescent="0.25">
      <c r="A398" s="161">
        <v>397</v>
      </c>
      <c r="B398" s="161">
        <v>384</v>
      </c>
      <c r="C398" s="161" t="s">
        <v>1552</v>
      </c>
      <c r="D398" s="161" t="s">
        <v>98</v>
      </c>
      <c r="E398" s="161">
        <v>10.8</v>
      </c>
      <c r="F398" s="161">
        <v>1</v>
      </c>
      <c r="G398"/>
      <c r="H398">
        <f t="shared" si="6"/>
        <v>513</v>
      </c>
    </row>
    <row r="399" spans="1:8" x14ac:dyDescent="0.25">
      <c r="A399" s="161">
        <v>398</v>
      </c>
      <c r="B399" s="161">
        <v>385</v>
      </c>
      <c r="C399" s="161" t="s">
        <v>867</v>
      </c>
      <c r="D399" s="161" t="s">
        <v>91</v>
      </c>
      <c r="E399" s="161">
        <v>10.4</v>
      </c>
      <c r="F399" s="161">
        <v>1</v>
      </c>
      <c r="G399"/>
      <c r="H399">
        <f t="shared" si="6"/>
        <v>1066</v>
      </c>
    </row>
    <row r="400" spans="1:8" x14ac:dyDescent="0.25">
      <c r="A400" s="161">
        <v>399</v>
      </c>
      <c r="B400" s="161">
        <v>386</v>
      </c>
      <c r="C400" s="161" t="s">
        <v>1553</v>
      </c>
      <c r="D400" s="161" t="s">
        <v>1344</v>
      </c>
      <c r="E400" s="161">
        <v>9.75</v>
      </c>
      <c r="F400" s="161">
        <v>1</v>
      </c>
      <c r="G400"/>
      <c r="H400">
        <f t="shared" si="6"/>
        <v>1085</v>
      </c>
    </row>
    <row r="401" spans="1:8" x14ac:dyDescent="0.25">
      <c r="A401" s="161">
        <v>400</v>
      </c>
      <c r="B401" s="161">
        <v>387</v>
      </c>
      <c r="C401" s="161" t="s">
        <v>868</v>
      </c>
      <c r="D401" s="161" t="s">
        <v>91</v>
      </c>
      <c r="E401" s="161">
        <v>9.6</v>
      </c>
      <c r="F401" s="161">
        <v>1</v>
      </c>
      <c r="G401"/>
      <c r="H401">
        <f t="shared" si="6"/>
        <v>650</v>
      </c>
    </row>
    <row r="402" spans="1:8" x14ac:dyDescent="0.25">
      <c r="A402" s="161">
        <v>401</v>
      </c>
      <c r="B402" s="161">
        <v>388</v>
      </c>
      <c r="C402" s="161" t="s">
        <v>869</v>
      </c>
      <c r="D402" s="161" t="s">
        <v>88</v>
      </c>
      <c r="E402" s="161">
        <v>9.5</v>
      </c>
      <c r="F402" s="161">
        <v>1</v>
      </c>
      <c r="G402"/>
      <c r="H402">
        <f t="shared" si="6"/>
        <v>204</v>
      </c>
    </row>
    <row r="403" spans="1:8" x14ac:dyDescent="0.25">
      <c r="A403" s="161" t="s">
        <v>1554</v>
      </c>
      <c r="B403" s="161" t="s">
        <v>1555</v>
      </c>
      <c r="C403" s="161" t="s">
        <v>870</v>
      </c>
      <c r="D403" s="161" t="s">
        <v>141</v>
      </c>
      <c r="E403" s="161">
        <v>9</v>
      </c>
      <c r="F403" s="161">
        <v>1</v>
      </c>
      <c r="G403"/>
      <c r="H403">
        <f t="shared" si="6"/>
        <v>1087</v>
      </c>
    </row>
    <row r="404" spans="1:8" x14ac:dyDescent="0.25">
      <c r="A404" s="161" t="s">
        <v>1554</v>
      </c>
      <c r="B404" s="161" t="s">
        <v>1555</v>
      </c>
      <c r="C404" s="161" t="s">
        <v>1375</v>
      </c>
      <c r="D404" s="161" t="s">
        <v>105</v>
      </c>
      <c r="E404" s="161">
        <v>9</v>
      </c>
      <c r="F404" s="161">
        <v>1</v>
      </c>
      <c r="G404"/>
      <c r="H404">
        <f t="shared" si="6"/>
        <v>175</v>
      </c>
    </row>
    <row r="405" spans="1:8" x14ac:dyDescent="0.25">
      <c r="A405" s="161" t="s">
        <v>1554</v>
      </c>
      <c r="B405" s="161" t="s">
        <v>1555</v>
      </c>
      <c r="C405" s="161" t="s">
        <v>1376</v>
      </c>
      <c r="D405" s="161" t="s">
        <v>105</v>
      </c>
      <c r="E405" s="161">
        <v>9</v>
      </c>
      <c r="F405" s="161">
        <v>1</v>
      </c>
      <c r="G405"/>
      <c r="H405">
        <f t="shared" si="6"/>
        <v>438</v>
      </c>
    </row>
    <row r="406" spans="1:8" x14ac:dyDescent="0.25">
      <c r="A406" s="161" t="s">
        <v>1556</v>
      </c>
      <c r="B406" s="161" t="s">
        <v>1374</v>
      </c>
      <c r="C406" s="161" t="s">
        <v>1377</v>
      </c>
      <c r="D406" s="161" t="s">
        <v>105</v>
      </c>
      <c r="E406" s="161">
        <v>8.5</v>
      </c>
      <c r="F406" s="161">
        <v>1</v>
      </c>
      <c r="G406"/>
      <c r="H406">
        <f t="shared" si="6"/>
        <v>242</v>
      </c>
    </row>
    <row r="407" spans="1:8" x14ac:dyDescent="0.25">
      <c r="A407" s="161" t="s">
        <v>1556</v>
      </c>
      <c r="B407" s="161" t="s">
        <v>1374</v>
      </c>
      <c r="C407" s="161" t="s">
        <v>1378</v>
      </c>
      <c r="D407" s="161" t="s">
        <v>91</v>
      </c>
      <c r="E407" s="161">
        <v>8.5</v>
      </c>
      <c r="F407" s="161">
        <v>1</v>
      </c>
      <c r="G407"/>
      <c r="H407">
        <f t="shared" si="6"/>
        <v>884</v>
      </c>
    </row>
    <row r="408" spans="1:8" x14ac:dyDescent="0.25">
      <c r="A408" s="161">
        <v>407</v>
      </c>
      <c r="B408" s="161">
        <v>394</v>
      </c>
      <c r="C408" s="161" t="s">
        <v>875</v>
      </c>
      <c r="D408" s="161" t="s">
        <v>91</v>
      </c>
      <c r="E408" s="161">
        <v>5</v>
      </c>
      <c r="F408" s="161">
        <v>1</v>
      </c>
      <c r="G408"/>
      <c r="H408">
        <f t="shared" si="6"/>
        <v>263</v>
      </c>
    </row>
    <row r="409" spans="1:8" x14ac:dyDescent="0.25">
      <c r="A409" s="161">
        <v>408</v>
      </c>
      <c r="B409" s="161">
        <v>396</v>
      </c>
      <c r="C409" s="161" t="s">
        <v>874</v>
      </c>
      <c r="D409" s="161" t="s">
        <v>112</v>
      </c>
      <c r="E409" s="161">
        <v>1</v>
      </c>
      <c r="F409" s="161">
        <v>3</v>
      </c>
      <c r="G409"/>
      <c r="H409">
        <f t="shared" si="6"/>
        <v>739</v>
      </c>
    </row>
    <row r="410" spans="1:8" x14ac:dyDescent="0.25">
      <c r="A410" s="161" t="s">
        <v>1557</v>
      </c>
      <c r="B410" s="161" t="s">
        <v>1511</v>
      </c>
      <c r="C410" s="161" t="s">
        <v>877</v>
      </c>
      <c r="D410" s="161" t="s">
        <v>112</v>
      </c>
      <c r="E410" s="161">
        <v>0</v>
      </c>
      <c r="F410" s="161">
        <v>0</v>
      </c>
      <c r="G410"/>
      <c r="H410">
        <f t="shared" si="6"/>
        <v>162</v>
      </c>
    </row>
    <row r="411" spans="1:8" x14ac:dyDescent="0.25">
      <c r="A411" s="161" t="s">
        <v>1557</v>
      </c>
      <c r="B411" s="161" t="s">
        <v>1511</v>
      </c>
      <c r="C411" s="161" t="s">
        <v>878</v>
      </c>
      <c r="D411" s="161" t="s">
        <v>879</v>
      </c>
      <c r="E411" s="161">
        <v>0</v>
      </c>
      <c r="F411" s="161">
        <v>0</v>
      </c>
      <c r="G411"/>
      <c r="H411">
        <f t="shared" si="6"/>
        <v>452</v>
      </c>
    </row>
    <row r="412" spans="1:8" x14ac:dyDescent="0.25">
      <c r="A412" s="161" t="s">
        <v>1557</v>
      </c>
      <c r="B412" s="161" t="s">
        <v>1511</v>
      </c>
      <c r="C412" s="161" t="s">
        <v>880</v>
      </c>
      <c r="D412" s="161" t="s">
        <v>879</v>
      </c>
      <c r="E412" s="161">
        <v>0</v>
      </c>
      <c r="F412" s="161">
        <v>0</v>
      </c>
      <c r="G412"/>
      <c r="H412">
        <f t="shared" si="6"/>
        <v>508</v>
      </c>
    </row>
    <row r="413" spans="1:8" x14ac:dyDescent="0.25">
      <c r="A413" s="161" t="s">
        <v>1557</v>
      </c>
      <c r="B413" s="161" t="s">
        <v>1511</v>
      </c>
      <c r="C413" s="161" t="s">
        <v>881</v>
      </c>
      <c r="D413" s="161" t="s">
        <v>141</v>
      </c>
      <c r="E413" s="161">
        <v>0</v>
      </c>
      <c r="F413" s="161">
        <v>0</v>
      </c>
      <c r="G413"/>
      <c r="H413">
        <f t="shared" si="6"/>
        <v>821</v>
      </c>
    </row>
    <row r="414" spans="1:8" x14ac:dyDescent="0.25">
      <c r="A414" s="161" t="s">
        <v>1557</v>
      </c>
      <c r="B414" s="161" t="s">
        <v>1511</v>
      </c>
      <c r="C414" s="161" t="s">
        <v>1327</v>
      </c>
      <c r="D414" s="161" t="s">
        <v>105</v>
      </c>
      <c r="E414" s="161">
        <v>0</v>
      </c>
      <c r="F414" s="161">
        <v>0</v>
      </c>
      <c r="G414"/>
      <c r="H414">
        <f t="shared" si="6"/>
        <v>273</v>
      </c>
    </row>
    <row r="415" spans="1:8" x14ac:dyDescent="0.25">
      <c r="A415" s="161" t="s">
        <v>1557</v>
      </c>
      <c r="B415" s="161" t="s">
        <v>1511</v>
      </c>
      <c r="C415" s="161" t="s">
        <v>882</v>
      </c>
      <c r="D415" s="161" t="s">
        <v>91</v>
      </c>
      <c r="E415" s="161">
        <v>0</v>
      </c>
      <c r="F415" s="161">
        <v>0</v>
      </c>
      <c r="G415"/>
      <c r="H415">
        <f t="shared" si="6"/>
        <v>882</v>
      </c>
    </row>
    <row r="416" spans="1:8" x14ac:dyDescent="0.25">
      <c r="A416" s="161" t="s">
        <v>1557</v>
      </c>
      <c r="B416" s="161" t="s">
        <v>1511</v>
      </c>
      <c r="C416" s="161" t="s">
        <v>883</v>
      </c>
      <c r="D416" s="161" t="s">
        <v>884</v>
      </c>
      <c r="E416" s="161">
        <v>0</v>
      </c>
      <c r="F416" s="161">
        <v>0</v>
      </c>
      <c r="G416"/>
      <c r="H416">
        <f t="shared" si="6"/>
        <v>189</v>
      </c>
    </row>
    <row r="417" spans="1:8" x14ac:dyDescent="0.25">
      <c r="A417" s="161" t="s">
        <v>1557</v>
      </c>
      <c r="B417" s="161" t="s">
        <v>1511</v>
      </c>
      <c r="C417" s="161" t="s">
        <v>885</v>
      </c>
      <c r="D417" s="161" t="s">
        <v>150</v>
      </c>
      <c r="E417" s="161">
        <v>0</v>
      </c>
      <c r="F417" s="161">
        <v>0</v>
      </c>
      <c r="G417"/>
      <c r="H417">
        <f t="shared" si="6"/>
        <v>832</v>
      </c>
    </row>
    <row r="418" spans="1:8" x14ac:dyDescent="0.25">
      <c r="A418" s="161" t="s">
        <v>1557</v>
      </c>
      <c r="B418" s="161" t="s">
        <v>1511</v>
      </c>
      <c r="C418" s="161" t="s">
        <v>886</v>
      </c>
      <c r="D418" s="161" t="s">
        <v>88</v>
      </c>
      <c r="E418" s="161">
        <v>0</v>
      </c>
      <c r="F418" s="161">
        <v>0</v>
      </c>
      <c r="G418"/>
      <c r="H418">
        <f t="shared" si="6"/>
        <v>1055</v>
      </c>
    </row>
    <row r="419" spans="1:8" x14ac:dyDescent="0.25">
      <c r="A419" s="161" t="s">
        <v>1557</v>
      </c>
      <c r="B419" s="161" t="s">
        <v>1511</v>
      </c>
      <c r="C419" s="161" t="s">
        <v>887</v>
      </c>
      <c r="D419" s="161" t="s">
        <v>88</v>
      </c>
      <c r="E419" s="161">
        <v>0</v>
      </c>
      <c r="F419" s="161">
        <v>0</v>
      </c>
      <c r="G419"/>
      <c r="H419">
        <f t="shared" si="6"/>
        <v>920</v>
      </c>
    </row>
    <row r="420" spans="1:8" x14ac:dyDescent="0.25">
      <c r="A420" s="161" t="s">
        <v>1557</v>
      </c>
      <c r="B420" s="161" t="s">
        <v>1511</v>
      </c>
      <c r="C420" s="161" t="s">
        <v>888</v>
      </c>
      <c r="D420" s="161" t="s">
        <v>88</v>
      </c>
      <c r="E420" s="161">
        <v>0</v>
      </c>
      <c r="F420" s="161">
        <v>0</v>
      </c>
      <c r="G420"/>
      <c r="H420">
        <f t="shared" si="6"/>
        <v>688</v>
      </c>
    </row>
    <row r="421" spans="1:8" x14ac:dyDescent="0.25">
      <c r="A421" s="161" t="s">
        <v>1557</v>
      </c>
      <c r="B421" s="161" t="s">
        <v>1511</v>
      </c>
      <c r="C421" s="161" t="s">
        <v>889</v>
      </c>
      <c r="D421" s="161" t="s">
        <v>88</v>
      </c>
      <c r="E421" s="161">
        <v>0</v>
      </c>
      <c r="F421" s="161">
        <v>0</v>
      </c>
      <c r="G421"/>
      <c r="H421">
        <f t="shared" si="6"/>
        <v>527</v>
      </c>
    </row>
    <row r="422" spans="1:8" x14ac:dyDescent="0.25">
      <c r="A422" s="161" t="s">
        <v>1557</v>
      </c>
      <c r="B422" s="161" t="s">
        <v>1511</v>
      </c>
      <c r="C422" s="161" t="s">
        <v>890</v>
      </c>
      <c r="D422" s="161" t="s">
        <v>88</v>
      </c>
      <c r="E422" s="161">
        <v>0</v>
      </c>
      <c r="F422" s="161">
        <v>0</v>
      </c>
      <c r="G422"/>
      <c r="H422">
        <f t="shared" si="6"/>
        <v>780</v>
      </c>
    </row>
    <row r="423" spans="1:8" x14ac:dyDescent="0.25">
      <c r="A423" s="161" t="s">
        <v>1557</v>
      </c>
      <c r="B423" s="161" t="s">
        <v>1511</v>
      </c>
      <c r="C423" s="161" t="s">
        <v>891</v>
      </c>
      <c r="D423" s="161" t="s">
        <v>88</v>
      </c>
      <c r="E423" s="161">
        <v>0</v>
      </c>
      <c r="F423" s="161">
        <v>0</v>
      </c>
      <c r="G423"/>
      <c r="H423">
        <f t="shared" si="6"/>
        <v>201</v>
      </c>
    </row>
    <row r="424" spans="1:8" x14ac:dyDescent="0.25">
      <c r="A424" s="161" t="s">
        <v>1557</v>
      </c>
      <c r="B424" s="161" t="s">
        <v>1511</v>
      </c>
      <c r="C424" s="161" t="s">
        <v>892</v>
      </c>
      <c r="D424" s="161" t="s">
        <v>91</v>
      </c>
      <c r="E424" s="161">
        <v>0</v>
      </c>
      <c r="F424" s="161">
        <v>0</v>
      </c>
      <c r="G424"/>
      <c r="H424">
        <f t="shared" si="6"/>
        <v>655</v>
      </c>
    </row>
    <row r="425" spans="1:8" x14ac:dyDescent="0.25">
      <c r="A425" s="161" t="s">
        <v>1557</v>
      </c>
      <c r="B425" s="161" t="s">
        <v>1511</v>
      </c>
      <c r="C425" s="161" t="s">
        <v>893</v>
      </c>
      <c r="D425" s="161" t="s">
        <v>88</v>
      </c>
      <c r="E425" s="161">
        <v>0</v>
      </c>
      <c r="F425" s="161">
        <v>0</v>
      </c>
      <c r="G425"/>
      <c r="H425">
        <f t="shared" si="6"/>
        <v>958</v>
      </c>
    </row>
    <row r="426" spans="1:8" x14ac:dyDescent="0.25">
      <c r="A426" s="161" t="s">
        <v>1557</v>
      </c>
      <c r="B426" s="161" t="s">
        <v>1511</v>
      </c>
      <c r="C426" s="161" t="s">
        <v>894</v>
      </c>
      <c r="D426" s="161" t="s">
        <v>88</v>
      </c>
      <c r="E426" s="161">
        <v>0</v>
      </c>
      <c r="F426" s="161">
        <v>0</v>
      </c>
      <c r="G426"/>
      <c r="H426">
        <f t="shared" si="6"/>
        <v>243</v>
      </c>
    </row>
    <row r="427" spans="1:8" x14ac:dyDescent="0.25">
      <c r="A427" s="161" t="s">
        <v>1557</v>
      </c>
      <c r="B427" s="161" t="s">
        <v>1511</v>
      </c>
      <c r="C427" s="161" t="s">
        <v>896</v>
      </c>
      <c r="D427" s="161" t="s">
        <v>98</v>
      </c>
      <c r="E427" s="161">
        <v>0</v>
      </c>
      <c r="F427" s="161">
        <v>0</v>
      </c>
      <c r="G427"/>
      <c r="H427">
        <f t="shared" si="6"/>
        <v>512</v>
      </c>
    </row>
    <row r="428" spans="1:8" x14ac:dyDescent="0.25">
      <c r="A428" s="161" t="s">
        <v>1557</v>
      </c>
      <c r="B428" s="161" t="s">
        <v>1511</v>
      </c>
      <c r="C428" s="161" t="s">
        <v>897</v>
      </c>
      <c r="D428" s="161" t="s">
        <v>141</v>
      </c>
      <c r="E428" s="161">
        <v>0</v>
      </c>
      <c r="F428" s="161">
        <v>0</v>
      </c>
      <c r="G428"/>
      <c r="H428">
        <f t="shared" si="6"/>
        <v>247</v>
      </c>
    </row>
    <row r="429" spans="1:8" x14ac:dyDescent="0.25">
      <c r="A429" s="161" t="s">
        <v>1557</v>
      </c>
      <c r="B429" s="161" t="s">
        <v>1511</v>
      </c>
      <c r="C429" s="161" t="s">
        <v>898</v>
      </c>
      <c r="D429" s="161" t="s">
        <v>88</v>
      </c>
      <c r="E429" s="161">
        <v>0</v>
      </c>
      <c r="F429" s="161">
        <v>0</v>
      </c>
      <c r="G429"/>
      <c r="H429">
        <f t="shared" si="6"/>
        <v>380</v>
      </c>
    </row>
    <row r="430" spans="1:8" x14ac:dyDescent="0.25">
      <c r="A430" s="161" t="s">
        <v>1557</v>
      </c>
      <c r="B430" s="161" t="s">
        <v>1511</v>
      </c>
      <c r="C430" s="161" t="s">
        <v>899</v>
      </c>
      <c r="D430" s="161" t="s">
        <v>98</v>
      </c>
      <c r="E430" s="161">
        <v>0</v>
      </c>
      <c r="F430" s="161">
        <v>0</v>
      </c>
      <c r="G430"/>
      <c r="H430">
        <f t="shared" si="6"/>
        <v>607</v>
      </c>
    </row>
    <row r="431" spans="1:8" x14ac:dyDescent="0.25">
      <c r="A431" s="161" t="s">
        <v>1557</v>
      </c>
      <c r="B431" s="161" t="s">
        <v>1511</v>
      </c>
      <c r="C431" s="161" t="s">
        <v>900</v>
      </c>
      <c r="D431" s="161" t="s">
        <v>98</v>
      </c>
      <c r="E431" s="161">
        <v>0</v>
      </c>
      <c r="F431" s="161">
        <v>0</v>
      </c>
      <c r="G431"/>
      <c r="H431">
        <f t="shared" si="6"/>
        <v>822</v>
      </c>
    </row>
    <row r="432" spans="1:8" x14ac:dyDescent="0.25">
      <c r="A432" s="161" t="s">
        <v>1557</v>
      </c>
      <c r="B432" s="161" t="s">
        <v>1511</v>
      </c>
      <c r="C432" s="161" t="s">
        <v>901</v>
      </c>
      <c r="D432" s="161" t="s">
        <v>91</v>
      </c>
      <c r="E432" s="161">
        <v>0</v>
      </c>
      <c r="F432" s="161">
        <v>0</v>
      </c>
      <c r="G432"/>
      <c r="H432">
        <f t="shared" si="6"/>
        <v>166</v>
      </c>
    </row>
    <row r="433" spans="1:8" x14ac:dyDescent="0.25">
      <c r="A433" s="161" t="s">
        <v>1557</v>
      </c>
      <c r="B433" s="161" t="s">
        <v>1511</v>
      </c>
      <c r="C433" s="161" t="s">
        <v>902</v>
      </c>
      <c r="D433" s="161" t="s">
        <v>91</v>
      </c>
      <c r="E433" s="161">
        <v>0</v>
      </c>
      <c r="F433" s="161">
        <v>0</v>
      </c>
      <c r="G433"/>
      <c r="H433">
        <f t="shared" si="6"/>
        <v>365</v>
      </c>
    </row>
    <row r="434" spans="1:8" x14ac:dyDescent="0.25">
      <c r="A434" s="161" t="s">
        <v>1557</v>
      </c>
      <c r="B434" s="161" t="s">
        <v>1511</v>
      </c>
      <c r="C434" s="161" t="s">
        <v>903</v>
      </c>
      <c r="D434" s="161" t="s">
        <v>91</v>
      </c>
      <c r="E434" s="161">
        <v>0</v>
      </c>
      <c r="F434" s="161">
        <v>0</v>
      </c>
      <c r="G434"/>
      <c r="H434">
        <f t="shared" si="6"/>
        <v>401</v>
      </c>
    </row>
    <row r="435" spans="1:8" x14ac:dyDescent="0.25">
      <c r="A435" s="161" t="s">
        <v>1557</v>
      </c>
      <c r="B435" s="161" t="s">
        <v>1511</v>
      </c>
      <c r="C435" s="161" t="s">
        <v>904</v>
      </c>
      <c r="D435" s="161" t="s">
        <v>88</v>
      </c>
      <c r="E435" s="161">
        <v>0</v>
      </c>
      <c r="F435" s="161">
        <v>0</v>
      </c>
      <c r="G435"/>
      <c r="H435">
        <f t="shared" si="6"/>
        <v>1058</v>
      </c>
    </row>
    <row r="436" spans="1:8" x14ac:dyDescent="0.25">
      <c r="A436" s="161" t="s">
        <v>1557</v>
      </c>
      <c r="B436" s="161" t="s">
        <v>1511</v>
      </c>
      <c r="C436" s="161" t="s">
        <v>905</v>
      </c>
      <c r="D436" s="161" t="s">
        <v>88</v>
      </c>
      <c r="E436" s="161">
        <v>0</v>
      </c>
      <c r="F436" s="161">
        <v>0</v>
      </c>
      <c r="G436"/>
      <c r="H436">
        <f t="shared" si="6"/>
        <v>174</v>
      </c>
    </row>
    <row r="437" spans="1:8" x14ac:dyDescent="0.25">
      <c r="A437" s="161" t="s">
        <v>1557</v>
      </c>
      <c r="B437" s="161" t="s">
        <v>1511</v>
      </c>
      <c r="C437" s="161" t="s">
        <v>906</v>
      </c>
      <c r="D437" s="161" t="s">
        <v>144</v>
      </c>
      <c r="E437" s="161">
        <v>0</v>
      </c>
      <c r="F437" s="161">
        <v>0</v>
      </c>
      <c r="G437"/>
      <c r="H437">
        <f t="shared" si="6"/>
        <v>410</v>
      </c>
    </row>
    <row r="438" spans="1:8" x14ac:dyDescent="0.25">
      <c r="A438" s="161" t="s">
        <v>1557</v>
      </c>
      <c r="B438" s="161" t="s">
        <v>1511</v>
      </c>
      <c r="C438" s="161" t="s">
        <v>907</v>
      </c>
      <c r="D438" s="161" t="s">
        <v>88</v>
      </c>
      <c r="E438" s="161">
        <v>0</v>
      </c>
      <c r="F438" s="161">
        <v>0</v>
      </c>
      <c r="G438"/>
      <c r="H438">
        <f t="shared" si="6"/>
        <v>425</v>
      </c>
    </row>
    <row r="439" spans="1:8" x14ac:dyDescent="0.25">
      <c r="A439" s="161" t="s">
        <v>1557</v>
      </c>
      <c r="B439" s="161" t="s">
        <v>1511</v>
      </c>
      <c r="C439" s="161" t="s">
        <v>908</v>
      </c>
      <c r="D439" s="161" t="s">
        <v>91</v>
      </c>
      <c r="E439" s="161">
        <v>0</v>
      </c>
      <c r="F439" s="161">
        <v>0</v>
      </c>
      <c r="G439"/>
      <c r="H439">
        <f t="shared" si="6"/>
        <v>608</v>
      </c>
    </row>
    <row r="440" spans="1:8" x14ac:dyDescent="0.25">
      <c r="A440" s="161" t="s">
        <v>1557</v>
      </c>
      <c r="B440" s="161" t="s">
        <v>1511</v>
      </c>
      <c r="C440" s="161" t="s">
        <v>794</v>
      </c>
      <c r="D440" s="161" t="s">
        <v>98</v>
      </c>
      <c r="E440" s="161">
        <v>0</v>
      </c>
      <c r="F440" s="161">
        <v>0</v>
      </c>
      <c r="G440"/>
      <c r="H440">
        <f t="shared" si="6"/>
        <v>553</v>
      </c>
    </row>
    <row r="441" spans="1:8" x14ac:dyDescent="0.25">
      <c r="A441" s="161" t="s">
        <v>1557</v>
      </c>
      <c r="B441" s="161" t="s">
        <v>1511</v>
      </c>
      <c r="C441" s="161" t="s">
        <v>909</v>
      </c>
      <c r="D441" s="161" t="s">
        <v>88</v>
      </c>
      <c r="E441" s="161">
        <v>0</v>
      </c>
      <c r="F441" s="161">
        <v>0</v>
      </c>
      <c r="G441"/>
      <c r="H441">
        <f t="shared" si="6"/>
        <v>540</v>
      </c>
    </row>
    <row r="442" spans="1:8" x14ac:dyDescent="0.25">
      <c r="A442" s="161" t="s">
        <v>1557</v>
      </c>
      <c r="B442" s="161" t="s">
        <v>1511</v>
      </c>
      <c r="C442" s="161" t="s">
        <v>910</v>
      </c>
      <c r="D442" s="161" t="s">
        <v>98</v>
      </c>
      <c r="E442" s="161">
        <v>0</v>
      </c>
      <c r="F442" s="161">
        <v>0</v>
      </c>
      <c r="G442"/>
      <c r="H442">
        <f t="shared" si="6"/>
        <v>260</v>
      </c>
    </row>
    <row r="443" spans="1:8" x14ac:dyDescent="0.25">
      <c r="A443" s="161" t="s">
        <v>1557</v>
      </c>
      <c r="B443" s="161" t="s">
        <v>1511</v>
      </c>
      <c r="C443" s="161" t="s">
        <v>911</v>
      </c>
      <c r="D443" s="161" t="s">
        <v>91</v>
      </c>
      <c r="E443" s="161">
        <v>0</v>
      </c>
      <c r="F443" s="161">
        <v>0</v>
      </c>
      <c r="G443"/>
      <c r="H443">
        <f t="shared" si="6"/>
        <v>303</v>
      </c>
    </row>
    <row r="444" spans="1:8" x14ac:dyDescent="0.25">
      <c r="A444" s="161" t="s">
        <v>1557</v>
      </c>
      <c r="B444" s="161" t="s">
        <v>1511</v>
      </c>
      <c r="C444" s="161" t="s">
        <v>912</v>
      </c>
      <c r="D444" s="161" t="s">
        <v>88</v>
      </c>
      <c r="E444" s="161">
        <v>0</v>
      </c>
      <c r="F444" s="161">
        <v>0</v>
      </c>
      <c r="G444"/>
      <c r="H444">
        <f t="shared" si="6"/>
        <v>979</v>
      </c>
    </row>
    <row r="445" spans="1:8" x14ac:dyDescent="0.25">
      <c r="A445" s="161" t="s">
        <v>1557</v>
      </c>
      <c r="B445" s="161" t="s">
        <v>1511</v>
      </c>
      <c r="C445" s="161" t="s">
        <v>666</v>
      </c>
      <c r="D445" s="161" t="s">
        <v>105</v>
      </c>
      <c r="E445" s="161">
        <v>0</v>
      </c>
      <c r="F445" s="161">
        <v>0</v>
      </c>
      <c r="G445"/>
      <c r="H445">
        <f t="shared" si="6"/>
        <v>817</v>
      </c>
    </row>
    <row r="446" spans="1:8" x14ac:dyDescent="0.25">
      <c r="A446" s="161" t="s">
        <v>1557</v>
      </c>
      <c r="B446" s="161" t="s">
        <v>1511</v>
      </c>
      <c r="C446" s="161" t="s">
        <v>913</v>
      </c>
      <c r="D446" s="161" t="s">
        <v>91</v>
      </c>
      <c r="E446" s="161">
        <v>0</v>
      </c>
      <c r="F446" s="161">
        <v>0</v>
      </c>
      <c r="G446"/>
      <c r="H446">
        <f t="shared" si="6"/>
        <v>943</v>
      </c>
    </row>
    <row r="447" spans="1:8" x14ac:dyDescent="0.25">
      <c r="A447" s="161" t="s">
        <v>1557</v>
      </c>
      <c r="B447" s="161" t="s">
        <v>1511</v>
      </c>
      <c r="C447" s="161" t="s">
        <v>914</v>
      </c>
      <c r="D447" s="161" t="s">
        <v>88</v>
      </c>
      <c r="E447" s="161">
        <v>0</v>
      </c>
      <c r="F447" s="161">
        <v>0</v>
      </c>
      <c r="G447"/>
      <c r="H447">
        <f t="shared" si="6"/>
        <v>236</v>
      </c>
    </row>
    <row r="448" spans="1:8" x14ac:dyDescent="0.25">
      <c r="A448" s="161" t="s">
        <v>1557</v>
      </c>
      <c r="B448" s="161" t="s">
        <v>1511</v>
      </c>
      <c r="C448" s="161" t="s">
        <v>915</v>
      </c>
      <c r="D448" s="161" t="s">
        <v>88</v>
      </c>
      <c r="E448" s="161">
        <v>0</v>
      </c>
      <c r="F448" s="161">
        <v>0</v>
      </c>
      <c r="G448"/>
      <c r="H448">
        <f t="shared" si="6"/>
        <v>295</v>
      </c>
    </row>
    <row r="449" spans="1:8" x14ac:dyDescent="0.25">
      <c r="A449" s="161" t="s">
        <v>1557</v>
      </c>
      <c r="B449" s="161" t="s">
        <v>1511</v>
      </c>
      <c r="C449" s="161" t="s">
        <v>916</v>
      </c>
      <c r="D449" s="161" t="s">
        <v>110</v>
      </c>
      <c r="E449" s="161">
        <v>0</v>
      </c>
      <c r="F449" s="161">
        <v>0</v>
      </c>
      <c r="G449"/>
      <c r="H449">
        <f t="shared" si="6"/>
        <v>626</v>
      </c>
    </row>
    <row r="450" spans="1:8" x14ac:dyDescent="0.25">
      <c r="A450" s="161" t="s">
        <v>1557</v>
      </c>
      <c r="B450" s="161" t="s">
        <v>1511</v>
      </c>
      <c r="C450" s="161" t="s">
        <v>917</v>
      </c>
      <c r="D450" s="161" t="s">
        <v>91</v>
      </c>
      <c r="E450" s="161">
        <v>0</v>
      </c>
      <c r="F450" s="161">
        <v>0</v>
      </c>
      <c r="G450"/>
      <c r="H450">
        <f t="shared" ref="H450:H513" si="7">SUMPRODUCT((C$2:C$1090 &lt; C450)+(C450="")*1000)</f>
        <v>341</v>
      </c>
    </row>
    <row r="451" spans="1:8" x14ac:dyDescent="0.25">
      <c r="A451" s="161" t="s">
        <v>1557</v>
      </c>
      <c r="B451" s="161" t="s">
        <v>1511</v>
      </c>
      <c r="C451" s="161" t="s">
        <v>918</v>
      </c>
      <c r="D451" s="161" t="s">
        <v>110</v>
      </c>
      <c r="E451" s="161">
        <v>0</v>
      </c>
      <c r="F451" s="161">
        <v>0</v>
      </c>
      <c r="G451"/>
      <c r="H451">
        <f t="shared" si="7"/>
        <v>813</v>
      </c>
    </row>
    <row r="452" spans="1:8" x14ac:dyDescent="0.25">
      <c r="A452" s="161" t="s">
        <v>1557</v>
      </c>
      <c r="B452" s="161" t="s">
        <v>1511</v>
      </c>
      <c r="C452" s="161" t="s">
        <v>801</v>
      </c>
      <c r="D452" s="161" t="s">
        <v>88</v>
      </c>
      <c r="E452" s="161">
        <v>0</v>
      </c>
      <c r="F452" s="161">
        <v>0</v>
      </c>
      <c r="G452"/>
      <c r="H452">
        <f t="shared" si="7"/>
        <v>737</v>
      </c>
    </row>
    <row r="453" spans="1:8" x14ac:dyDescent="0.25">
      <c r="A453" s="161" t="s">
        <v>1557</v>
      </c>
      <c r="B453" s="161" t="s">
        <v>1511</v>
      </c>
      <c r="C453" s="161" t="s">
        <v>919</v>
      </c>
      <c r="D453" s="161" t="s">
        <v>88</v>
      </c>
      <c r="E453" s="161">
        <v>0</v>
      </c>
      <c r="F453" s="161">
        <v>0</v>
      </c>
      <c r="G453"/>
      <c r="H453">
        <f t="shared" si="7"/>
        <v>381</v>
      </c>
    </row>
    <row r="454" spans="1:8" x14ac:dyDescent="0.25">
      <c r="A454" s="161" t="s">
        <v>1557</v>
      </c>
      <c r="B454" s="161" t="s">
        <v>1511</v>
      </c>
      <c r="C454" s="161" t="s">
        <v>920</v>
      </c>
      <c r="D454" s="161" t="s">
        <v>91</v>
      </c>
      <c r="E454" s="161">
        <v>0</v>
      </c>
      <c r="F454" s="161">
        <v>0</v>
      </c>
      <c r="G454"/>
      <c r="H454">
        <f t="shared" si="7"/>
        <v>1065</v>
      </c>
    </row>
    <row r="455" spans="1:8" x14ac:dyDescent="0.25">
      <c r="A455" s="161" t="s">
        <v>1557</v>
      </c>
      <c r="B455" s="161" t="s">
        <v>1511</v>
      </c>
      <c r="C455" s="161" t="s">
        <v>921</v>
      </c>
      <c r="D455" s="161" t="s">
        <v>91</v>
      </c>
      <c r="E455" s="161">
        <v>0</v>
      </c>
      <c r="F455" s="161">
        <v>0</v>
      </c>
      <c r="G455"/>
      <c r="H455">
        <f t="shared" si="7"/>
        <v>282</v>
      </c>
    </row>
    <row r="456" spans="1:8" x14ac:dyDescent="0.25">
      <c r="A456" s="161" t="s">
        <v>1557</v>
      </c>
      <c r="B456" s="161" t="s">
        <v>1511</v>
      </c>
      <c r="C456" s="161" t="s">
        <v>922</v>
      </c>
      <c r="D456" s="161" t="s">
        <v>91</v>
      </c>
      <c r="E456" s="161">
        <v>0</v>
      </c>
      <c r="F456" s="161">
        <v>0</v>
      </c>
      <c r="G456"/>
      <c r="H456">
        <f t="shared" si="7"/>
        <v>389</v>
      </c>
    </row>
    <row r="457" spans="1:8" x14ac:dyDescent="0.25">
      <c r="A457" s="161" t="s">
        <v>1557</v>
      </c>
      <c r="B457" s="161" t="s">
        <v>1511</v>
      </c>
      <c r="C457" s="161" t="s">
        <v>923</v>
      </c>
      <c r="D457" s="161" t="s">
        <v>276</v>
      </c>
      <c r="E457" s="161">
        <v>0</v>
      </c>
      <c r="F457" s="161">
        <v>0</v>
      </c>
      <c r="G457"/>
      <c r="H457">
        <f t="shared" si="7"/>
        <v>1032</v>
      </c>
    </row>
    <row r="458" spans="1:8" x14ac:dyDescent="0.25">
      <c r="A458" s="161" t="s">
        <v>1557</v>
      </c>
      <c r="B458" s="161" t="s">
        <v>1511</v>
      </c>
      <c r="C458" s="161" t="s">
        <v>863</v>
      </c>
      <c r="D458" s="161" t="s">
        <v>91</v>
      </c>
      <c r="E458" s="161">
        <v>0</v>
      </c>
      <c r="F458" s="161">
        <v>0</v>
      </c>
      <c r="G458"/>
      <c r="H458">
        <f t="shared" si="7"/>
        <v>286</v>
      </c>
    </row>
    <row r="459" spans="1:8" x14ac:dyDescent="0.25">
      <c r="A459" s="161" t="s">
        <v>1557</v>
      </c>
      <c r="B459" s="161" t="s">
        <v>1511</v>
      </c>
      <c r="C459" s="161" t="s">
        <v>924</v>
      </c>
      <c r="D459" s="161" t="s">
        <v>91</v>
      </c>
      <c r="E459" s="161">
        <v>0</v>
      </c>
      <c r="F459" s="161">
        <v>0</v>
      </c>
      <c r="G459"/>
      <c r="H459">
        <f t="shared" si="7"/>
        <v>904</v>
      </c>
    </row>
    <row r="460" spans="1:8" x14ac:dyDescent="0.25">
      <c r="A460" s="161" t="s">
        <v>1557</v>
      </c>
      <c r="B460" s="161" t="s">
        <v>1511</v>
      </c>
      <c r="C460" s="161" t="s">
        <v>925</v>
      </c>
      <c r="D460" s="161" t="s">
        <v>98</v>
      </c>
      <c r="E460" s="161">
        <v>0</v>
      </c>
      <c r="F460" s="161">
        <v>0</v>
      </c>
      <c r="G460"/>
      <c r="H460">
        <f t="shared" si="7"/>
        <v>696</v>
      </c>
    </row>
    <row r="461" spans="1:8" x14ac:dyDescent="0.25">
      <c r="A461" s="161" t="s">
        <v>1557</v>
      </c>
      <c r="B461" s="161" t="s">
        <v>1511</v>
      </c>
      <c r="C461" s="161" t="s">
        <v>926</v>
      </c>
      <c r="D461" s="161" t="s">
        <v>98</v>
      </c>
      <c r="E461" s="161">
        <v>0</v>
      </c>
      <c r="F461" s="161">
        <v>0</v>
      </c>
      <c r="G461"/>
      <c r="H461">
        <f t="shared" si="7"/>
        <v>1071</v>
      </c>
    </row>
    <row r="462" spans="1:8" x14ac:dyDescent="0.25">
      <c r="A462" s="161" t="s">
        <v>1557</v>
      </c>
      <c r="B462" s="161" t="s">
        <v>1511</v>
      </c>
      <c r="C462" s="161" t="s">
        <v>927</v>
      </c>
      <c r="D462" s="161" t="s">
        <v>91</v>
      </c>
      <c r="E462" s="161">
        <v>0</v>
      </c>
      <c r="F462" s="161">
        <v>0</v>
      </c>
      <c r="G462"/>
      <c r="H462">
        <f t="shared" si="7"/>
        <v>366</v>
      </c>
    </row>
    <row r="463" spans="1:8" x14ac:dyDescent="0.25">
      <c r="A463" s="161" t="s">
        <v>1557</v>
      </c>
      <c r="B463" s="161" t="s">
        <v>1511</v>
      </c>
      <c r="C463" s="161" t="s">
        <v>928</v>
      </c>
      <c r="D463" s="161" t="s">
        <v>91</v>
      </c>
      <c r="E463" s="161">
        <v>0</v>
      </c>
      <c r="F463" s="161">
        <v>0</v>
      </c>
      <c r="G463"/>
      <c r="H463">
        <f t="shared" si="7"/>
        <v>509</v>
      </c>
    </row>
    <row r="464" spans="1:8" x14ac:dyDescent="0.25">
      <c r="A464" s="161" t="s">
        <v>1557</v>
      </c>
      <c r="B464" s="161" t="s">
        <v>1511</v>
      </c>
      <c r="C464" s="161" t="s">
        <v>929</v>
      </c>
      <c r="D464" s="161" t="s">
        <v>91</v>
      </c>
      <c r="E464" s="161">
        <v>0</v>
      </c>
      <c r="F464" s="161">
        <v>0</v>
      </c>
      <c r="G464"/>
      <c r="H464">
        <f t="shared" si="7"/>
        <v>1012</v>
      </c>
    </row>
    <row r="465" spans="1:8" x14ac:dyDescent="0.25">
      <c r="A465" s="161" t="s">
        <v>1557</v>
      </c>
      <c r="B465" s="161" t="s">
        <v>1511</v>
      </c>
      <c r="C465" s="161" t="s">
        <v>931</v>
      </c>
      <c r="D465" s="161" t="s">
        <v>91</v>
      </c>
      <c r="E465" s="161">
        <v>0</v>
      </c>
      <c r="F465" s="161">
        <v>0</v>
      </c>
      <c r="G465"/>
      <c r="H465">
        <f t="shared" si="7"/>
        <v>250</v>
      </c>
    </row>
    <row r="466" spans="1:8" x14ac:dyDescent="0.25">
      <c r="A466" s="161" t="s">
        <v>1557</v>
      </c>
      <c r="B466" s="161" t="s">
        <v>1511</v>
      </c>
      <c r="C466" s="161" t="s">
        <v>932</v>
      </c>
      <c r="D466" s="161" t="s">
        <v>141</v>
      </c>
      <c r="E466" s="161">
        <v>0</v>
      </c>
      <c r="F466" s="161">
        <v>0</v>
      </c>
      <c r="G466"/>
      <c r="H466">
        <f t="shared" si="7"/>
        <v>1072</v>
      </c>
    </row>
    <row r="467" spans="1:8" x14ac:dyDescent="0.25">
      <c r="A467" s="161" t="s">
        <v>1557</v>
      </c>
      <c r="B467" s="161" t="s">
        <v>1511</v>
      </c>
      <c r="C467" s="161" t="s">
        <v>933</v>
      </c>
      <c r="D467" s="161" t="s">
        <v>88</v>
      </c>
      <c r="E467" s="161">
        <v>0</v>
      </c>
      <c r="F467" s="161">
        <v>0</v>
      </c>
      <c r="G467"/>
      <c r="H467">
        <f t="shared" si="7"/>
        <v>460</v>
      </c>
    </row>
    <row r="468" spans="1:8" x14ac:dyDescent="0.25">
      <c r="A468" s="161" t="s">
        <v>1557</v>
      </c>
      <c r="B468" s="161" t="s">
        <v>1511</v>
      </c>
      <c r="C468" s="161" t="s">
        <v>934</v>
      </c>
      <c r="D468" s="161" t="s">
        <v>88</v>
      </c>
      <c r="E468" s="161">
        <v>0</v>
      </c>
      <c r="F468" s="161">
        <v>0</v>
      </c>
      <c r="G468"/>
      <c r="H468">
        <f t="shared" si="7"/>
        <v>895</v>
      </c>
    </row>
    <row r="469" spans="1:8" x14ac:dyDescent="0.25">
      <c r="A469" s="161" t="s">
        <v>1557</v>
      </c>
      <c r="B469" s="161" t="s">
        <v>1511</v>
      </c>
      <c r="C469" s="161" t="s">
        <v>935</v>
      </c>
      <c r="D469" s="161" t="s">
        <v>98</v>
      </c>
      <c r="E469" s="161">
        <v>0</v>
      </c>
      <c r="F469" s="161">
        <v>0</v>
      </c>
      <c r="G469"/>
      <c r="H469">
        <f t="shared" si="7"/>
        <v>318</v>
      </c>
    </row>
    <row r="470" spans="1:8" x14ac:dyDescent="0.25">
      <c r="A470" s="161" t="s">
        <v>1557</v>
      </c>
      <c r="B470" s="161" t="s">
        <v>1511</v>
      </c>
      <c r="C470" s="161" t="s">
        <v>936</v>
      </c>
      <c r="D470" s="161" t="s">
        <v>88</v>
      </c>
      <c r="E470" s="161">
        <v>0</v>
      </c>
      <c r="F470" s="161">
        <v>0</v>
      </c>
      <c r="G470"/>
      <c r="H470">
        <f t="shared" si="7"/>
        <v>834</v>
      </c>
    </row>
    <row r="471" spans="1:8" x14ac:dyDescent="0.25">
      <c r="A471" s="161" t="s">
        <v>1557</v>
      </c>
      <c r="B471" s="161" t="s">
        <v>1511</v>
      </c>
      <c r="C471" s="161" t="s">
        <v>937</v>
      </c>
      <c r="D471" s="161" t="s">
        <v>88</v>
      </c>
      <c r="E471" s="161">
        <v>0</v>
      </c>
      <c r="F471" s="161">
        <v>0</v>
      </c>
      <c r="G471"/>
      <c r="H471">
        <f t="shared" si="7"/>
        <v>980</v>
      </c>
    </row>
    <row r="472" spans="1:8" x14ac:dyDescent="0.25">
      <c r="A472" s="161" t="s">
        <v>1557</v>
      </c>
      <c r="B472" s="161" t="s">
        <v>1511</v>
      </c>
      <c r="C472" s="161" t="s">
        <v>938</v>
      </c>
      <c r="D472" s="161" t="s">
        <v>105</v>
      </c>
      <c r="E472" s="161">
        <v>0</v>
      </c>
      <c r="F472" s="161">
        <v>0</v>
      </c>
      <c r="G472"/>
      <c r="H472">
        <f t="shared" si="7"/>
        <v>954</v>
      </c>
    </row>
    <row r="473" spans="1:8" x14ac:dyDescent="0.25">
      <c r="A473" s="161" t="s">
        <v>1557</v>
      </c>
      <c r="B473" s="161" t="s">
        <v>1511</v>
      </c>
      <c r="C473" s="161" t="s">
        <v>939</v>
      </c>
      <c r="D473" s="161" t="s">
        <v>98</v>
      </c>
      <c r="E473" s="161">
        <v>0</v>
      </c>
      <c r="F473" s="161">
        <v>0</v>
      </c>
      <c r="G473"/>
      <c r="H473">
        <f t="shared" si="7"/>
        <v>933</v>
      </c>
    </row>
    <row r="474" spans="1:8" x14ac:dyDescent="0.25">
      <c r="A474" s="161" t="s">
        <v>1557</v>
      </c>
      <c r="B474" s="161" t="s">
        <v>1511</v>
      </c>
      <c r="C474" s="161" t="s">
        <v>940</v>
      </c>
      <c r="D474" s="161" t="s">
        <v>91</v>
      </c>
      <c r="E474" s="161">
        <v>0</v>
      </c>
      <c r="F474" s="161">
        <v>0</v>
      </c>
      <c r="G474"/>
      <c r="H474">
        <f t="shared" si="7"/>
        <v>1010</v>
      </c>
    </row>
    <row r="475" spans="1:8" x14ac:dyDescent="0.25">
      <c r="A475" s="161" t="s">
        <v>1557</v>
      </c>
      <c r="B475" s="161" t="s">
        <v>1511</v>
      </c>
      <c r="C475" s="161" t="s">
        <v>941</v>
      </c>
      <c r="D475" s="161" t="s">
        <v>91</v>
      </c>
      <c r="E475" s="161">
        <v>0</v>
      </c>
      <c r="F475" s="161">
        <v>0</v>
      </c>
      <c r="G475"/>
      <c r="H475">
        <f t="shared" si="7"/>
        <v>758</v>
      </c>
    </row>
    <row r="476" spans="1:8" x14ac:dyDescent="0.25">
      <c r="A476" s="161" t="s">
        <v>1557</v>
      </c>
      <c r="B476" s="161" t="s">
        <v>1511</v>
      </c>
      <c r="C476" s="161" t="s">
        <v>651</v>
      </c>
      <c r="D476" s="161" t="s">
        <v>98</v>
      </c>
      <c r="E476" s="161">
        <v>0</v>
      </c>
      <c r="F476" s="161">
        <v>0</v>
      </c>
      <c r="G476"/>
      <c r="H476">
        <f t="shared" si="7"/>
        <v>281</v>
      </c>
    </row>
    <row r="477" spans="1:8" x14ac:dyDescent="0.25">
      <c r="A477" s="161" t="s">
        <v>1557</v>
      </c>
      <c r="B477" s="161" t="s">
        <v>1511</v>
      </c>
      <c r="C477" s="161" t="s">
        <v>942</v>
      </c>
      <c r="D477" s="161" t="s">
        <v>91</v>
      </c>
      <c r="E477" s="161">
        <v>0</v>
      </c>
      <c r="F477" s="161">
        <v>0</v>
      </c>
      <c r="G477"/>
      <c r="H477">
        <f t="shared" si="7"/>
        <v>342</v>
      </c>
    </row>
    <row r="478" spans="1:8" x14ac:dyDescent="0.25">
      <c r="A478" s="161" t="s">
        <v>1557</v>
      </c>
      <c r="B478" s="161" t="s">
        <v>1511</v>
      </c>
      <c r="C478" s="161" t="s">
        <v>943</v>
      </c>
      <c r="D478" s="161" t="s">
        <v>91</v>
      </c>
      <c r="E478" s="161">
        <v>0</v>
      </c>
      <c r="F478" s="161">
        <v>0</v>
      </c>
      <c r="G478"/>
      <c r="H478">
        <f t="shared" si="7"/>
        <v>949</v>
      </c>
    </row>
    <row r="479" spans="1:8" x14ac:dyDescent="0.25">
      <c r="A479" s="161" t="s">
        <v>1557</v>
      </c>
      <c r="B479" s="161" t="s">
        <v>1511</v>
      </c>
      <c r="C479" s="161" t="s">
        <v>944</v>
      </c>
      <c r="D479" s="161" t="s">
        <v>112</v>
      </c>
      <c r="E479" s="161">
        <v>0</v>
      </c>
      <c r="F479" s="161">
        <v>0</v>
      </c>
      <c r="G479"/>
      <c r="H479">
        <f t="shared" si="7"/>
        <v>671</v>
      </c>
    </row>
    <row r="480" spans="1:8" x14ac:dyDescent="0.25">
      <c r="A480" s="161" t="s">
        <v>1557</v>
      </c>
      <c r="B480" s="161" t="s">
        <v>1511</v>
      </c>
      <c r="C480" s="161" t="s">
        <v>780</v>
      </c>
      <c r="D480" s="161" t="s">
        <v>152</v>
      </c>
      <c r="E480" s="161">
        <v>0</v>
      </c>
      <c r="F480" s="161">
        <v>0</v>
      </c>
      <c r="G480"/>
      <c r="H480">
        <f t="shared" si="7"/>
        <v>644</v>
      </c>
    </row>
    <row r="481" spans="1:8" x14ac:dyDescent="0.25">
      <c r="A481" s="161" t="s">
        <v>1557</v>
      </c>
      <c r="B481" s="161" t="s">
        <v>1511</v>
      </c>
      <c r="C481" s="161" t="s">
        <v>945</v>
      </c>
      <c r="D481" s="161" t="s">
        <v>91</v>
      </c>
      <c r="E481" s="161">
        <v>0</v>
      </c>
      <c r="F481" s="161">
        <v>0</v>
      </c>
      <c r="G481"/>
      <c r="H481">
        <f t="shared" si="7"/>
        <v>197</v>
      </c>
    </row>
    <row r="482" spans="1:8" x14ac:dyDescent="0.25">
      <c r="A482" s="161" t="s">
        <v>1557</v>
      </c>
      <c r="B482" s="161" t="s">
        <v>1511</v>
      </c>
      <c r="C482" s="161" t="s">
        <v>736</v>
      </c>
      <c r="D482" s="161" t="s">
        <v>91</v>
      </c>
      <c r="E482" s="161">
        <v>0</v>
      </c>
      <c r="F482" s="161">
        <v>0</v>
      </c>
      <c r="G482"/>
      <c r="H482">
        <f t="shared" si="7"/>
        <v>172</v>
      </c>
    </row>
    <row r="483" spans="1:8" x14ac:dyDescent="0.25">
      <c r="A483" s="161" t="s">
        <v>1557</v>
      </c>
      <c r="B483" s="161" t="s">
        <v>1511</v>
      </c>
      <c r="C483" s="161" t="s">
        <v>946</v>
      </c>
      <c r="D483" s="161" t="s">
        <v>88</v>
      </c>
      <c r="E483" s="161">
        <v>0</v>
      </c>
      <c r="F483" s="161">
        <v>0</v>
      </c>
      <c r="G483"/>
      <c r="H483">
        <f t="shared" si="7"/>
        <v>528</v>
      </c>
    </row>
    <row r="484" spans="1:8" x14ac:dyDescent="0.25">
      <c r="A484" s="161" t="s">
        <v>1557</v>
      </c>
      <c r="B484" s="161" t="s">
        <v>1511</v>
      </c>
      <c r="C484" s="161" t="s">
        <v>947</v>
      </c>
      <c r="D484" s="161" t="s">
        <v>88</v>
      </c>
      <c r="E484" s="161">
        <v>0</v>
      </c>
      <c r="F484" s="161">
        <v>0</v>
      </c>
      <c r="G484"/>
      <c r="H484">
        <f t="shared" si="7"/>
        <v>244</v>
      </c>
    </row>
    <row r="485" spans="1:8" x14ac:dyDescent="0.25">
      <c r="A485" s="161" t="s">
        <v>1557</v>
      </c>
      <c r="B485" s="161" t="s">
        <v>1511</v>
      </c>
      <c r="C485" s="161" t="s">
        <v>948</v>
      </c>
      <c r="D485" s="161" t="s">
        <v>91</v>
      </c>
      <c r="E485" s="161">
        <v>0</v>
      </c>
      <c r="F485" s="161">
        <v>0</v>
      </c>
      <c r="G485"/>
      <c r="H485">
        <f t="shared" si="7"/>
        <v>863</v>
      </c>
    </row>
    <row r="486" spans="1:8" x14ac:dyDescent="0.25">
      <c r="A486" s="161" t="s">
        <v>1557</v>
      </c>
      <c r="B486" s="161" t="s">
        <v>1511</v>
      </c>
      <c r="C486" s="161" t="s">
        <v>949</v>
      </c>
      <c r="D486" s="161" t="s">
        <v>88</v>
      </c>
      <c r="E486" s="161">
        <v>0</v>
      </c>
      <c r="F486" s="161">
        <v>0</v>
      </c>
      <c r="G486"/>
      <c r="H486">
        <f t="shared" si="7"/>
        <v>960</v>
      </c>
    </row>
    <row r="487" spans="1:8" x14ac:dyDescent="0.25">
      <c r="A487" s="161" t="s">
        <v>1557</v>
      </c>
      <c r="B487" s="161" t="s">
        <v>1511</v>
      </c>
      <c r="C487" s="161" t="s">
        <v>950</v>
      </c>
      <c r="D487" s="161" t="s">
        <v>88</v>
      </c>
      <c r="E487" s="161">
        <v>0</v>
      </c>
      <c r="F487" s="161">
        <v>0</v>
      </c>
      <c r="G487"/>
      <c r="H487">
        <f t="shared" si="7"/>
        <v>788</v>
      </c>
    </row>
    <row r="488" spans="1:8" x14ac:dyDescent="0.25">
      <c r="A488" s="161" t="s">
        <v>1557</v>
      </c>
      <c r="B488" s="161" t="s">
        <v>1511</v>
      </c>
      <c r="C488" s="161" t="s">
        <v>951</v>
      </c>
      <c r="D488" s="161" t="s">
        <v>88</v>
      </c>
      <c r="E488" s="161">
        <v>0</v>
      </c>
      <c r="F488" s="161">
        <v>0</v>
      </c>
      <c r="G488"/>
      <c r="H488">
        <f t="shared" si="7"/>
        <v>461</v>
      </c>
    </row>
    <row r="489" spans="1:8" x14ac:dyDescent="0.25">
      <c r="A489" s="161" t="s">
        <v>1557</v>
      </c>
      <c r="B489" s="161" t="s">
        <v>1511</v>
      </c>
      <c r="C489" s="161" t="s">
        <v>952</v>
      </c>
      <c r="D489" s="161" t="s">
        <v>88</v>
      </c>
      <c r="E489" s="161">
        <v>0</v>
      </c>
      <c r="F489" s="161">
        <v>0</v>
      </c>
      <c r="G489"/>
      <c r="H489">
        <f t="shared" si="7"/>
        <v>388</v>
      </c>
    </row>
    <row r="490" spans="1:8" x14ac:dyDescent="0.25">
      <c r="A490" s="161" t="s">
        <v>1557</v>
      </c>
      <c r="B490" s="161" t="s">
        <v>1511</v>
      </c>
      <c r="C490" s="161" t="s">
        <v>953</v>
      </c>
      <c r="D490" s="161" t="s">
        <v>91</v>
      </c>
      <c r="E490" s="161">
        <v>0</v>
      </c>
      <c r="F490" s="161">
        <v>0</v>
      </c>
      <c r="G490"/>
      <c r="H490">
        <f t="shared" si="7"/>
        <v>551</v>
      </c>
    </row>
    <row r="491" spans="1:8" x14ac:dyDescent="0.25">
      <c r="A491" s="161" t="s">
        <v>1557</v>
      </c>
      <c r="B491" s="161" t="s">
        <v>1511</v>
      </c>
      <c r="C491" s="161" t="s">
        <v>954</v>
      </c>
      <c r="D491" s="161" t="s">
        <v>91</v>
      </c>
      <c r="E491" s="161">
        <v>0</v>
      </c>
      <c r="F491" s="161">
        <v>0</v>
      </c>
      <c r="G491"/>
      <c r="H491">
        <f t="shared" si="7"/>
        <v>601</v>
      </c>
    </row>
    <row r="492" spans="1:8" x14ac:dyDescent="0.25">
      <c r="A492" s="161" t="s">
        <v>1557</v>
      </c>
      <c r="B492" s="161" t="s">
        <v>1511</v>
      </c>
      <c r="C492" s="161" t="s">
        <v>955</v>
      </c>
      <c r="D492" s="161" t="s">
        <v>91</v>
      </c>
      <c r="E492" s="161">
        <v>0</v>
      </c>
      <c r="F492" s="161">
        <v>0</v>
      </c>
      <c r="G492"/>
      <c r="H492">
        <f t="shared" si="7"/>
        <v>267</v>
      </c>
    </row>
    <row r="493" spans="1:8" x14ac:dyDescent="0.25">
      <c r="A493" s="161" t="s">
        <v>1557</v>
      </c>
      <c r="B493" s="161" t="s">
        <v>1511</v>
      </c>
      <c r="C493" s="161" t="s">
        <v>956</v>
      </c>
      <c r="D493" s="161" t="s">
        <v>88</v>
      </c>
      <c r="E493" s="161">
        <v>0</v>
      </c>
      <c r="F493" s="161">
        <v>0</v>
      </c>
      <c r="G493"/>
      <c r="H493">
        <f t="shared" si="7"/>
        <v>466</v>
      </c>
    </row>
    <row r="494" spans="1:8" x14ac:dyDescent="0.25">
      <c r="A494" s="161" t="s">
        <v>1557</v>
      </c>
      <c r="B494" s="161" t="s">
        <v>1511</v>
      </c>
      <c r="C494" s="161" t="s">
        <v>957</v>
      </c>
      <c r="D494" s="161" t="s">
        <v>88</v>
      </c>
      <c r="E494" s="161">
        <v>0</v>
      </c>
      <c r="F494" s="161">
        <v>0</v>
      </c>
      <c r="G494"/>
      <c r="H494">
        <f t="shared" si="7"/>
        <v>940</v>
      </c>
    </row>
    <row r="495" spans="1:8" x14ac:dyDescent="0.25">
      <c r="A495" s="161" t="s">
        <v>1557</v>
      </c>
      <c r="B495" s="161" t="s">
        <v>1511</v>
      </c>
      <c r="C495" s="161" t="s">
        <v>1309</v>
      </c>
      <c r="D495" s="161" t="s">
        <v>91</v>
      </c>
      <c r="E495" s="161">
        <v>0</v>
      </c>
      <c r="F495" s="161">
        <v>0</v>
      </c>
      <c r="G495"/>
      <c r="H495">
        <f t="shared" si="7"/>
        <v>744</v>
      </c>
    </row>
    <row r="496" spans="1:8" x14ac:dyDescent="0.25">
      <c r="A496" s="161" t="s">
        <v>1557</v>
      </c>
      <c r="B496" s="161" t="s">
        <v>1511</v>
      </c>
      <c r="C496" s="161" t="s">
        <v>958</v>
      </c>
      <c r="D496" s="161"/>
      <c r="E496" s="161">
        <v>0</v>
      </c>
      <c r="F496" s="161">
        <v>0</v>
      </c>
      <c r="G496"/>
      <c r="H496">
        <f t="shared" si="7"/>
        <v>499</v>
      </c>
    </row>
    <row r="497" spans="1:8" x14ac:dyDescent="0.25">
      <c r="A497" s="161" t="s">
        <v>1557</v>
      </c>
      <c r="B497" s="161" t="s">
        <v>1511</v>
      </c>
      <c r="C497" s="161" t="s">
        <v>959</v>
      </c>
      <c r="D497" s="161" t="s">
        <v>91</v>
      </c>
      <c r="E497" s="161">
        <v>0</v>
      </c>
      <c r="F497" s="161">
        <v>0</v>
      </c>
      <c r="G497"/>
      <c r="H497">
        <f t="shared" si="7"/>
        <v>1034</v>
      </c>
    </row>
    <row r="498" spans="1:8" x14ac:dyDescent="0.25">
      <c r="A498" s="161" t="s">
        <v>1557</v>
      </c>
      <c r="B498" s="161" t="s">
        <v>1511</v>
      </c>
      <c r="C498" s="161" t="s">
        <v>960</v>
      </c>
      <c r="D498" s="161" t="s">
        <v>91</v>
      </c>
      <c r="E498" s="161">
        <v>0</v>
      </c>
      <c r="F498" s="161">
        <v>0</v>
      </c>
      <c r="G498"/>
      <c r="H498">
        <f t="shared" si="7"/>
        <v>409</v>
      </c>
    </row>
    <row r="499" spans="1:8" x14ac:dyDescent="0.25">
      <c r="A499" s="161" t="s">
        <v>1557</v>
      </c>
      <c r="B499" s="161" t="s">
        <v>1511</v>
      </c>
      <c r="C499" s="161" t="s">
        <v>961</v>
      </c>
      <c r="D499" s="161" t="s">
        <v>91</v>
      </c>
      <c r="E499" s="161">
        <v>0</v>
      </c>
      <c r="F499" s="161">
        <v>0</v>
      </c>
      <c r="G499"/>
      <c r="H499">
        <f t="shared" si="7"/>
        <v>1019</v>
      </c>
    </row>
    <row r="500" spans="1:8" x14ac:dyDescent="0.25">
      <c r="A500" s="161" t="s">
        <v>1557</v>
      </c>
      <c r="B500" s="161" t="s">
        <v>1511</v>
      </c>
      <c r="C500" s="161" t="s">
        <v>962</v>
      </c>
      <c r="D500" s="161" t="s">
        <v>105</v>
      </c>
      <c r="E500" s="161">
        <v>0</v>
      </c>
      <c r="F500" s="161">
        <v>0</v>
      </c>
      <c r="G500"/>
      <c r="H500">
        <f t="shared" si="7"/>
        <v>500</v>
      </c>
    </row>
    <row r="501" spans="1:8" x14ac:dyDescent="0.25">
      <c r="A501" s="161" t="s">
        <v>1557</v>
      </c>
      <c r="B501" s="161" t="s">
        <v>1511</v>
      </c>
      <c r="C501" s="161" t="s">
        <v>963</v>
      </c>
      <c r="D501" s="161" t="s">
        <v>91</v>
      </c>
      <c r="E501" s="161">
        <v>0</v>
      </c>
      <c r="F501" s="161">
        <v>0</v>
      </c>
      <c r="G501"/>
      <c r="H501">
        <f t="shared" si="7"/>
        <v>915</v>
      </c>
    </row>
    <row r="502" spans="1:8" x14ac:dyDescent="0.25">
      <c r="A502" s="161" t="s">
        <v>1557</v>
      </c>
      <c r="B502" s="161" t="s">
        <v>1511</v>
      </c>
      <c r="C502" s="161" t="s">
        <v>964</v>
      </c>
      <c r="D502" s="161" t="s">
        <v>91</v>
      </c>
      <c r="E502" s="161">
        <v>0</v>
      </c>
      <c r="F502" s="161">
        <v>0</v>
      </c>
      <c r="G502"/>
      <c r="H502">
        <f t="shared" si="7"/>
        <v>277</v>
      </c>
    </row>
    <row r="503" spans="1:8" x14ac:dyDescent="0.25">
      <c r="A503" s="161" t="s">
        <v>1557</v>
      </c>
      <c r="B503" s="161" t="s">
        <v>1511</v>
      </c>
      <c r="C503" s="161" t="s">
        <v>965</v>
      </c>
      <c r="D503" s="161" t="s">
        <v>91</v>
      </c>
      <c r="E503" s="161">
        <v>0</v>
      </c>
      <c r="F503" s="161">
        <v>0</v>
      </c>
      <c r="G503"/>
      <c r="H503">
        <f t="shared" si="7"/>
        <v>543</v>
      </c>
    </row>
    <row r="504" spans="1:8" x14ac:dyDescent="0.25">
      <c r="A504" s="161" t="s">
        <v>1557</v>
      </c>
      <c r="B504" s="161" t="s">
        <v>1511</v>
      </c>
      <c r="C504" s="161" t="s">
        <v>966</v>
      </c>
      <c r="D504" s="161" t="s">
        <v>88</v>
      </c>
      <c r="E504" s="161">
        <v>0</v>
      </c>
      <c r="F504" s="161">
        <v>0</v>
      </c>
      <c r="G504"/>
      <c r="H504">
        <f t="shared" si="7"/>
        <v>182</v>
      </c>
    </row>
    <row r="505" spans="1:8" x14ac:dyDescent="0.25">
      <c r="A505" s="161" t="s">
        <v>1557</v>
      </c>
      <c r="B505" s="161" t="s">
        <v>1511</v>
      </c>
      <c r="C505" s="161" t="s">
        <v>840</v>
      </c>
      <c r="D505" s="161" t="s">
        <v>91</v>
      </c>
      <c r="E505" s="161">
        <v>0</v>
      </c>
      <c r="F505" s="161">
        <v>0</v>
      </c>
      <c r="G505"/>
      <c r="H505">
        <f t="shared" si="7"/>
        <v>783</v>
      </c>
    </row>
    <row r="506" spans="1:8" x14ac:dyDescent="0.25">
      <c r="A506" s="161" t="s">
        <v>1557</v>
      </c>
      <c r="B506" s="161" t="s">
        <v>1511</v>
      </c>
      <c r="C506" s="161" t="s">
        <v>967</v>
      </c>
      <c r="D506" s="161" t="s">
        <v>88</v>
      </c>
      <c r="E506" s="161">
        <v>0</v>
      </c>
      <c r="F506" s="161">
        <v>0</v>
      </c>
      <c r="G506"/>
      <c r="H506">
        <f t="shared" si="7"/>
        <v>941</v>
      </c>
    </row>
    <row r="507" spans="1:8" x14ac:dyDescent="0.25">
      <c r="A507" s="161" t="s">
        <v>1557</v>
      </c>
      <c r="B507" s="161" t="s">
        <v>1511</v>
      </c>
      <c r="C507" s="161" t="s">
        <v>968</v>
      </c>
      <c r="D507" s="161" t="s">
        <v>88</v>
      </c>
      <c r="E507" s="161">
        <v>0</v>
      </c>
      <c r="F507" s="161">
        <v>0</v>
      </c>
      <c r="G507"/>
      <c r="H507">
        <f t="shared" si="7"/>
        <v>202</v>
      </c>
    </row>
    <row r="508" spans="1:8" x14ac:dyDescent="0.25">
      <c r="A508" s="161" t="s">
        <v>1557</v>
      </c>
      <c r="B508" s="161" t="s">
        <v>1511</v>
      </c>
      <c r="C508" s="161" t="s">
        <v>969</v>
      </c>
      <c r="D508" s="161" t="s">
        <v>143</v>
      </c>
      <c r="E508" s="161">
        <v>0</v>
      </c>
      <c r="F508" s="161">
        <v>0</v>
      </c>
      <c r="G508"/>
      <c r="H508">
        <f t="shared" si="7"/>
        <v>609</v>
      </c>
    </row>
    <row r="509" spans="1:8" x14ac:dyDescent="0.25">
      <c r="A509" s="161" t="s">
        <v>1557</v>
      </c>
      <c r="B509" s="161" t="s">
        <v>1511</v>
      </c>
      <c r="C509" s="161" t="s">
        <v>970</v>
      </c>
      <c r="D509" s="161" t="s">
        <v>91</v>
      </c>
      <c r="E509" s="161">
        <v>0</v>
      </c>
      <c r="F509" s="161">
        <v>0</v>
      </c>
      <c r="G509"/>
      <c r="H509">
        <f t="shared" si="7"/>
        <v>340</v>
      </c>
    </row>
    <row r="510" spans="1:8" x14ac:dyDescent="0.25">
      <c r="A510" s="161" t="s">
        <v>1557</v>
      </c>
      <c r="B510" s="161" t="s">
        <v>1511</v>
      </c>
      <c r="C510" s="161" t="s">
        <v>971</v>
      </c>
      <c r="D510" s="161" t="s">
        <v>144</v>
      </c>
      <c r="E510" s="161">
        <v>0</v>
      </c>
      <c r="F510" s="161">
        <v>0</v>
      </c>
      <c r="G510"/>
      <c r="H510">
        <f t="shared" si="7"/>
        <v>682</v>
      </c>
    </row>
    <row r="511" spans="1:8" x14ac:dyDescent="0.25">
      <c r="A511" s="161" t="s">
        <v>1557</v>
      </c>
      <c r="B511" s="161" t="s">
        <v>1511</v>
      </c>
      <c r="C511" s="161" t="s">
        <v>972</v>
      </c>
      <c r="D511" s="161" t="s">
        <v>112</v>
      </c>
      <c r="E511" s="161">
        <v>0</v>
      </c>
      <c r="F511" s="161">
        <v>0</v>
      </c>
      <c r="G511"/>
      <c r="H511">
        <f t="shared" si="7"/>
        <v>539</v>
      </c>
    </row>
    <row r="512" spans="1:8" x14ac:dyDescent="0.25">
      <c r="A512" s="161" t="s">
        <v>1557</v>
      </c>
      <c r="B512" s="161" t="s">
        <v>1511</v>
      </c>
      <c r="C512" s="161" t="s">
        <v>973</v>
      </c>
      <c r="D512" s="161" t="s">
        <v>88</v>
      </c>
      <c r="E512" s="161">
        <v>0</v>
      </c>
      <c r="F512" s="161">
        <v>0</v>
      </c>
      <c r="G512"/>
      <c r="H512">
        <f t="shared" si="7"/>
        <v>415</v>
      </c>
    </row>
    <row r="513" spans="1:8" x14ac:dyDescent="0.25">
      <c r="A513" s="161" t="s">
        <v>1557</v>
      </c>
      <c r="B513" s="161" t="s">
        <v>1511</v>
      </c>
      <c r="C513" s="161" t="s">
        <v>974</v>
      </c>
      <c r="D513" s="161" t="s">
        <v>88</v>
      </c>
      <c r="E513" s="161">
        <v>0</v>
      </c>
      <c r="F513" s="161">
        <v>0</v>
      </c>
      <c r="G513"/>
      <c r="H513">
        <f t="shared" si="7"/>
        <v>815</v>
      </c>
    </row>
    <row r="514" spans="1:8" x14ac:dyDescent="0.25">
      <c r="A514" s="161" t="s">
        <v>1557</v>
      </c>
      <c r="B514" s="161" t="s">
        <v>1511</v>
      </c>
      <c r="C514" s="161" t="s">
        <v>975</v>
      </c>
      <c r="D514" s="161" t="s">
        <v>976</v>
      </c>
      <c r="E514" s="161">
        <v>0</v>
      </c>
      <c r="F514" s="161">
        <v>0</v>
      </c>
      <c r="G514"/>
      <c r="H514">
        <f t="shared" ref="H514:H577" si="8">SUMPRODUCT((C$2:C$1090 &lt; C514)+(C514="")*1000)</f>
        <v>194</v>
      </c>
    </row>
    <row r="515" spans="1:8" x14ac:dyDescent="0.25">
      <c r="A515" s="161" t="s">
        <v>1557</v>
      </c>
      <c r="B515" s="161" t="s">
        <v>1511</v>
      </c>
      <c r="C515" s="161" t="s">
        <v>977</v>
      </c>
      <c r="D515" s="161" t="s">
        <v>88</v>
      </c>
      <c r="E515" s="161">
        <v>0</v>
      </c>
      <c r="F515" s="161">
        <v>0</v>
      </c>
      <c r="G515"/>
      <c r="H515">
        <f t="shared" si="8"/>
        <v>720</v>
      </c>
    </row>
    <row r="516" spans="1:8" x14ac:dyDescent="0.25">
      <c r="A516" s="161" t="s">
        <v>1557</v>
      </c>
      <c r="B516" s="161" t="s">
        <v>1511</v>
      </c>
      <c r="C516" s="161" t="s">
        <v>978</v>
      </c>
      <c r="D516" s="161" t="s">
        <v>98</v>
      </c>
      <c r="E516" s="161">
        <v>0</v>
      </c>
      <c r="F516" s="161">
        <v>0</v>
      </c>
      <c r="G516"/>
      <c r="H516">
        <f t="shared" si="8"/>
        <v>640</v>
      </c>
    </row>
    <row r="517" spans="1:8" x14ac:dyDescent="0.25">
      <c r="A517" s="161" t="s">
        <v>1557</v>
      </c>
      <c r="B517" s="161" t="s">
        <v>1511</v>
      </c>
      <c r="C517" s="161" t="s">
        <v>979</v>
      </c>
      <c r="D517" s="161" t="s">
        <v>98</v>
      </c>
      <c r="E517" s="161">
        <v>0</v>
      </c>
      <c r="F517" s="161">
        <v>0</v>
      </c>
      <c r="G517"/>
      <c r="H517">
        <f t="shared" si="8"/>
        <v>562</v>
      </c>
    </row>
    <row r="518" spans="1:8" x14ac:dyDescent="0.25">
      <c r="A518" s="161" t="s">
        <v>1557</v>
      </c>
      <c r="B518" s="161" t="s">
        <v>1511</v>
      </c>
      <c r="C518" s="161" t="s">
        <v>980</v>
      </c>
      <c r="D518" s="161" t="s">
        <v>88</v>
      </c>
      <c r="E518" s="161">
        <v>0</v>
      </c>
      <c r="F518" s="161">
        <v>0</v>
      </c>
      <c r="G518"/>
      <c r="H518">
        <f t="shared" si="8"/>
        <v>462</v>
      </c>
    </row>
    <row r="519" spans="1:8" x14ac:dyDescent="0.25">
      <c r="A519" s="161" t="s">
        <v>1557</v>
      </c>
      <c r="B519" s="161" t="s">
        <v>1511</v>
      </c>
      <c r="C519" s="161" t="s">
        <v>981</v>
      </c>
      <c r="D519" s="161" t="s">
        <v>91</v>
      </c>
      <c r="E519" s="161">
        <v>0</v>
      </c>
      <c r="F519" s="161">
        <v>0</v>
      </c>
      <c r="G519"/>
      <c r="H519">
        <f t="shared" si="8"/>
        <v>289</v>
      </c>
    </row>
    <row r="520" spans="1:8" x14ac:dyDescent="0.25">
      <c r="A520" s="161" t="s">
        <v>1557</v>
      </c>
      <c r="B520" s="161" t="s">
        <v>1511</v>
      </c>
      <c r="C520" s="161" t="s">
        <v>982</v>
      </c>
      <c r="D520" s="161" t="s">
        <v>91</v>
      </c>
      <c r="E520" s="161">
        <v>0</v>
      </c>
      <c r="F520" s="161">
        <v>0</v>
      </c>
      <c r="G520"/>
      <c r="H520">
        <f t="shared" si="8"/>
        <v>301</v>
      </c>
    </row>
    <row r="521" spans="1:8" x14ac:dyDescent="0.25">
      <c r="A521" s="161" t="s">
        <v>1557</v>
      </c>
      <c r="B521" s="161" t="s">
        <v>1511</v>
      </c>
      <c r="C521" s="161" t="s">
        <v>983</v>
      </c>
      <c r="D521" s="161" t="s">
        <v>91</v>
      </c>
      <c r="E521" s="161">
        <v>0</v>
      </c>
      <c r="F521" s="161">
        <v>0</v>
      </c>
      <c r="G521"/>
      <c r="H521">
        <f t="shared" si="8"/>
        <v>306</v>
      </c>
    </row>
    <row r="522" spans="1:8" x14ac:dyDescent="0.25">
      <c r="A522" s="161" t="s">
        <v>1557</v>
      </c>
      <c r="B522" s="161" t="s">
        <v>1511</v>
      </c>
      <c r="C522" s="161" t="s">
        <v>984</v>
      </c>
      <c r="D522" s="161" t="s">
        <v>91</v>
      </c>
      <c r="E522" s="161">
        <v>0</v>
      </c>
      <c r="F522" s="161">
        <v>0</v>
      </c>
      <c r="G522"/>
      <c r="H522">
        <f t="shared" si="8"/>
        <v>779</v>
      </c>
    </row>
    <row r="523" spans="1:8" x14ac:dyDescent="0.25">
      <c r="A523" s="161" t="s">
        <v>1557</v>
      </c>
      <c r="B523" s="161" t="s">
        <v>1511</v>
      </c>
      <c r="C523" s="161" t="s">
        <v>985</v>
      </c>
      <c r="D523" s="161" t="s">
        <v>98</v>
      </c>
      <c r="E523" s="161">
        <v>0</v>
      </c>
      <c r="F523" s="161">
        <v>0</v>
      </c>
      <c r="G523"/>
      <c r="H523">
        <f t="shared" si="8"/>
        <v>1027</v>
      </c>
    </row>
    <row r="524" spans="1:8" x14ac:dyDescent="0.25">
      <c r="A524" s="161" t="s">
        <v>1557</v>
      </c>
      <c r="B524" s="161" t="s">
        <v>1511</v>
      </c>
      <c r="C524" s="161" t="s">
        <v>986</v>
      </c>
      <c r="D524" s="161" t="s">
        <v>91</v>
      </c>
      <c r="E524" s="161">
        <v>0</v>
      </c>
      <c r="F524" s="161">
        <v>0</v>
      </c>
      <c r="G524"/>
      <c r="H524">
        <f t="shared" si="8"/>
        <v>890</v>
      </c>
    </row>
    <row r="525" spans="1:8" x14ac:dyDescent="0.25">
      <c r="A525" s="161" t="s">
        <v>1557</v>
      </c>
      <c r="B525" s="161" t="s">
        <v>1511</v>
      </c>
      <c r="C525" s="161" t="s">
        <v>987</v>
      </c>
      <c r="D525" s="161" t="s">
        <v>91</v>
      </c>
      <c r="E525" s="161">
        <v>0</v>
      </c>
      <c r="F525" s="161">
        <v>0</v>
      </c>
      <c r="G525"/>
      <c r="H525">
        <f t="shared" si="8"/>
        <v>1052</v>
      </c>
    </row>
    <row r="526" spans="1:8" x14ac:dyDescent="0.25">
      <c r="A526" s="161" t="s">
        <v>1557</v>
      </c>
      <c r="B526" s="161" t="s">
        <v>1511</v>
      </c>
      <c r="C526" s="161" t="s">
        <v>988</v>
      </c>
      <c r="D526" s="161" t="s">
        <v>91</v>
      </c>
      <c r="E526" s="161">
        <v>0</v>
      </c>
      <c r="F526" s="161">
        <v>0</v>
      </c>
      <c r="G526"/>
      <c r="H526">
        <f t="shared" si="8"/>
        <v>811</v>
      </c>
    </row>
    <row r="527" spans="1:8" x14ac:dyDescent="0.25">
      <c r="A527" s="161" t="s">
        <v>1557</v>
      </c>
      <c r="B527" s="161" t="s">
        <v>1511</v>
      </c>
      <c r="C527" s="161" t="s">
        <v>989</v>
      </c>
      <c r="D527" s="161" t="s">
        <v>91</v>
      </c>
      <c r="E527" s="161">
        <v>0</v>
      </c>
      <c r="F527" s="161">
        <v>0</v>
      </c>
      <c r="G527"/>
      <c r="H527">
        <f t="shared" si="8"/>
        <v>903</v>
      </c>
    </row>
    <row r="528" spans="1:8" x14ac:dyDescent="0.25">
      <c r="A528" s="161" t="s">
        <v>1557</v>
      </c>
      <c r="B528" s="161" t="s">
        <v>1511</v>
      </c>
      <c r="C528" s="161" t="s">
        <v>990</v>
      </c>
      <c r="D528" s="161" t="s">
        <v>91</v>
      </c>
      <c r="E528" s="161">
        <v>0</v>
      </c>
      <c r="F528" s="161">
        <v>0</v>
      </c>
      <c r="G528"/>
      <c r="H528">
        <f t="shared" si="8"/>
        <v>431</v>
      </c>
    </row>
    <row r="529" spans="1:8" x14ac:dyDescent="0.25">
      <c r="A529" s="161" t="s">
        <v>1557</v>
      </c>
      <c r="B529" s="161" t="s">
        <v>1511</v>
      </c>
      <c r="C529" s="161" t="s">
        <v>991</v>
      </c>
      <c r="D529" s="161"/>
      <c r="E529" s="161">
        <v>0</v>
      </c>
      <c r="F529" s="161">
        <v>0</v>
      </c>
      <c r="G529"/>
      <c r="H529">
        <f t="shared" si="8"/>
        <v>919</v>
      </c>
    </row>
    <row r="530" spans="1:8" x14ac:dyDescent="0.25">
      <c r="A530" s="161" t="s">
        <v>1557</v>
      </c>
      <c r="B530" s="161" t="s">
        <v>1511</v>
      </c>
      <c r="C530" s="161" t="s">
        <v>992</v>
      </c>
      <c r="D530" s="161" t="s">
        <v>91</v>
      </c>
      <c r="E530" s="161">
        <v>0</v>
      </c>
      <c r="F530" s="161">
        <v>0</v>
      </c>
      <c r="G530"/>
      <c r="H530">
        <f t="shared" si="8"/>
        <v>307</v>
      </c>
    </row>
    <row r="531" spans="1:8" x14ac:dyDescent="0.25">
      <c r="A531" s="161" t="s">
        <v>1557</v>
      </c>
      <c r="B531" s="161" t="s">
        <v>1511</v>
      </c>
      <c r="C531" s="161" t="s">
        <v>993</v>
      </c>
      <c r="D531" s="161" t="s">
        <v>91</v>
      </c>
      <c r="E531" s="161">
        <v>0</v>
      </c>
      <c r="F531" s="161">
        <v>0</v>
      </c>
      <c r="G531"/>
      <c r="H531">
        <f t="shared" si="8"/>
        <v>610</v>
      </c>
    </row>
    <row r="532" spans="1:8" x14ac:dyDescent="0.25">
      <c r="A532" s="161" t="s">
        <v>1557</v>
      </c>
      <c r="B532" s="161" t="s">
        <v>1511</v>
      </c>
      <c r="C532" s="161" t="s">
        <v>994</v>
      </c>
      <c r="D532" s="161" t="s">
        <v>995</v>
      </c>
      <c r="E532" s="161">
        <v>0</v>
      </c>
      <c r="F532" s="161">
        <v>0</v>
      </c>
      <c r="G532"/>
      <c r="H532">
        <f t="shared" si="8"/>
        <v>799</v>
      </c>
    </row>
    <row r="533" spans="1:8" x14ac:dyDescent="0.25">
      <c r="A533" s="161" t="s">
        <v>1557</v>
      </c>
      <c r="B533" s="161" t="s">
        <v>1511</v>
      </c>
      <c r="C533" s="161" t="s">
        <v>996</v>
      </c>
      <c r="D533" s="161" t="s">
        <v>91</v>
      </c>
      <c r="E533" s="161">
        <v>0</v>
      </c>
      <c r="F533" s="161">
        <v>0</v>
      </c>
      <c r="G533"/>
      <c r="H533">
        <f t="shared" si="8"/>
        <v>479</v>
      </c>
    </row>
    <row r="534" spans="1:8" x14ac:dyDescent="0.25">
      <c r="A534" s="161" t="s">
        <v>1557</v>
      </c>
      <c r="B534" s="161" t="s">
        <v>1511</v>
      </c>
      <c r="C534" s="161" t="s">
        <v>997</v>
      </c>
      <c r="D534" s="161" t="s">
        <v>98</v>
      </c>
      <c r="E534" s="161">
        <v>0</v>
      </c>
      <c r="F534" s="161">
        <v>0</v>
      </c>
      <c r="G534"/>
      <c r="H534">
        <f t="shared" si="8"/>
        <v>962</v>
      </c>
    </row>
    <row r="535" spans="1:8" x14ac:dyDescent="0.25">
      <c r="A535" s="161" t="s">
        <v>1557</v>
      </c>
      <c r="B535" s="161" t="s">
        <v>1511</v>
      </c>
      <c r="C535" s="161" t="s">
        <v>998</v>
      </c>
      <c r="D535" s="161" t="s">
        <v>274</v>
      </c>
      <c r="E535" s="161">
        <v>0</v>
      </c>
      <c r="F535" s="161">
        <v>0</v>
      </c>
      <c r="G535"/>
      <c r="H535">
        <f t="shared" si="8"/>
        <v>769</v>
      </c>
    </row>
    <row r="536" spans="1:8" x14ac:dyDescent="0.25">
      <c r="A536" s="161" t="s">
        <v>1557</v>
      </c>
      <c r="B536" s="161" t="s">
        <v>1511</v>
      </c>
      <c r="C536" s="161" t="s">
        <v>999</v>
      </c>
      <c r="D536" s="161" t="s">
        <v>91</v>
      </c>
      <c r="E536" s="161">
        <v>0</v>
      </c>
      <c r="F536" s="161">
        <v>0</v>
      </c>
      <c r="G536"/>
      <c r="H536">
        <f t="shared" si="8"/>
        <v>959</v>
      </c>
    </row>
    <row r="537" spans="1:8" x14ac:dyDescent="0.25">
      <c r="A537" s="161" t="s">
        <v>1557</v>
      </c>
      <c r="B537" s="161" t="s">
        <v>1511</v>
      </c>
      <c r="C537" s="161" t="s">
        <v>1000</v>
      </c>
      <c r="D537" s="161" t="s">
        <v>98</v>
      </c>
      <c r="E537" s="161">
        <v>0</v>
      </c>
      <c r="F537" s="161">
        <v>0</v>
      </c>
      <c r="G537"/>
      <c r="H537">
        <f t="shared" si="8"/>
        <v>426</v>
      </c>
    </row>
    <row r="538" spans="1:8" x14ac:dyDescent="0.25">
      <c r="A538" s="161" t="s">
        <v>1557</v>
      </c>
      <c r="B538" s="161" t="s">
        <v>1511</v>
      </c>
      <c r="C538" s="161" t="s">
        <v>1001</v>
      </c>
      <c r="D538" s="161" t="s">
        <v>91</v>
      </c>
      <c r="E538" s="161">
        <v>0</v>
      </c>
      <c r="F538" s="161">
        <v>0</v>
      </c>
      <c r="G538"/>
      <c r="H538">
        <f t="shared" si="8"/>
        <v>728</v>
      </c>
    </row>
    <row r="539" spans="1:8" x14ac:dyDescent="0.25">
      <c r="A539" s="161" t="s">
        <v>1557</v>
      </c>
      <c r="B539" s="161" t="s">
        <v>1511</v>
      </c>
      <c r="C539" s="161" t="s">
        <v>1002</v>
      </c>
      <c r="D539" s="161" t="s">
        <v>88</v>
      </c>
      <c r="E539" s="161">
        <v>0</v>
      </c>
      <c r="F539" s="161">
        <v>0</v>
      </c>
      <c r="G539"/>
      <c r="H539">
        <f t="shared" si="8"/>
        <v>498</v>
      </c>
    </row>
    <row r="540" spans="1:8" x14ac:dyDescent="0.25">
      <c r="A540" s="161" t="s">
        <v>1557</v>
      </c>
      <c r="B540" s="161" t="s">
        <v>1511</v>
      </c>
      <c r="C540" s="161" t="s">
        <v>756</v>
      </c>
      <c r="D540" s="161" t="s">
        <v>98</v>
      </c>
      <c r="E540" s="161">
        <v>0</v>
      </c>
      <c r="F540" s="161">
        <v>0</v>
      </c>
      <c r="G540"/>
      <c r="H540">
        <f t="shared" si="8"/>
        <v>463</v>
      </c>
    </row>
    <row r="541" spans="1:8" x14ac:dyDescent="0.25">
      <c r="A541" s="161" t="s">
        <v>1557</v>
      </c>
      <c r="B541" s="161" t="s">
        <v>1511</v>
      </c>
      <c r="C541" s="161" t="s">
        <v>1003</v>
      </c>
      <c r="D541" s="161" t="s">
        <v>91</v>
      </c>
      <c r="E541" s="161">
        <v>0</v>
      </c>
      <c r="F541" s="161">
        <v>0</v>
      </c>
      <c r="G541"/>
      <c r="H541">
        <f t="shared" si="8"/>
        <v>575</v>
      </c>
    </row>
    <row r="542" spans="1:8" x14ac:dyDescent="0.25">
      <c r="A542" s="161" t="s">
        <v>1557</v>
      </c>
      <c r="B542" s="161" t="s">
        <v>1511</v>
      </c>
      <c r="C542" s="161" t="s">
        <v>1004</v>
      </c>
      <c r="D542" s="161" t="s">
        <v>91</v>
      </c>
      <c r="E542" s="161">
        <v>0</v>
      </c>
      <c r="F542" s="161">
        <v>0</v>
      </c>
      <c r="G542"/>
      <c r="H542">
        <f t="shared" si="8"/>
        <v>598</v>
      </c>
    </row>
    <row r="543" spans="1:8" x14ac:dyDescent="0.25">
      <c r="A543" s="161" t="s">
        <v>1557</v>
      </c>
      <c r="B543" s="161">
        <v>231</v>
      </c>
      <c r="C543" s="161" t="s">
        <v>716</v>
      </c>
      <c r="D543" s="161" t="s">
        <v>98</v>
      </c>
      <c r="E543" s="161">
        <v>0</v>
      </c>
      <c r="F543" s="161">
        <v>0</v>
      </c>
      <c r="G543"/>
      <c r="H543">
        <f t="shared" si="8"/>
        <v>584</v>
      </c>
    </row>
    <row r="544" spans="1:8" x14ac:dyDescent="0.25">
      <c r="A544" s="161" t="s">
        <v>1557</v>
      </c>
      <c r="B544" s="161" t="s">
        <v>1511</v>
      </c>
      <c r="C544" s="161" t="s">
        <v>1005</v>
      </c>
      <c r="D544" s="161" t="s">
        <v>98</v>
      </c>
      <c r="E544" s="161">
        <v>0</v>
      </c>
      <c r="F544" s="161">
        <v>0</v>
      </c>
      <c r="G544"/>
      <c r="H544">
        <f t="shared" si="8"/>
        <v>1018</v>
      </c>
    </row>
    <row r="545" spans="1:8" x14ac:dyDescent="0.25">
      <c r="A545" s="161" t="s">
        <v>1557</v>
      </c>
      <c r="B545" s="161" t="s">
        <v>1511</v>
      </c>
      <c r="C545" s="161" t="s">
        <v>1006</v>
      </c>
      <c r="D545" s="161" t="s">
        <v>88</v>
      </c>
      <c r="E545" s="161">
        <v>0</v>
      </c>
      <c r="F545" s="161">
        <v>0</v>
      </c>
      <c r="G545"/>
      <c r="H545">
        <f t="shared" si="8"/>
        <v>184</v>
      </c>
    </row>
    <row r="546" spans="1:8" x14ac:dyDescent="0.25">
      <c r="A546" s="161" t="s">
        <v>1557</v>
      </c>
      <c r="B546" s="161" t="s">
        <v>1511</v>
      </c>
      <c r="C546" s="161" t="s">
        <v>1007</v>
      </c>
      <c r="D546" s="161" t="s">
        <v>91</v>
      </c>
      <c r="E546" s="161">
        <v>0</v>
      </c>
      <c r="F546" s="161">
        <v>0</v>
      </c>
      <c r="G546"/>
      <c r="H546">
        <f t="shared" si="8"/>
        <v>1036</v>
      </c>
    </row>
    <row r="547" spans="1:8" x14ac:dyDescent="0.25">
      <c r="A547" s="161" t="s">
        <v>1557</v>
      </c>
      <c r="B547" s="161" t="s">
        <v>1511</v>
      </c>
      <c r="C547" s="161" t="s">
        <v>1008</v>
      </c>
      <c r="D547" s="161" t="s">
        <v>88</v>
      </c>
      <c r="E547" s="161">
        <v>0</v>
      </c>
      <c r="F547" s="161">
        <v>0</v>
      </c>
      <c r="G547"/>
      <c r="H547">
        <f t="shared" si="8"/>
        <v>382</v>
      </c>
    </row>
    <row r="548" spans="1:8" x14ac:dyDescent="0.25">
      <c r="A548" s="161" t="s">
        <v>1557</v>
      </c>
      <c r="B548" s="161" t="s">
        <v>1511</v>
      </c>
      <c r="C548" s="161" t="s">
        <v>1009</v>
      </c>
      <c r="D548" s="161" t="s">
        <v>105</v>
      </c>
      <c r="E548" s="161">
        <v>0</v>
      </c>
      <c r="F548" s="161">
        <v>0</v>
      </c>
      <c r="G548"/>
      <c r="H548">
        <f t="shared" si="8"/>
        <v>734</v>
      </c>
    </row>
    <row r="549" spans="1:8" x14ac:dyDescent="0.25">
      <c r="A549" s="161" t="s">
        <v>1557</v>
      </c>
      <c r="B549" s="161" t="s">
        <v>1511</v>
      </c>
      <c r="C549" s="161" t="s">
        <v>1010</v>
      </c>
      <c r="D549" s="161" t="s">
        <v>88</v>
      </c>
      <c r="E549" s="161">
        <v>0</v>
      </c>
      <c r="F549" s="161">
        <v>0</v>
      </c>
      <c r="G549"/>
      <c r="H549">
        <f t="shared" si="8"/>
        <v>738</v>
      </c>
    </row>
    <row r="550" spans="1:8" x14ac:dyDescent="0.25">
      <c r="A550" s="161" t="s">
        <v>1557</v>
      </c>
      <c r="B550" s="161" t="s">
        <v>1511</v>
      </c>
      <c r="C550" s="161" t="s">
        <v>1011</v>
      </c>
      <c r="D550" s="161" t="s">
        <v>146</v>
      </c>
      <c r="E550" s="161">
        <v>0</v>
      </c>
      <c r="F550" s="161">
        <v>0</v>
      </c>
      <c r="G550"/>
      <c r="H550">
        <f t="shared" si="8"/>
        <v>658</v>
      </c>
    </row>
    <row r="551" spans="1:8" x14ac:dyDescent="0.25">
      <c r="A551" s="161" t="s">
        <v>1557</v>
      </c>
      <c r="B551" s="161" t="s">
        <v>1511</v>
      </c>
      <c r="C551" s="161" t="s">
        <v>1012</v>
      </c>
      <c r="D551" s="161" t="s">
        <v>976</v>
      </c>
      <c r="E551" s="161">
        <v>0</v>
      </c>
      <c r="F551" s="161">
        <v>0</v>
      </c>
      <c r="G551"/>
      <c r="H551">
        <f t="shared" si="8"/>
        <v>205</v>
      </c>
    </row>
    <row r="552" spans="1:8" x14ac:dyDescent="0.25">
      <c r="A552" s="161" t="s">
        <v>1557</v>
      </c>
      <c r="B552" s="161" t="s">
        <v>1511</v>
      </c>
      <c r="C552" s="161" t="s">
        <v>1013</v>
      </c>
      <c r="D552" s="161" t="s">
        <v>141</v>
      </c>
      <c r="E552" s="161">
        <v>0</v>
      </c>
      <c r="F552" s="161">
        <v>0</v>
      </c>
      <c r="G552"/>
      <c r="H552">
        <f t="shared" si="8"/>
        <v>531</v>
      </c>
    </row>
    <row r="553" spans="1:8" x14ac:dyDescent="0.25">
      <c r="A553" s="161" t="s">
        <v>1557</v>
      </c>
      <c r="B553" s="161" t="s">
        <v>1511</v>
      </c>
      <c r="C553" s="161" t="s">
        <v>1015</v>
      </c>
      <c r="D553" s="161" t="s">
        <v>88</v>
      </c>
      <c r="E553" s="161">
        <v>0</v>
      </c>
      <c r="F553" s="161">
        <v>0</v>
      </c>
      <c r="G553"/>
      <c r="H553">
        <f t="shared" si="8"/>
        <v>533</v>
      </c>
    </row>
    <row r="554" spans="1:8" x14ac:dyDescent="0.25">
      <c r="A554" s="161" t="s">
        <v>1557</v>
      </c>
      <c r="B554" s="161" t="s">
        <v>1511</v>
      </c>
      <c r="C554" s="161" t="s">
        <v>1016</v>
      </c>
      <c r="D554" s="161" t="s">
        <v>88</v>
      </c>
      <c r="E554" s="161">
        <v>0</v>
      </c>
      <c r="F554" s="161">
        <v>0</v>
      </c>
      <c r="G554"/>
      <c r="H554">
        <f t="shared" si="8"/>
        <v>206</v>
      </c>
    </row>
    <row r="555" spans="1:8" x14ac:dyDescent="0.25">
      <c r="A555" s="161" t="s">
        <v>1557</v>
      </c>
      <c r="B555" s="161" t="s">
        <v>1511</v>
      </c>
      <c r="C555" s="161" t="s">
        <v>1017</v>
      </c>
      <c r="D555" s="161" t="s">
        <v>98</v>
      </c>
      <c r="E555" s="161">
        <v>0</v>
      </c>
      <c r="F555" s="161">
        <v>0</v>
      </c>
      <c r="G555"/>
      <c r="H555">
        <f t="shared" si="8"/>
        <v>457</v>
      </c>
    </row>
    <row r="556" spans="1:8" x14ac:dyDescent="0.25">
      <c r="A556" s="161" t="s">
        <v>1557</v>
      </c>
      <c r="B556" s="161" t="s">
        <v>1511</v>
      </c>
      <c r="C556" s="161" t="s">
        <v>1018</v>
      </c>
      <c r="D556" s="161" t="s">
        <v>976</v>
      </c>
      <c r="E556" s="161">
        <v>0</v>
      </c>
      <c r="F556" s="161">
        <v>0</v>
      </c>
      <c r="G556"/>
      <c r="H556">
        <f t="shared" si="8"/>
        <v>1015</v>
      </c>
    </row>
    <row r="557" spans="1:8" x14ac:dyDescent="0.25">
      <c r="A557" s="161" t="s">
        <v>1557</v>
      </c>
      <c r="B557" s="161" t="s">
        <v>1511</v>
      </c>
      <c r="C557" s="161" t="s">
        <v>1019</v>
      </c>
      <c r="D557" s="161" t="s">
        <v>91</v>
      </c>
      <c r="E557" s="161">
        <v>0</v>
      </c>
      <c r="F557" s="161">
        <v>0</v>
      </c>
      <c r="G557"/>
      <c r="H557">
        <f t="shared" si="8"/>
        <v>428</v>
      </c>
    </row>
    <row r="558" spans="1:8" x14ac:dyDescent="0.25">
      <c r="A558" s="161" t="s">
        <v>1557</v>
      </c>
      <c r="B558" s="161" t="s">
        <v>1511</v>
      </c>
      <c r="C558" s="161" t="s">
        <v>1020</v>
      </c>
      <c r="D558" s="161" t="s">
        <v>98</v>
      </c>
      <c r="E558" s="161">
        <v>0</v>
      </c>
      <c r="F558" s="161">
        <v>0</v>
      </c>
      <c r="G558"/>
      <c r="H558">
        <f t="shared" si="8"/>
        <v>229</v>
      </c>
    </row>
    <row r="559" spans="1:8" x14ac:dyDescent="0.25">
      <c r="A559" s="161" t="s">
        <v>1557</v>
      </c>
      <c r="B559" s="161" t="s">
        <v>1511</v>
      </c>
      <c r="C559" s="161" t="s">
        <v>552</v>
      </c>
      <c r="D559" s="161" t="s">
        <v>98</v>
      </c>
      <c r="E559" s="161">
        <v>0</v>
      </c>
      <c r="F559" s="161">
        <v>0</v>
      </c>
      <c r="G559"/>
      <c r="H559">
        <f t="shared" si="8"/>
        <v>732</v>
      </c>
    </row>
    <row r="560" spans="1:8" x14ac:dyDescent="0.25">
      <c r="A560" s="161" t="s">
        <v>1557</v>
      </c>
      <c r="B560" s="161" t="s">
        <v>1511</v>
      </c>
      <c r="C560" s="161" t="s">
        <v>1021</v>
      </c>
      <c r="D560" s="161" t="s">
        <v>91</v>
      </c>
      <c r="E560" s="161">
        <v>0</v>
      </c>
      <c r="F560" s="161">
        <v>0</v>
      </c>
      <c r="G560"/>
      <c r="H560">
        <f t="shared" si="8"/>
        <v>238</v>
      </c>
    </row>
    <row r="561" spans="1:8" x14ac:dyDescent="0.25">
      <c r="A561" s="161" t="s">
        <v>1557</v>
      </c>
      <c r="B561" s="161" t="s">
        <v>1511</v>
      </c>
      <c r="C561" s="161" t="s">
        <v>1022</v>
      </c>
      <c r="D561" s="161" t="s">
        <v>88</v>
      </c>
      <c r="E561" s="161">
        <v>0</v>
      </c>
      <c r="F561" s="161">
        <v>0</v>
      </c>
      <c r="G561"/>
      <c r="H561">
        <f t="shared" si="8"/>
        <v>446</v>
      </c>
    </row>
    <row r="562" spans="1:8" x14ac:dyDescent="0.25">
      <c r="A562" s="161" t="s">
        <v>1557</v>
      </c>
      <c r="B562" s="161" t="s">
        <v>1511</v>
      </c>
      <c r="C562" s="161" t="s">
        <v>1023</v>
      </c>
      <c r="D562" s="161" t="s">
        <v>146</v>
      </c>
      <c r="E562" s="161">
        <v>0</v>
      </c>
      <c r="F562" s="161">
        <v>0</v>
      </c>
      <c r="G562"/>
      <c r="H562">
        <f t="shared" si="8"/>
        <v>170</v>
      </c>
    </row>
    <row r="563" spans="1:8" x14ac:dyDescent="0.25">
      <c r="A563" s="161" t="s">
        <v>1557</v>
      </c>
      <c r="B563" s="161" t="s">
        <v>1511</v>
      </c>
      <c r="C563" s="161" t="s">
        <v>781</v>
      </c>
      <c r="D563" s="161" t="s">
        <v>152</v>
      </c>
      <c r="E563" s="161">
        <v>0</v>
      </c>
      <c r="F563" s="161">
        <v>0</v>
      </c>
      <c r="G563"/>
      <c r="H563">
        <f t="shared" si="8"/>
        <v>709</v>
      </c>
    </row>
    <row r="564" spans="1:8" x14ac:dyDescent="0.25">
      <c r="A564" s="161" t="s">
        <v>1557</v>
      </c>
      <c r="B564" s="161" t="s">
        <v>1511</v>
      </c>
      <c r="C564" s="161" t="s">
        <v>1024</v>
      </c>
      <c r="D564" s="161" t="s">
        <v>98</v>
      </c>
      <c r="E564" s="161">
        <v>0</v>
      </c>
      <c r="F564" s="161">
        <v>0</v>
      </c>
      <c r="G564"/>
      <c r="H564">
        <f t="shared" si="8"/>
        <v>314</v>
      </c>
    </row>
    <row r="565" spans="1:8" x14ac:dyDescent="0.25">
      <c r="A565" s="161" t="s">
        <v>1557</v>
      </c>
      <c r="B565" s="161" t="s">
        <v>1511</v>
      </c>
      <c r="C565" s="161" t="s">
        <v>1312</v>
      </c>
      <c r="D565" s="161" t="s">
        <v>91</v>
      </c>
      <c r="E565" s="161">
        <v>0</v>
      </c>
      <c r="F565" s="161">
        <v>0</v>
      </c>
      <c r="G565"/>
      <c r="H565">
        <f t="shared" si="8"/>
        <v>510</v>
      </c>
    </row>
    <row r="566" spans="1:8" x14ac:dyDescent="0.25">
      <c r="A566" s="161" t="s">
        <v>1557</v>
      </c>
      <c r="B566" s="161" t="s">
        <v>1511</v>
      </c>
      <c r="C566" s="161" t="s">
        <v>1025</v>
      </c>
      <c r="D566" s="161" t="s">
        <v>91</v>
      </c>
      <c r="E566" s="161">
        <v>0</v>
      </c>
      <c r="F566" s="161">
        <v>0</v>
      </c>
      <c r="G566"/>
      <c r="H566">
        <f t="shared" si="8"/>
        <v>368</v>
      </c>
    </row>
    <row r="567" spans="1:8" x14ac:dyDescent="0.25">
      <c r="A567" s="161" t="s">
        <v>1557</v>
      </c>
      <c r="B567" s="161" t="s">
        <v>1511</v>
      </c>
      <c r="C567" s="161" t="s">
        <v>1026</v>
      </c>
      <c r="D567" s="161" t="s">
        <v>91</v>
      </c>
      <c r="E567" s="161">
        <v>0</v>
      </c>
      <c r="F567" s="161">
        <v>0</v>
      </c>
      <c r="G567"/>
      <c r="H567">
        <f t="shared" si="8"/>
        <v>581</v>
      </c>
    </row>
    <row r="568" spans="1:8" x14ac:dyDescent="0.25">
      <c r="A568" s="161" t="s">
        <v>1557</v>
      </c>
      <c r="B568" s="161" t="s">
        <v>1511</v>
      </c>
      <c r="C568" s="161" t="s">
        <v>1027</v>
      </c>
      <c r="D568" s="161" t="s">
        <v>105</v>
      </c>
      <c r="E568" s="161">
        <v>0</v>
      </c>
      <c r="F568" s="161">
        <v>0</v>
      </c>
      <c r="G568"/>
      <c r="H568">
        <f t="shared" si="8"/>
        <v>829</v>
      </c>
    </row>
    <row r="569" spans="1:8" x14ac:dyDescent="0.25">
      <c r="A569" s="161" t="s">
        <v>1557</v>
      </c>
      <c r="B569" s="161" t="s">
        <v>1511</v>
      </c>
      <c r="C569" s="161" t="s">
        <v>1028</v>
      </c>
      <c r="D569" s="161" t="s">
        <v>105</v>
      </c>
      <c r="E569" s="161">
        <v>0</v>
      </c>
      <c r="F569" s="161">
        <v>0</v>
      </c>
      <c r="G569"/>
      <c r="H569">
        <f t="shared" si="8"/>
        <v>501</v>
      </c>
    </row>
    <row r="570" spans="1:8" x14ac:dyDescent="0.25">
      <c r="A570" s="161" t="s">
        <v>1557</v>
      </c>
      <c r="B570" s="161" t="s">
        <v>1511</v>
      </c>
      <c r="C570" s="161" t="s">
        <v>1029</v>
      </c>
      <c r="D570" s="161" t="s">
        <v>105</v>
      </c>
      <c r="E570" s="161">
        <v>0</v>
      </c>
      <c r="F570" s="161">
        <v>0</v>
      </c>
      <c r="G570"/>
      <c r="H570">
        <f t="shared" si="8"/>
        <v>942</v>
      </c>
    </row>
    <row r="571" spans="1:8" x14ac:dyDescent="0.25">
      <c r="A571" s="161" t="s">
        <v>1557</v>
      </c>
      <c r="B571" s="161" t="s">
        <v>1511</v>
      </c>
      <c r="C571" s="161" t="s">
        <v>1030</v>
      </c>
      <c r="D571" s="161" t="s">
        <v>144</v>
      </c>
      <c r="E571" s="161">
        <v>0</v>
      </c>
      <c r="F571" s="161">
        <v>0</v>
      </c>
      <c r="G571"/>
      <c r="H571">
        <f t="shared" si="8"/>
        <v>893</v>
      </c>
    </row>
    <row r="572" spans="1:8" x14ac:dyDescent="0.25">
      <c r="A572" s="161" t="s">
        <v>1557</v>
      </c>
      <c r="B572" s="161" t="s">
        <v>1511</v>
      </c>
      <c r="C572" s="161" t="s">
        <v>1031</v>
      </c>
      <c r="D572" s="161" t="s">
        <v>105</v>
      </c>
      <c r="E572" s="161">
        <v>0</v>
      </c>
      <c r="F572" s="161">
        <v>0</v>
      </c>
      <c r="G572"/>
      <c r="H572">
        <f t="shared" si="8"/>
        <v>647</v>
      </c>
    </row>
    <row r="573" spans="1:8" x14ac:dyDescent="0.25">
      <c r="A573" s="161" t="s">
        <v>1557</v>
      </c>
      <c r="B573" s="161" t="s">
        <v>1511</v>
      </c>
      <c r="C573" s="161" t="s">
        <v>1032</v>
      </c>
      <c r="D573" s="161" t="s">
        <v>91</v>
      </c>
      <c r="E573" s="161">
        <v>0</v>
      </c>
      <c r="F573" s="161">
        <v>0</v>
      </c>
      <c r="G573"/>
      <c r="H573">
        <f t="shared" si="8"/>
        <v>1008</v>
      </c>
    </row>
    <row r="574" spans="1:8" x14ac:dyDescent="0.25">
      <c r="A574" s="161" t="s">
        <v>1557</v>
      </c>
      <c r="B574" s="161" t="s">
        <v>1511</v>
      </c>
      <c r="C574" s="161" t="s">
        <v>1033</v>
      </c>
      <c r="D574" s="161" t="s">
        <v>91</v>
      </c>
      <c r="E574" s="161">
        <v>0</v>
      </c>
      <c r="F574" s="161">
        <v>0</v>
      </c>
      <c r="G574"/>
      <c r="H574">
        <f t="shared" si="8"/>
        <v>988</v>
      </c>
    </row>
    <row r="575" spans="1:8" x14ac:dyDescent="0.25">
      <c r="A575" s="161" t="s">
        <v>1557</v>
      </c>
      <c r="B575" s="161" t="s">
        <v>1511</v>
      </c>
      <c r="C575" s="161" t="s">
        <v>1034</v>
      </c>
      <c r="D575" s="161" t="s">
        <v>91</v>
      </c>
      <c r="E575" s="161">
        <v>0</v>
      </c>
      <c r="F575" s="161">
        <v>0</v>
      </c>
      <c r="G575"/>
      <c r="H575">
        <f t="shared" si="8"/>
        <v>740</v>
      </c>
    </row>
    <row r="576" spans="1:8" x14ac:dyDescent="0.25">
      <c r="A576" s="161" t="s">
        <v>1557</v>
      </c>
      <c r="B576" s="161" t="s">
        <v>1511</v>
      </c>
      <c r="C576" s="161" t="s">
        <v>1035</v>
      </c>
      <c r="D576" s="161" t="s">
        <v>98</v>
      </c>
      <c r="E576" s="161">
        <v>0</v>
      </c>
      <c r="F576" s="161">
        <v>0</v>
      </c>
      <c r="G576"/>
      <c r="H576">
        <f t="shared" si="8"/>
        <v>585</v>
      </c>
    </row>
    <row r="577" spans="1:8" x14ac:dyDescent="0.25">
      <c r="A577" s="161" t="s">
        <v>1557</v>
      </c>
      <c r="B577" s="161" t="s">
        <v>1511</v>
      </c>
      <c r="C577" s="161" t="s">
        <v>1036</v>
      </c>
      <c r="D577" s="161" t="s">
        <v>91</v>
      </c>
      <c r="E577" s="161">
        <v>0</v>
      </c>
      <c r="F577" s="161">
        <v>0</v>
      </c>
      <c r="G577"/>
      <c r="H577">
        <f t="shared" si="8"/>
        <v>989</v>
      </c>
    </row>
    <row r="578" spans="1:8" x14ac:dyDescent="0.25">
      <c r="A578" s="161" t="s">
        <v>1557</v>
      </c>
      <c r="B578" s="161" t="s">
        <v>1511</v>
      </c>
      <c r="C578" s="161" t="s">
        <v>782</v>
      </c>
      <c r="D578" s="161" t="s">
        <v>152</v>
      </c>
      <c r="E578" s="161">
        <v>0</v>
      </c>
      <c r="F578" s="161">
        <v>0</v>
      </c>
      <c r="G578"/>
      <c r="H578">
        <f t="shared" ref="H578:H641" si="9">SUMPRODUCT((C$2:C$1090 &lt; C578)+(C578="")*1000)</f>
        <v>1044</v>
      </c>
    </row>
    <row r="579" spans="1:8" x14ac:dyDescent="0.25">
      <c r="A579" s="161" t="s">
        <v>1557</v>
      </c>
      <c r="B579" s="161" t="s">
        <v>1511</v>
      </c>
      <c r="C579" s="161" t="s">
        <v>1037</v>
      </c>
      <c r="D579" s="161" t="s">
        <v>91</v>
      </c>
      <c r="E579" s="161">
        <v>0</v>
      </c>
      <c r="F579" s="161">
        <v>0</v>
      </c>
      <c r="G579"/>
      <c r="H579">
        <f t="shared" si="9"/>
        <v>275</v>
      </c>
    </row>
    <row r="580" spans="1:8" x14ac:dyDescent="0.25">
      <c r="A580" s="161" t="s">
        <v>1557</v>
      </c>
      <c r="B580" s="161" t="s">
        <v>1511</v>
      </c>
      <c r="C580" s="161" t="s">
        <v>1038</v>
      </c>
      <c r="D580" s="161" t="s">
        <v>98</v>
      </c>
      <c r="E580" s="161">
        <v>0</v>
      </c>
      <c r="F580" s="161">
        <v>0</v>
      </c>
      <c r="G580"/>
      <c r="H580">
        <f t="shared" si="9"/>
        <v>417</v>
      </c>
    </row>
    <row r="581" spans="1:8" x14ac:dyDescent="0.25">
      <c r="A581" s="161" t="s">
        <v>1557</v>
      </c>
      <c r="B581" s="161" t="s">
        <v>1511</v>
      </c>
      <c r="C581" s="161" t="s">
        <v>1039</v>
      </c>
      <c r="D581" s="161" t="s">
        <v>98</v>
      </c>
      <c r="E581" s="161">
        <v>0</v>
      </c>
      <c r="F581" s="161">
        <v>0</v>
      </c>
      <c r="G581"/>
      <c r="H581">
        <f t="shared" si="9"/>
        <v>794</v>
      </c>
    </row>
    <row r="582" spans="1:8" x14ac:dyDescent="0.25">
      <c r="A582" s="161" t="s">
        <v>1557</v>
      </c>
      <c r="B582" s="161" t="s">
        <v>1511</v>
      </c>
      <c r="C582" s="161" t="s">
        <v>686</v>
      </c>
      <c r="D582" s="161" t="s">
        <v>146</v>
      </c>
      <c r="E582" s="161">
        <v>0</v>
      </c>
      <c r="F582" s="161">
        <v>0</v>
      </c>
      <c r="G582"/>
      <c r="H582">
        <f t="shared" si="9"/>
        <v>507</v>
      </c>
    </row>
    <row r="583" spans="1:8" x14ac:dyDescent="0.25">
      <c r="A583" s="161" t="s">
        <v>1557</v>
      </c>
      <c r="B583" s="161" t="s">
        <v>1511</v>
      </c>
      <c r="C583" s="161" t="s">
        <v>1040</v>
      </c>
      <c r="D583" s="161" t="s">
        <v>98</v>
      </c>
      <c r="E583" s="161">
        <v>0</v>
      </c>
      <c r="F583" s="161">
        <v>0</v>
      </c>
      <c r="G583"/>
      <c r="H583">
        <f t="shared" si="9"/>
        <v>308</v>
      </c>
    </row>
    <row r="584" spans="1:8" x14ac:dyDescent="0.25">
      <c r="A584" s="161" t="s">
        <v>1557</v>
      </c>
      <c r="B584" s="161" t="s">
        <v>1511</v>
      </c>
      <c r="C584" s="161" t="s">
        <v>1041</v>
      </c>
      <c r="D584" s="161" t="s">
        <v>98</v>
      </c>
      <c r="E584" s="161">
        <v>0</v>
      </c>
      <c r="F584" s="161">
        <v>0</v>
      </c>
      <c r="G584"/>
      <c r="H584">
        <f t="shared" si="9"/>
        <v>523</v>
      </c>
    </row>
    <row r="585" spans="1:8" x14ac:dyDescent="0.25">
      <c r="A585" s="161" t="s">
        <v>1557</v>
      </c>
      <c r="B585" s="161" t="s">
        <v>1511</v>
      </c>
      <c r="C585" s="161" t="s">
        <v>1042</v>
      </c>
      <c r="D585" s="161" t="s">
        <v>98</v>
      </c>
      <c r="E585" s="161">
        <v>0</v>
      </c>
      <c r="F585" s="161">
        <v>0</v>
      </c>
      <c r="G585"/>
      <c r="H585">
        <f t="shared" si="9"/>
        <v>200</v>
      </c>
    </row>
    <row r="586" spans="1:8" x14ac:dyDescent="0.25">
      <c r="A586" s="161" t="s">
        <v>1557</v>
      </c>
      <c r="B586" s="161" t="s">
        <v>1511</v>
      </c>
      <c r="C586" s="161" t="s">
        <v>1043</v>
      </c>
      <c r="D586" s="161" t="s">
        <v>91</v>
      </c>
      <c r="E586" s="161">
        <v>0</v>
      </c>
      <c r="F586" s="161">
        <v>0</v>
      </c>
      <c r="G586"/>
      <c r="H586">
        <f t="shared" si="9"/>
        <v>674</v>
      </c>
    </row>
    <row r="587" spans="1:8" x14ac:dyDescent="0.25">
      <c r="A587" s="161" t="s">
        <v>1557</v>
      </c>
      <c r="B587" s="161" t="s">
        <v>1511</v>
      </c>
      <c r="C587" s="161" t="s">
        <v>1044</v>
      </c>
      <c r="D587" s="161" t="s">
        <v>146</v>
      </c>
      <c r="E587" s="161">
        <v>0</v>
      </c>
      <c r="F587" s="161">
        <v>0</v>
      </c>
      <c r="G587"/>
      <c r="H587">
        <f t="shared" si="9"/>
        <v>807</v>
      </c>
    </row>
    <row r="588" spans="1:8" x14ac:dyDescent="0.25">
      <c r="A588" s="161" t="s">
        <v>1557</v>
      </c>
      <c r="B588" s="161" t="s">
        <v>1511</v>
      </c>
      <c r="C588" s="161" t="s">
        <v>760</v>
      </c>
      <c r="D588" s="161" t="s">
        <v>146</v>
      </c>
      <c r="E588" s="161">
        <v>0</v>
      </c>
      <c r="F588" s="161">
        <v>0</v>
      </c>
      <c r="G588"/>
      <c r="H588">
        <f t="shared" si="9"/>
        <v>666</v>
      </c>
    </row>
    <row r="589" spans="1:8" x14ac:dyDescent="0.25">
      <c r="A589" s="161" t="s">
        <v>1557</v>
      </c>
      <c r="B589" s="161" t="s">
        <v>1511</v>
      </c>
      <c r="C589" s="161" t="s">
        <v>1045</v>
      </c>
      <c r="D589" s="161" t="s">
        <v>98</v>
      </c>
      <c r="E589" s="161">
        <v>0</v>
      </c>
      <c r="F589" s="161">
        <v>0</v>
      </c>
      <c r="G589"/>
      <c r="H589">
        <f t="shared" si="9"/>
        <v>823</v>
      </c>
    </row>
    <row r="590" spans="1:8" x14ac:dyDescent="0.25">
      <c r="A590" s="161" t="s">
        <v>1557</v>
      </c>
      <c r="B590" s="161" t="s">
        <v>1511</v>
      </c>
      <c r="C590" s="161" t="s">
        <v>1047</v>
      </c>
      <c r="D590" s="161" t="s">
        <v>91</v>
      </c>
      <c r="E590" s="161">
        <v>0</v>
      </c>
      <c r="F590" s="161">
        <v>0</v>
      </c>
      <c r="G590"/>
      <c r="H590">
        <f t="shared" si="9"/>
        <v>495</v>
      </c>
    </row>
    <row r="591" spans="1:8" x14ac:dyDescent="0.25">
      <c r="A591" s="161" t="s">
        <v>1557</v>
      </c>
      <c r="B591" s="161" t="s">
        <v>1511</v>
      </c>
      <c r="C591" s="161" t="s">
        <v>1048</v>
      </c>
      <c r="D591" s="161"/>
      <c r="E591" s="161">
        <v>0</v>
      </c>
      <c r="F591" s="161">
        <v>0</v>
      </c>
      <c r="G591"/>
      <c r="H591">
        <f t="shared" si="9"/>
        <v>724</v>
      </c>
    </row>
    <row r="592" spans="1:8" x14ac:dyDescent="0.25">
      <c r="A592" s="161" t="s">
        <v>1557</v>
      </c>
      <c r="B592" s="161" t="s">
        <v>1511</v>
      </c>
      <c r="C592" s="161" t="s">
        <v>1049</v>
      </c>
      <c r="D592" s="161" t="s">
        <v>91</v>
      </c>
      <c r="E592" s="161">
        <v>0</v>
      </c>
      <c r="F592" s="161">
        <v>0</v>
      </c>
      <c r="G592"/>
      <c r="H592">
        <f t="shared" si="9"/>
        <v>296</v>
      </c>
    </row>
    <row r="593" spans="1:8" x14ac:dyDescent="0.25">
      <c r="A593" s="161" t="s">
        <v>1557</v>
      </c>
      <c r="B593" s="161" t="s">
        <v>1511</v>
      </c>
      <c r="C593" s="161" t="s">
        <v>1050</v>
      </c>
      <c r="D593" s="161" t="s">
        <v>91</v>
      </c>
      <c r="E593" s="161">
        <v>0</v>
      </c>
      <c r="F593" s="161">
        <v>0</v>
      </c>
      <c r="G593"/>
      <c r="H593">
        <f t="shared" si="9"/>
        <v>990</v>
      </c>
    </row>
    <row r="594" spans="1:8" x14ac:dyDescent="0.25">
      <c r="A594" s="161" t="s">
        <v>1557</v>
      </c>
      <c r="B594" s="161" t="s">
        <v>1511</v>
      </c>
      <c r="C594" s="161" t="s">
        <v>1051</v>
      </c>
      <c r="D594" s="161" t="s">
        <v>91</v>
      </c>
      <c r="E594" s="161">
        <v>0</v>
      </c>
      <c r="F594" s="161">
        <v>0</v>
      </c>
      <c r="G594"/>
      <c r="H594">
        <f t="shared" si="9"/>
        <v>603</v>
      </c>
    </row>
    <row r="595" spans="1:8" x14ac:dyDescent="0.25">
      <c r="A595" s="161" t="s">
        <v>1557</v>
      </c>
      <c r="B595" s="161" t="s">
        <v>1511</v>
      </c>
      <c r="C595" s="161" t="s">
        <v>1052</v>
      </c>
      <c r="D595" s="161" t="s">
        <v>91</v>
      </c>
      <c r="E595" s="161">
        <v>0</v>
      </c>
      <c r="F595" s="161">
        <v>0</v>
      </c>
      <c r="G595"/>
      <c r="H595">
        <f t="shared" si="9"/>
        <v>795</v>
      </c>
    </row>
    <row r="596" spans="1:8" x14ac:dyDescent="0.25">
      <c r="A596" s="161" t="s">
        <v>1557</v>
      </c>
      <c r="B596" s="161" t="s">
        <v>1511</v>
      </c>
      <c r="C596" s="161" t="s">
        <v>1053</v>
      </c>
      <c r="D596" s="161" t="s">
        <v>91</v>
      </c>
      <c r="E596" s="161">
        <v>0</v>
      </c>
      <c r="F596" s="161">
        <v>0</v>
      </c>
      <c r="G596"/>
      <c r="H596">
        <f t="shared" si="9"/>
        <v>760</v>
      </c>
    </row>
    <row r="597" spans="1:8" x14ac:dyDescent="0.25">
      <c r="A597" s="161" t="s">
        <v>1557</v>
      </c>
      <c r="B597" s="161" t="s">
        <v>1511</v>
      </c>
      <c r="C597" s="161" t="s">
        <v>1054</v>
      </c>
      <c r="D597" s="161" t="s">
        <v>98</v>
      </c>
      <c r="E597" s="161">
        <v>0</v>
      </c>
      <c r="F597" s="161">
        <v>0</v>
      </c>
      <c r="G597"/>
      <c r="H597">
        <f t="shared" si="9"/>
        <v>541</v>
      </c>
    </row>
    <row r="598" spans="1:8" x14ac:dyDescent="0.25">
      <c r="A598" s="161" t="s">
        <v>1557</v>
      </c>
      <c r="B598" s="161" t="s">
        <v>1511</v>
      </c>
      <c r="C598" s="161" t="s">
        <v>1055</v>
      </c>
      <c r="D598" s="161" t="s">
        <v>98</v>
      </c>
      <c r="E598" s="161">
        <v>0</v>
      </c>
      <c r="F598" s="161">
        <v>0</v>
      </c>
      <c r="G598"/>
      <c r="H598">
        <f t="shared" si="9"/>
        <v>187</v>
      </c>
    </row>
    <row r="599" spans="1:8" x14ac:dyDescent="0.25">
      <c r="A599" s="161" t="s">
        <v>1557</v>
      </c>
      <c r="B599" s="161" t="s">
        <v>1511</v>
      </c>
      <c r="C599" s="161" t="s">
        <v>1056</v>
      </c>
      <c r="D599" s="161" t="s">
        <v>276</v>
      </c>
      <c r="E599" s="161">
        <v>0</v>
      </c>
      <c r="F599" s="161">
        <v>0</v>
      </c>
      <c r="G599"/>
      <c r="H599">
        <f t="shared" si="9"/>
        <v>555</v>
      </c>
    </row>
    <row r="600" spans="1:8" x14ac:dyDescent="0.25">
      <c r="A600" s="161" t="s">
        <v>1557</v>
      </c>
      <c r="B600" s="161" t="s">
        <v>1511</v>
      </c>
      <c r="C600" s="161" t="s">
        <v>1057</v>
      </c>
      <c r="D600" s="161" t="s">
        <v>88</v>
      </c>
      <c r="E600" s="161">
        <v>0</v>
      </c>
      <c r="F600" s="161">
        <v>0</v>
      </c>
      <c r="G600"/>
      <c r="H600">
        <f t="shared" si="9"/>
        <v>467</v>
      </c>
    </row>
    <row r="601" spans="1:8" x14ac:dyDescent="0.25">
      <c r="A601" s="161" t="s">
        <v>1557</v>
      </c>
      <c r="B601" s="161" t="s">
        <v>1511</v>
      </c>
      <c r="C601" s="161" t="s">
        <v>661</v>
      </c>
      <c r="D601" s="161" t="s">
        <v>146</v>
      </c>
      <c r="E601" s="161">
        <v>0</v>
      </c>
      <c r="F601" s="161">
        <v>0</v>
      </c>
      <c r="G601"/>
      <c r="H601">
        <f t="shared" si="9"/>
        <v>1073</v>
      </c>
    </row>
    <row r="602" spans="1:8" x14ac:dyDescent="0.25">
      <c r="A602" s="161" t="s">
        <v>1557</v>
      </c>
      <c r="B602" s="161" t="s">
        <v>1511</v>
      </c>
      <c r="C602" s="161" t="s">
        <v>768</v>
      </c>
      <c r="D602" s="161" t="s">
        <v>146</v>
      </c>
      <c r="E602" s="161">
        <v>0</v>
      </c>
      <c r="F602" s="161">
        <v>0</v>
      </c>
      <c r="G602"/>
      <c r="H602">
        <f t="shared" si="9"/>
        <v>750</v>
      </c>
    </row>
    <row r="603" spans="1:8" x14ac:dyDescent="0.25">
      <c r="A603" s="161" t="s">
        <v>1557</v>
      </c>
      <c r="B603" s="161" t="s">
        <v>1511</v>
      </c>
      <c r="C603" s="161" t="s">
        <v>1058</v>
      </c>
      <c r="D603" s="161" t="s">
        <v>88</v>
      </c>
      <c r="E603" s="161">
        <v>0</v>
      </c>
      <c r="F603" s="161">
        <v>0</v>
      </c>
      <c r="G603"/>
      <c r="H603">
        <f t="shared" si="9"/>
        <v>965</v>
      </c>
    </row>
    <row r="604" spans="1:8" x14ac:dyDescent="0.25">
      <c r="A604" s="161" t="s">
        <v>1557</v>
      </c>
      <c r="B604" s="161" t="s">
        <v>1511</v>
      </c>
      <c r="C604" s="161" t="s">
        <v>1059</v>
      </c>
      <c r="D604" s="161" t="s">
        <v>98</v>
      </c>
      <c r="E604" s="161">
        <v>0</v>
      </c>
      <c r="F604" s="161">
        <v>0</v>
      </c>
      <c r="G604"/>
      <c r="H604">
        <f t="shared" si="9"/>
        <v>871</v>
      </c>
    </row>
    <row r="605" spans="1:8" x14ac:dyDescent="0.25">
      <c r="A605" s="161" t="s">
        <v>1557</v>
      </c>
      <c r="B605" s="161" t="s">
        <v>1511</v>
      </c>
      <c r="C605" s="161" t="s">
        <v>1060</v>
      </c>
      <c r="D605" s="161" t="s">
        <v>91</v>
      </c>
      <c r="E605" s="161">
        <v>0</v>
      </c>
      <c r="F605" s="161">
        <v>0</v>
      </c>
      <c r="G605"/>
      <c r="H605">
        <f t="shared" si="9"/>
        <v>968</v>
      </c>
    </row>
    <row r="606" spans="1:8" x14ac:dyDescent="0.25">
      <c r="A606" s="161" t="s">
        <v>1557</v>
      </c>
      <c r="B606" s="161" t="s">
        <v>1511</v>
      </c>
      <c r="C606" s="161" t="s">
        <v>1061</v>
      </c>
      <c r="D606" s="161" t="s">
        <v>91</v>
      </c>
      <c r="E606" s="161">
        <v>0</v>
      </c>
      <c r="F606" s="161">
        <v>0</v>
      </c>
      <c r="G606"/>
      <c r="H606">
        <f t="shared" si="9"/>
        <v>251</v>
      </c>
    </row>
    <row r="607" spans="1:8" x14ac:dyDescent="0.25">
      <c r="A607" s="161" t="s">
        <v>1557</v>
      </c>
      <c r="B607" s="161" t="s">
        <v>1511</v>
      </c>
      <c r="C607" s="161" t="s">
        <v>1062</v>
      </c>
      <c r="D607" s="161" t="s">
        <v>91</v>
      </c>
      <c r="E607" s="161">
        <v>0</v>
      </c>
      <c r="F607" s="161">
        <v>0</v>
      </c>
      <c r="G607"/>
      <c r="H607">
        <f t="shared" si="9"/>
        <v>991</v>
      </c>
    </row>
    <row r="608" spans="1:8" x14ac:dyDescent="0.25">
      <c r="A608" s="161" t="s">
        <v>1557</v>
      </c>
      <c r="B608" s="161" t="s">
        <v>1511</v>
      </c>
      <c r="C608" s="161" t="s">
        <v>1063</v>
      </c>
      <c r="D608" s="161" t="s">
        <v>91</v>
      </c>
      <c r="E608" s="161">
        <v>0</v>
      </c>
      <c r="F608" s="161">
        <v>0</v>
      </c>
      <c r="G608"/>
      <c r="H608">
        <f t="shared" si="9"/>
        <v>708</v>
      </c>
    </row>
    <row r="609" spans="1:8" x14ac:dyDescent="0.25">
      <c r="A609" s="161" t="s">
        <v>1557</v>
      </c>
      <c r="B609" s="161" t="s">
        <v>1511</v>
      </c>
      <c r="C609" s="161" t="s">
        <v>1064</v>
      </c>
      <c r="D609" s="161" t="s">
        <v>105</v>
      </c>
      <c r="E609" s="161">
        <v>0</v>
      </c>
      <c r="F609" s="161">
        <v>0</v>
      </c>
      <c r="G609"/>
      <c r="H609">
        <f t="shared" si="9"/>
        <v>237</v>
      </c>
    </row>
    <row r="610" spans="1:8" x14ac:dyDescent="0.25">
      <c r="A610" s="161" t="s">
        <v>1557</v>
      </c>
      <c r="B610" s="161" t="s">
        <v>1511</v>
      </c>
      <c r="C610" s="161" t="s">
        <v>667</v>
      </c>
      <c r="D610" s="161" t="s">
        <v>105</v>
      </c>
      <c r="E610" s="161">
        <v>0</v>
      </c>
      <c r="F610" s="161">
        <v>0</v>
      </c>
      <c r="G610"/>
      <c r="H610">
        <f t="shared" si="9"/>
        <v>395</v>
      </c>
    </row>
    <row r="611" spans="1:8" x14ac:dyDescent="0.25">
      <c r="A611" s="161" t="s">
        <v>1557</v>
      </c>
      <c r="B611" s="161" t="s">
        <v>1511</v>
      </c>
      <c r="C611" s="161" t="s">
        <v>1065</v>
      </c>
      <c r="D611" s="161" t="s">
        <v>105</v>
      </c>
      <c r="E611" s="161">
        <v>0</v>
      </c>
      <c r="F611" s="161">
        <v>0</v>
      </c>
      <c r="G611"/>
      <c r="H611">
        <f t="shared" si="9"/>
        <v>199</v>
      </c>
    </row>
    <row r="612" spans="1:8" x14ac:dyDescent="0.25">
      <c r="A612" s="161" t="s">
        <v>1557</v>
      </c>
      <c r="B612" s="161" t="s">
        <v>1511</v>
      </c>
      <c r="C612" s="161" t="s">
        <v>1066</v>
      </c>
      <c r="D612" s="161" t="s">
        <v>88</v>
      </c>
      <c r="E612" s="161">
        <v>0</v>
      </c>
      <c r="F612" s="161">
        <v>0</v>
      </c>
      <c r="G612"/>
      <c r="H612">
        <f t="shared" si="9"/>
        <v>451</v>
      </c>
    </row>
    <row r="613" spans="1:8" x14ac:dyDescent="0.25">
      <c r="A613" s="161" t="s">
        <v>1557</v>
      </c>
      <c r="B613" s="161" t="s">
        <v>1511</v>
      </c>
      <c r="C613" s="161" t="s">
        <v>734</v>
      </c>
      <c r="D613" s="161" t="s">
        <v>146</v>
      </c>
      <c r="E613" s="161">
        <v>0</v>
      </c>
      <c r="F613" s="161">
        <v>0</v>
      </c>
      <c r="G613"/>
      <c r="H613">
        <f t="shared" si="9"/>
        <v>746</v>
      </c>
    </row>
    <row r="614" spans="1:8" x14ac:dyDescent="0.25">
      <c r="A614" s="161" t="s">
        <v>1557</v>
      </c>
      <c r="B614" s="161" t="s">
        <v>1511</v>
      </c>
      <c r="C614" s="161" t="s">
        <v>1067</v>
      </c>
      <c r="D614" s="161" t="s">
        <v>91</v>
      </c>
      <c r="E614" s="161">
        <v>0</v>
      </c>
      <c r="F614" s="161">
        <v>0</v>
      </c>
      <c r="G614"/>
      <c r="H614">
        <f t="shared" si="9"/>
        <v>270</v>
      </c>
    </row>
    <row r="615" spans="1:8" x14ac:dyDescent="0.25">
      <c r="A615" s="161" t="s">
        <v>1557</v>
      </c>
      <c r="B615" s="161" t="s">
        <v>1511</v>
      </c>
      <c r="C615" s="161" t="s">
        <v>1068</v>
      </c>
      <c r="D615" s="161" t="s">
        <v>105</v>
      </c>
      <c r="E615" s="161">
        <v>0</v>
      </c>
      <c r="F615" s="161">
        <v>0</v>
      </c>
      <c r="G615"/>
      <c r="H615">
        <f t="shared" si="9"/>
        <v>280</v>
      </c>
    </row>
    <row r="616" spans="1:8" x14ac:dyDescent="0.25">
      <c r="A616" s="161" t="s">
        <v>1557</v>
      </c>
      <c r="B616" s="161" t="s">
        <v>1511</v>
      </c>
      <c r="C616" s="161" t="s">
        <v>1069</v>
      </c>
      <c r="D616" s="161" t="s">
        <v>105</v>
      </c>
      <c r="E616" s="161">
        <v>0</v>
      </c>
      <c r="F616" s="161">
        <v>0</v>
      </c>
      <c r="G616"/>
      <c r="H616">
        <f t="shared" si="9"/>
        <v>918</v>
      </c>
    </row>
    <row r="617" spans="1:8" x14ac:dyDescent="0.25">
      <c r="A617" s="161" t="s">
        <v>1557</v>
      </c>
      <c r="B617" s="161" t="s">
        <v>1511</v>
      </c>
      <c r="C617" s="161" t="s">
        <v>1070</v>
      </c>
      <c r="D617" s="161" t="s">
        <v>98</v>
      </c>
      <c r="E617" s="161">
        <v>0</v>
      </c>
      <c r="F617" s="161">
        <v>0</v>
      </c>
      <c r="G617"/>
      <c r="H617">
        <f t="shared" si="9"/>
        <v>302</v>
      </c>
    </row>
    <row r="618" spans="1:8" x14ac:dyDescent="0.25">
      <c r="A618" s="161" t="s">
        <v>1557</v>
      </c>
      <c r="B618" s="161" t="s">
        <v>1511</v>
      </c>
      <c r="C618" s="161" t="s">
        <v>1072</v>
      </c>
      <c r="D618" s="161" t="s">
        <v>91</v>
      </c>
      <c r="E618" s="161">
        <v>0</v>
      </c>
      <c r="F618" s="161">
        <v>0</v>
      </c>
      <c r="G618"/>
      <c r="H618">
        <f t="shared" si="9"/>
        <v>552</v>
      </c>
    </row>
    <row r="619" spans="1:8" x14ac:dyDescent="0.25">
      <c r="A619" s="161" t="s">
        <v>1557</v>
      </c>
      <c r="B619" s="161" t="s">
        <v>1511</v>
      </c>
      <c r="C619" s="161" t="s">
        <v>1073</v>
      </c>
      <c r="D619" s="161" t="s">
        <v>91</v>
      </c>
      <c r="E619" s="161">
        <v>0</v>
      </c>
      <c r="F619" s="161">
        <v>0</v>
      </c>
      <c r="G619"/>
      <c r="H619">
        <f t="shared" si="9"/>
        <v>370</v>
      </c>
    </row>
    <row r="620" spans="1:8" x14ac:dyDescent="0.25">
      <c r="A620" s="161" t="s">
        <v>1557</v>
      </c>
      <c r="B620" s="161" t="s">
        <v>1511</v>
      </c>
      <c r="C620" s="161" t="s">
        <v>1074</v>
      </c>
      <c r="D620" s="161" t="s">
        <v>91</v>
      </c>
      <c r="E620" s="161">
        <v>0</v>
      </c>
      <c r="F620" s="161">
        <v>0</v>
      </c>
      <c r="G620"/>
      <c r="H620">
        <f t="shared" si="9"/>
        <v>781</v>
      </c>
    </row>
    <row r="621" spans="1:8" x14ac:dyDescent="0.25">
      <c r="A621" s="161" t="s">
        <v>1557</v>
      </c>
      <c r="B621" s="161" t="s">
        <v>1511</v>
      </c>
      <c r="C621" s="161" t="s">
        <v>1075</v>
      </c>
      <c r="D621" s="161" t="s">
        <v>91</v>
      </c>
      <c r="E621" s="161">
        <v>0</v>
      </c>
      <c r="F621" s="161">
        <v>0</v>
      </c>
      <c r="G621"/>
      <c r="H621">
        <f t="shared" si="9"/>
        <v>328</v>
      </c>
    </row>
    <row r="622" spans="1:8" x14ac:dyDescent="0.25">
      <c r="A622" s="161" t="s">
        <v>1557</v>
      </c>
      <c r="B622" s="161" t="s">
        <v>1511</v>
      </c>
      <c r="C622" s="161" t="s">
        <v>1076</v>
      </c>
      <c r="D622" s="161" t="s">
        <v>91</v>
      </c>
      <c r="E622" s="161">
        <v>0</v>
      </c>
      <c r="F622" s="161">
        <v>0</v>
      </c>
      <c r="G622"/>
      <c r="H622">
        <f t="shared" si="9"/>
        <v>612</v>
      </c>
    </row>
    <row r="623" spans="1:8" x14ac:dyDescent="0.25">
      <c r="A623" s="161" t="s">
        <v>1557</v>
      </c>
      <c r="B623" s="161" t="s">
        <v>1511</v>
      </c>
      <c r="C623" s="161" t="s">
        <v>1077</v>
      </c>
      <c r="D623" s="161" t="s">
        <v>98</v>
      </c>
      <c r="E623" s="161">
        <v>0</v>
      </c>
      <c r="F623" s="161">
        <v>0</v>
      </c>
      <c r="G623"/>
      <c r="H623">
        <f t="shared" si="9"/>
        <v>514</v>
      </c>
    </row>
    <row r="624" spans="1:8" x14ac:dyDescent="0.25">
      <c r="A624" s="161" t="s">
        <v>1557</v>
      </c>
      <c r="B624" s="161" t="s">
        <v>1491</v>
      </c>
      <c r="C624" s="161" t="s">
        <v>723</v>
      </c>
      <c r="D624" s="161" t="s">
        <v>91</v>
      </c>
      <c r="E624" s="161">
        <v>0</v>
      </c>
      <c r="F624" s="161">
        <v>0</v>
      </c>
      <c r="G624"/>
      <c r="H624">
        <f t="shared" si="9"/>
        <v>843</v>
      </c>
    </row>
    <row r="625" spans="1:8" x14ac:dyDescent="0.25">
      <c r="A625" s="161" t="s">
        <v>1557</v>
      </c>
      <c r="B625" s="161" t="s">
        <v>1511</v>
      </c>
      <c r="C625" s="161" t="s">
        <v>1078</v>
      </c>
      <c r="D625" s="161" t="s">
        <v>91</v>
      </c>
      <c r="E625" s="161">
        <v>0</v>
      </c>
      <c r="F625" s="161">
        <v>0</v>
      </c>
      <c r="G625"/>
      <c r="H625">
        <f t="shared" si="9"/>
        <v>246</v>
      </c>
    </row>
    <row r="626" spans="1:8" x14ac:dyDescent="0.25">
      <c r="A626" s="161" t="s">
        <v>1557</v>
      </c>
      <c r="B626" s="161" t="s">
        <v>1511</v>
      </c>
      <c r="C626" s="161" t="s">
        <v>1079</v>
      </c>
      <c r="D626" s="161" t="s">
        <v>98</v>
      </c>
      <c r="E626" s="161">
        <v>0</v>
      </c>
      <c r="F626" s="161">
        <v>0</v>
      </c>
      <c r="G626"/>
      <c r="H626">
        <f t="shared" si="9"/>
        <v>735</v>
      </c>
    </row>
    <row r="627" spans="1:8" x14ac:dyDescent="0.25">
      <c r="A627" s="161" t="s">
        <v>1557</v>
      </c>
      <c r="B627" s="161" t="s">
        <v>1511</v>
      </c>
      <c r="C627" s="161" t="s">
        <v>1080</v>
      </c>
      <c r="D627" s="161" t="s">
        <v>98</v>
      </c>
      <c r="E627" s="161">
        <v>0</v>
      </c>
      <c r="F627" s="161">
        <v>0</v>
      </c>
      <c r="G627"/>
      <c r="H627">
        <f t="shared" si="9"/>
        <v>978</v>
      </c>
    </row>
    <row r="628" spans="1:8" x14ac:dyDescent="0.25">
      <c r="A628" s="161" t="s">
        <v>1557</v>
      </c>
      <c r="B628" s="161" t="s">
        <v>1511</v>
      </c>
      <c r="C628" s="161" t="s">
        <v>1081</v>
      </c>
      <c r="D628" s="161" t="s">
        <v>91</v>
      </c>
      <c r="E628" s="161">
        <v>0</v>
      </c>
      <c r="F628" s="161">
        <v>0</v>
      </c>
      <c r="G628"/>
      <c r="H628">
        <f t="shared" si="9"/>
        <v>906</v>
      </c>
    </row>
    <row r="629" spans="1:8" x14ac:dyDescent="0.25">
      <c r="A629" s="161" t="s">
        <v>1557</v>
      </c>
      <c r="B629" s="161" t="s">
        <v>1511</v>
      </c>
      <c r="C629" s="161" t="s">
        <v>1082</v>
      </c>
      <c r="D629" s="161" t="s">
        <v>98</v>
      </c>
      <c r="E629" s="161">
        <v>0</v>
      </c>
      <c r="F629" s="161">
        <v>0</v>
      </c>
      <c r="G629"/>
      <c r="H629">
        <f t="shared" si="9"/>
        <v>923</v>
      </c>
    </row>
    <row r="630" spans="1:8" x14ac:dyDescent="0.25">
      <c r="A630" s="161" t="s">
        <v>1557</v>
      </c>
      <c r="B630" s="161" t="s">
        <v>1511</v>
      </c>
      <c r="C630" s="161" t="s">
        <v>790</v>
      </c>
      <c r="D630" s="161" t="s">
        <v>146</v>
      </c>
      <c r="E630" s="161">
        <v>0</v>
      </c>
      <c r="F630" s="161">
        <v>0</v>
      </c>
      <c r="G630"/>
      <c r="H630">
        <f t="shared" si="9"/>
        <v>948</v>
      </c>
    </row>
    <row r="631" spans="1:8" x14ac:dyDescent="0.25">
      <c r="A631" s="161" t="s">
        <v>1557</v>
      </c>
      <c r="B631" s="161" t="s">
        <v>1511</v>
      </c>
      <c r="C631" s="161" t="s">
        <v>1083</v>
      </c>
      <c r="D631" s="161" t="s">
        <v>98</v>
      </c>
      <c r="E631" s="161">
        <v>0</v>
      </c>
      <c r="F631" s="161">
        <v>0</v>
      </c>
      <c r="G631"/>
      <c r="H631">
        <f t="shared" si="9"/>
        <v>660</v>
      </c>
    </row>
    <row r="632" spans="1:8" x14ac:dyDescent="0.25">
      <c r="A632" s="161" t="s">
        <v>1557</v>
      </c>
      <c r="B632" s="161" t="s">
        <v>1511</v>
      </c>
      <c r="C632" s="161" t="s">
        <v>828</v>
      </c>
      <c r="D632" s="161" t="s">
        <v>98</v>
      </c>
      <c r="E632" s="161">
        <v>0</v>
      </c>
      <c r="F632" s="161">
        <v>0</v>
      </c>
      <c r="G632"/>
      <c r="H632">
        <f t="shared" si="9"/>
        <v>310</v>
      </c>
    </row>
    <row r="633" spans="1:8" x14ac:dyDescent="0.25">
      <c r="A633" s="161" t="s">
        <v>1557</v>
      </c>
      <c r="B633" s="161" t="s">
        <v>1511</v>
      </c>
      <c r="C633" s="161" t="s">
        <v>1084</v>
      </c>
      <c r="D633" s="161" t="s">
        <v>112</v>
      </c>
      <c r="E633" s="161">
        <v>0</v>
      </c>
      <c r="F633" s="161">
        <v>0</v>
      </c>
      <c r="G633"/>
      <c r="H633">
        <f t="shared" si="9"/>
        <v>754</v>
      </c>
    </row>
    <row r="634" spans="1:8" x14ac:dyDescent="0.25">
      <c r="A634" s="161" t="s">
        <v>1557</v>
      </c>
      <c r="B634" s="161" t="s">
        <v>1511</v>
      </c>
      <c r="C634" s="161" t="s">
        <v>718</v>
      </c>
      <c r="D634" s="161" t="s">
        <v>146</v>
      </c>
      <c r="E634" s="161">
        <v>0</v>
      </c>
      <c r="F634" s="161">
        <v>0</v>
      </c>
      <c r="G634"/>
      <c r="H634">
        <f t="shared" si="9"/>
        <v>653</v>
      </c>
    </row>
    <row r="635" spans="1:8" x14ac:dyDescent="0.25">
      <c r="A635" s="161" t="s">
        <v>1557</v>
      </c>
      <c r="B635" s="161" t="s">
        <v>1511</v>
      </c>
      <c r="C635" s="161" t="s">
        <v>731</v>
      </c>
      <c r="D635" s="161" t="s">
        <v>98</v>
      </c>
      <c r="E635" s="161">
        <v>0</v>
      </c>
      <c r="F635" s="161">
        <v>0</v>
      </c>
      <c r="G635"/>
      <c r="H635">
        <f t="shared" si="9"/>
        <v>776</v>
      </c>
    </row>
    <row r="636" spans="1:8" x14ac:dyDescent="0.25">
      <c r="A636" s="161" t="s">
        <v>1557</v>
      </c>
      <c r="B636" s="161" t="s">
        <v>1511</v>
      </c>
      <c r="C636" s="161" t="s">
        <v>1085</v>
      </c>
      <c r="D636" s="161" t="s">
        <v>98</v>
      </c>
      <c r="E636" s="161">
        <v>0</v>
      </c>
      <c r="F636" s="161">
        <v>0</v>
      </c>
      <c r="G636"/>
      <c r="H636">
        <f t="shared" si="9"/>
        <v>390</v>
      </c>
    </row>
    <row r="637" spans="1:8" x14ac:dyDescent="0.25">
      <c r="A637" s="161" t="s">
        <v>1557</v>
      </c>
      <c r="B637" s="161" t="s">
        <v>1511</v>
      </c>
      <c r="C637" s="161" t="s">
        <v>1086</v>
      </c>
      <c r="D637" s="161" t="s">
        <v>98</v>
      </c>
      <c r="E637" s="161">
        <v>0</v>
      </c>
      <c r="F637" s="161">
        <v>0</v>
      </c>
      <c r="G637"/>
      <c r="H637">
        <f t="shared" si="9"/>
        <v>961</v>
      </c>
    </row>
    <row r="638" spans="1:8" x14ac:dyDescent="0.25">
      <c r="A638" s="161" t="s">
        <v>1557</v>
      </c>
      <c r="B638" s="161" t="s">
        <v>1511</v>
      </c>
      <c r="C638" s="161" t="s">
        <v>1087</v>
      </c>
      <c r="D638" s="161" t="s">
        <v>91</v>
      </c>
      <c r="E638" s="161">
        <v>0</v>
      </c>
      <c r="F638" s="161">
        <v>0</v>
      </c>
      <c r="G638"/>
      <c r="H638">
        <f t="shared" si="9"/>
        <v>577</v>
      </c>
    </row>
    <row r="639" spans="1:8" x14ac:dyDescent="0.25">
      <c r="A639" s="161" t="s">
        <v>1557</v>
      </c>
      <c r="B639" s="161" t="s">
        <v>1511</v>
      </c>
      <c r="C639" s="161" t="s">
        <v>1088</v>
      </c>
      <c r="D639" s="161"/>
      <c r="E639" s="161">
        <v>0</v>
      </c>
      <c r="F639" s="161">
        <v>0</v>
      </c>
      <c r="G639"/>
      <c r="H639">
        <f t="shared" si="9"/>
        <v>672</v>
      </c>
    </row>
    <row r="640" spans="1:8" x14ac:dyDescent="0.25">
      <c r="A640" s="161" t="s">
        <v>1557</v>
      </c>
      <c r="B640" s="161" t="s">
        <v>1511</v>
      </c>
      <c r="C640" s="161" t="s">
        <v>1089</v>
      </c>
      <c r="D640" s="161" t="s">
        <v>91</v>
      </c>
      <c r="E640" s="161">
        <v>0</v>
      </c>
      <c r="F640" s="161">
        <v>0</v>
      </c>
      <c r="G640"/>
      <c r="H640">
        <f t="shared" si="9"/>
        <v>371</v>
      </c>
    </row>
    <row r="641" spans="1:8" x14ac:dyDescent="0.25">
      <c r="A641" s="161" t="s">
        <v>1557</v>
      </c>
      <c r="B641" s="161" t="s">
        <v>1511</v>
      </c>
      <c r="C641" s="161" t="s">
        <v>1090</v>
      </c>
      <c r="D641" s="161" t="s">
        <v>91</v>
      </c>
      <c r="E641" s="161">
        <v>0</v>
      </c>
      <c r="F641" s="161">
        <v>0</v>
      </c>
      <c r="G641"/>
      <c r="H641">
        <f t="shared" si="9"/>
        <v>844</v>
      </c>
    </row>
    <row r="642" spans="1:8" x14ac:dyDescent="0.25">
      <c r="A642" s="161" t="s">
        <v>1557</v>
      </c>
      <c r="B642" s="161" t="s">
        <v>1511</v>
      </c>
      <c r="C642" s="161" t="s">
        <v>1316</v>
      </c>
      <c r="D642" s="161" t="s">
        <v>98</v>
      </c>
      <c r="E642" s="161">
        <v>0</v>
      </c>
      <c r="F642" s="161">
        <v>0</v>
      </c>
      <c r="G642"/>
      <c r="H642">
        <f t="shared" ref="H642:H705" si="10">SUMPRODUCT((C$2:C$1090 &lt; C642)+(C642="")*1000)</f>
        <v>317</v>
      </c>
    </row>
    <row r="643" spans="1:8" x14ac:dyDescent="0.25">
      <c r="A643" s="161" t="s">
        <v>1557</v>
      </c>
      <c r="B643" s="161" t="s">
        <v>1511</v>
      </c>
      <c r="C643" s="161" t="s">
        <v>1091</v>
      </c>
      <c r="D643" s="161" t="s">
        <v>88</v>
      </c>
      <c r="E643" s="161">
        <v>0</v>
      </c>
      <c r="F643" s="161">
        <v>0</v>
      </c>
      <c r="G643"/>
      <c r="H643">
        <f t="shared" si="10"/>
        <v>447</v>
      </c>
    </row>
    <row r="644" spans="1:8" x14ac:dyDescent="0.25">
      <c r="A644" s="161" t="s">
        <v>1557</v>
      </c>
      <c r="B644" s="161" t="s">
        <v>1511</v>
      </c>
      <c r="C644" s="161" t="s">
        <v>1320</v>
      </c>
      <c r="D644" s="161" t="s">
        <v>98</v>
      </c>
      <c r="E644" s="161">
        <v>0</v>
      </c>
      <c r="F644" s="161">
        <v>0</v>
      </c>
      <c r="G644"/>
      <c r="H644">
        <f t="shared" si="10"/>
        <v>586</v>
      </c>
    </row>
    <row r="645" spans="1:8" x14ac:dyDescent="0.25">
      <c r="A645" s="161" t="s">
        <v>1557</v>
      </c>
      <c r="B645" s="161" t="s">
        <v>1511</v>
      </c>
      <c r="C645" s="161" t="s">
        <v>1092</v>
      </c>
      <c r="D645" s="161" t="s">
        <v>98</v>
      </c>
      <c r="E645" s="161">
        <v>0</v>
      </c>
      <c r="F645" s="161">
        <v>0</v>
      </c>
      <c r="G645"/>
      <c r="H645">
        <f t="shared" si="10"/>
        <v>1051</v>
      </c>
    </row>
    <row r="646" spans="1:8" x14ac:dyDescent="0.25">
      <c r="A646" s="161" t="s">
        <v>1557</v>
      </c>
      <c r="B646" s="161" t="s">
        <v>1511</v>
      </c>
      <c r="C646" s="161" t="s">
        <v>1093</v>
      </c>
      <c r="D646" s="161" t="s">
        <v>91</v>
      </c>
      <c r="E646" s="161">
        <v>0</v>
      </c>
      <c r="F646" s="161">
        <v>0</v>
      </c>
      <c r="G646"/>
      <c r="H646">
        <f t="shared" si="10"/>
        <v>997</v>
      </c>
    </row>
    <row r="647" spans="1:8" x14ac:dyDescent="0.25">
      <c r="A647" s="161" t="s">
        <v>1557</v>
      </c>
      <c r="B647" s="161" t="s">
        <v>1511</v>
      </c>
      <c r="C647" s="161" t="s">
        <v>1094</v>
      </c>
      <c r="D647" s="161" t="s">
        <v>91</v>
      </c>
      <c r="E647" s="161">
        <v>0</v>
      </c>
      <c r="F647" s="161">
        <v>0</v>
      </c>
      <c r="G647"/>
      <c r="H647">
        <f t="shared" si="10"/>
        <v>613</v>
      </c>
    </row>
    <row r="648" spans="1:8" x14ac:dyDescent="0.25">
      <c r="A648" s="161" t="s">
        <v>1557</v>
      </c>
      <c r="B648" s="161" t="s">
        <v>1511</v>
      </c>
      <c r="C648" s="161" t="s">
        <v>1095</v>
      </c>
      <c r="D648" s="161" t="s">
        <v>91</v>
      </c>
      <c r="E648" s="161">
        <v>0</v>
      </c>
      <c r="F648" s="161">
        <v>0</v>
      </c>
      <c r="G648"/>
      <c r="H648">
        <f t="shared" si="10"/>
        <v>858</v>
      </c>
    </row>
    <row r="649" spans="1:8" x14ac:dyDescent="0.25">
      <c r="A649" s="161" t="s">
        <v>1557</v>
      </c>
      <c r="B649" s="161" t="s">
        <v>1511</v>
      </c>
      <c r="C649" s="161" t="s">
        <v>1096</v>
      </c>
      <c r="D649" s="161" t="s">
        <v>274</v>
      </c>
      <c r="E649" s="161">
        <v>0</v>
      </c>
      <c r="F649" s="161">
        <v>0</v>
      </c>
      <c r="G649"/>
      <c r="H649">
        <f t="shared" si="10"/>
        <v>319</v>
      </c>
    </row>
    <row r="650" spans="1:8" x14ac:dyDescent="0.25">
      <c r="A650" s="161" t="s">
        <v>1557</v>
      </c>
      <c r="B650" s="161" t="s">
        <v>1511</v>
      </c>
      <c r="C650" s="161" t="s">
        <v>1097</v>
      </c>
      <c r="D650" s="161" t="s">
        <v>98</v>
      </c>
      <c r="E650" s="161">
        <v>0</v>
      </c>
      <c r="F650" s="161">
        <v>0</v>
      </c>
      <c r="G650"/>
      <c r="H650">
        <f t="shared" si="10"/>
        <v>1086</v>
      </c>
    </row>
    <row r="651" spans="1:8" x14ac:dyDescent="0.25">
      <c r="A651" s="161" t="s">
        <v>1557</v>
      </c>
      <c r="B651" s="161" t="s">
        <v>1511</v>
      </c>
      <c r="C651" s="161" t="s">
        <v>1098</v>
      </c>
      <c r="D651" s="161" t="s">
        <v>98</v>
      </c>
      <c r="E651" s="161">
        <v>0</v>
      </c>
      <c r="F651" s="161">
        <v>0</v>
      </c>
      <c r="G651"/>
      <c r="H651">
        <f t="shared" si="10"/>
        <v>465</v>
      </c>
    </row>
    <row r="652" spans="1:8" x14ac:dyDescent="0.25">
      <c r="A652" s="161" t="s">
        <v>1557</v>
      </c>
      <c r="B652" s="161" t="s">
        <v>1511</v>
      </c>
      <c r="C652" s="161" t="s">
        <v>1099</v>
      </c>
      <c r="D652" s="161" t="s">
        <v>148</v>
      </c>
      <c r="E652" s="161">
        <v>0</v>
      </c>
      <c r="F652" s="161">
        <v>0</v>
      </c>
      <c r="G652"/>
      <c r="H652">
        <f t="shared" si="10"/>
        <v>471</v>
      </c>
    </row>
    <row r="653" spans="1:8" x14ac:dyDescent="0.25">
      <c r="A653" s="161" t="s">
        <v>1557</v>
      </c>
      <c r="B653" s="161" t="s">
        <v>1511</v>
      </c>
      <c r="C653" s="161" t="s">
        <v>806</v>
      </c>
      <c r="D653" s="161" t="s">
        <v>152</v>
      </c>
      <c r="E653" s="161">
        <v>0</v>
      </c>
      <c r="F653" s="161">
        <v>0</v>
      </c>
      <c r="G653"/>
      <c r="H653">
        <f t="shared" si="10"/>
        <v>876</v>
      </c>
    </row>
    <row r="654" spans="1:8" x14ac:dyDescent="0.25">
      <c r="A654" s="161" t="s">
        <v>1557</v>
      </c>
      <c r="B654" s="161" t="s">
        <v>1511</v>
      </c>
      <c r="C654" s="161" t="s">
        <v>1100</v>
      </c>
      <c r="D654" s="161" t="s">
        <v>91</v>
      </c>
      <c r="E654" s="161">
        <v>0</v>
      </c>
      <c r="F654" s="161">
        <v>0</v>
      </c>
      <c r="G654"/>
      <c r="H654">
        <f t="shared" si="10"/>
        <v>272</v>
      </c>
    </row>
    <row r="655" spans="1:8" x14ac:dyDescent="0.25">
      <c r="A655" s="161" t="s">
        <v>1557</v>
      </c>
      <c r="B655" s="161" t="s">
        <v>1511</v>
      </c>
      <c r="C655" s="161" t="s">
        <v>1101</v>
      </c>
      <c r="D655" s="161" t="s">
        <v>91</v>
      </c>
      <c r="E655" s="161">
        <v>0</v>
      </c>
      <c r="F655" s="161">
        <v>0</v>
      </c>
      <c r="G655"/>
      <c r="H655">
        <f t="shared" si="10"/>
        <v>372</v>
      </c>
    </row>
    <row r="656" spans="1:8" x14ac:dyDescent="0.25">
      <c r="A656" s="161" t="s">
        <v>1557</v>
      </c>
      <c r="B656" s="161" t="s">
        <v>1511</v>
      </c>
      <c r="C656" s="161" t="s">
        <v>1102</v>
      </c>
      <c r="D656" s="161" t="s">
        <v>88</v>
      </c>
      <c r="E656" s="161">
        <v>0</v>
      </c>
      <c r="F656" s="161">
        <v>0</v>
      </c>
      <c r="G656"/>
      <c r="H656">
        <f t="shared" si="10"/>
        <v>383</v>
      </c>
    </row>
    <row r="657" spans="1:8" x14ac:dyDescent="0.25">
      <c r="A657" s="161" t="s">
        <v>1557</v>
      </c>
      <c r="B657" s="161" t="s">
        <v>1511</v>
      </c>
      <c r="C657" s="161" t="s">
        <v>1103</v>
      </c>
      <c r="D657" s="161" t="s">
        <v>88</v>
      </c>
      <c r="E657" s="161">
        <v>0</v>
      </c>
      <c r="F657" s="161">
        <v>0</v>
      </c>
      <c r="G657"/>
      <c r="H657">
        <f t="shared" si="10"/>
        <v>966</v>
      </c>
    </row>
    <row r="658" spans="1:8" x14ac:dyDescent="0.25">
      <c r="A658" s="161" t="s">
        <v>1557</v>
      </c>
      <c r="B658" s="161" t="s">
        <v>1511</v>
      </c>
      <c r="C658" s="161" t="s">
        <v>1104</v>
      </c>
      <c r="D658" s="161" t="s">
        <v>148</v>
      </c>
      <c r="E658" s="161">
        <v>0</v>
      </c>
      <c r="F658" s="161">
        <v>0</v>
      </c>
      <c r="G658"/>
      <c r="H658">
        <f t="shared" si="10"/>
        <v>257</v>
      </c>
    </row>
    <row r="659" spans="1:8" x14ac:dyDescent="0.25">
      <c r="A659" s="161" t="s">
        <v>1557</v>
      </c>
      <c r="B659" s="161" t="s">
        <v>1511</v>
      </c>
      <c r="C659" s="161" t="s">
        <v>1105</v>
      </c>
      <c r="D659" s="161" t="s">
        <v>1106</v>
      </c>
      <c r="E659" s="161">
        <v>0</v>
      </c>
      <c r="F659" s="161">
        <v>0</v>
      </c>
      <c r="G659"/>
      <c r="H659">
        <f t="shared" si="10"/>
        <v>830</v>
      </c>
    </row>
    <row r="660" spans="1:8" x14ac:dyDescent="0.25">
      <c r="A660" s="161" t="s">
        <v>1557</v>
      </c>
      <c r="B660" s="161" t="s">
        <v>1511</v>
      </c>
      <c r="C660" s="161" t="s">
        <v>712</v>
      </c>
      <c r="D660" s="161" t="s">
        <v>88</v>
      </c>
      <c r="E660" s="161">
        <v>0</v>
      </c>
      <c r="F660" s="161">
        <v>0</v>
      </c>
      <c r="G660"/>
      <c r="H660">
        <f t="shared" si="10"/>
        <v>233</v>
      </c>
    </row>
    <row r="661" spans="1:8" x14ac:dyDescent="0.25">
      <c r="A661" s="161" t="s">
        <v>1557</v>
      </c>
      <c r="B661" s="161" t="s">
        <v>1511</v>
      </c>
      <c r="C661" s="161" t="s">
        <v>771</v>
      </c>
      <c r="D661" s="161" t="s">
        <v>150</v>
      </c>
      <c r="E661" s="161">
        <v>0</v>
      </c>
      <c r="F661" s="161">
        <v>0</v>
      </c>
      <c r="G661"/>
      <c r="H661">
        <f t="shared" si="10"/>
        <v>193</v>
      </c>
    </row>
    <row r="662" spans="1:8" x14ac:dyDescent="0.25">
      <c r="A662" s="161" t="s">
        <v>1557</v>
      </c>
      <c r="B662" s="161" t="s">
        <v>1511</v>
      </c>
      <c r="C662" s="161" t="s">
        <v>1107</v>
      </c>
      <c r="D662" s="161" t="s">
        <v>98</v>
      </c>
      <c r="E662" s="161">
        <v>0</v>
      </c>
      <c r="F662" s="161">
        <v>0</v>
      </c>
      <c r="G662"/>
      <c r="H662">
        <f t="shared" si="10"/>
        <v>485</v>
      </c>
    </row>
    <row r="663" spans="1:8" x14ac:dyDescent="0.25">
      <c r="A663" s="161" t="s">
        <v>1557</v>
      </c>
      <c r="B663" s="161" t="s">
        <v>1511</v>
      </c>
      <c r="C663" s="161" t="s">
        <v>1108</v>
      </c>
      <c r="D663" s="161" t="s">
        <v>88</v>
      </c>
      <c r="E663" s="161">
        <v>0</v>
      </c>
      <c r="F663" s="161">
        <v>0</v>
      </c>
      <c r="G663"/>
      <c r="H663">
        <f t="shared" si="10"/>
        <v>210</v>
      </c>
    </row>
    <row r="664" spans="1:8" x14ac:dyDescent="0.25">
      <c r="A664" s="161" t="s">
        <v>1557</v>
      </c>
      <c r="B664" s="161" t="s">
        <v>1511</v>
      </c>
      <c r="C664" s="161" t="s">
        <v>1109</v>
      </c>
      <c r="D664" s="161" t="s">
        <v>88</v>
      </c>
      <c r="E664" s="161">
        <v>0</v>
      </c>
      <c r="F664" s="161">
        <v>0</v>
      </c>
      <c r="G664"/>
      <c r="H664">
        <f t="shared" si="10"/>
        <v>292</v>
      </c>
    </row>
    <row r="665" spans="1:8" x14ac:dyDescent="0.25">
      <c r="A665" s="161" t="s">
        <v>1557</v>
      </c>
      <c r="B665" s="161" t="s">
        <v>1511</v>
      </c>
      <c r="C665" s="161" t="s">
        <v>1110</v>
      </c>
      <c r="D665" s="161" t="s">
        <v>148</v>
      </c>
      <c r="E665" s="161">
        <v>0</v>
      </c>
      <c r="F665" s="161">
        <v>0</v>
      </c>
      <c r="G665"/>
      <c r="H665">
        <f t="shared" si="10"/>
        <v>285</v>
      </c>
    </row>
    <row r="666" spans="1:8" x14ac:dyDescent="0.25">
      <c r="A666" s="161" t="s">
        <v>1557</v>
      </c>
      <c r="B666" s="161" t="s">
        <v>1511</v>
      </c>
      <c r="C666" s="161" t="s">
        <v>1111</v>
      </c>
      <c r="D666" s="161" t="s">
        <v>88</v>
      </c>
      <c r="E666" s="161">
        <v>0</v>
      </c>
      <c r="F666" s="161">
        <v>0</v>
      </c>
      <c r="G666"/>
      <c r="H666">
        <f t="shared" si="10"/>
        <v>894</v>
      </c>
    </row>
    <row r="667" spans="1:8" x14ac:dyDescent="0.25">
      <c r="A667" s="161" t="s">
        <v>1557</v>
      </c>
      <c r="B667" s="161" t="s">
        <v>1511</v>
      </c>
      <c r="C667" s="161" t="s">
        <v>1112</v>
      </c>
      <c r="D667" s="161" t="s">
        <v>91</v>
      </c>
      <c r="E667" s="161">
        <v>0</v>
      </c>
      <c r="F667" s="161">
        <v>0</v>
      </c>
      <c r="G667"/>
      <c r="H667">
        <f t="shared" si="10"/>
        <v>345</v>
      </c>
    </row>
    <row r="668" spans="1:8" x14ac:dyDescent="0.25">
      <c r="A668" s="161" t="s">
        <v>1557</v>
      </c>
      <c r="B668" s="161" t="s">
        <v>1511</v>
      </c>
      <c r="C668" s="161" t="s">
        <v>1113</v>
      </c>
      <c r="D668" s="161" t="s">
        <v>88</v>
      </c>
      <c r="E668" s="161">
        <v>0</v>
      </c>
      <c r="F668" s="161">
        <v>0</v>
      </c>
      <c r="G668"/>
      <c r="H668">
        <f t="shared" si="10"/>
        <v>836</v>
      </c>
    </row>
    <row r="669" spans="1:8" x14ac:dyDescent="0.25">
      <c r="A669" s="161" t="s">
        <v>1557</v>
      </c>
      <c r="B669" s="161" t="s">
        <v>1511</v>
      </c>
      <c r="C669" s="161" t="s">
        <v>1114</v>
      </c>
      <c r="D669" s="161" t="s">
        <v>96</v>
      </c>
      <c r="E669" s="161">
        <v>0</v>
      </c>
      <c r="F669" s="161">
        <v>0</v>
      </c>
      <c r="G669"/>
      <c r="H669">
        <f t="shared" si="10"/>
        <v>683</v>
      </c>
    </row>
    <row r="670" spans="1:8" x14ac:dyDescent="0.25">
      <c r="A670" s="161" t="s">
        <v>1557</v>
      </c>
      <c r="B670" s="161" t="s">
        <v>1511</v>
      </c>
      <c r="C670" s="161" t="s">
        <v>1115</v>
      </c>
      <c r="D670" s="161" t="s">
        <v>112</v>
      </c>
      <c r="E670" s="161">
        <v>0</v>
      </c>
      <c r="F670" s="161">
        <v>0</v>
      </c>
      <c r="G670"/>
      <c r="H670">
        <f t="shared" si="10"/>
        <v>1088</v>
      </c>
    </row>
    <row r="671" spans="1:8" x14ac:dyDescent="0.25">
      <c r="A671" s="161" t="s">
        <v>1557</v>
      </c>
      <c r="B671" s="161" t="s">
        <v>1511</v>
      </c>
      <c r="C671" s="161" t="s">
        <v>1116</v>
      </c>
      <c r="D671" s="161" t="s">
        <v>88</v>
      </c>
      <c r="E671" s="161">
        <v>0</v>
      </c>
      <c r="F671" s="161">
        <v>0</v>
      </c>
      <c r="G671"/>
      <c r="H671">
        <f t="shared" si="10"/>
        <v>356</v>
      </c>
    </row>
    <row r="672" spans="1:8" x14ac:dyDescent="0.25">
      <c r="A672" s="161" t="s">
        <v>1557</v>
      </c>
      <c r="B672" s="161" t="s">
        <v>1511</v>
      </c>
      <c r="C672" s="161" t="s">
        <v>1117</v>
      </c>
      <c r="D672" s="161" t="s">
        <v>88</v>
      </c>
      <c r="E672" s="161">
        <v>0</v>
      </c>
      <c r="F672" s="161">
        <v>0</v>
      </c>
      <c r="G672"/>
      <c r="H672">
        <f t="shared" si="10"/>
        <v>230</v>
      </c>
    </row>
    <row r="673" spans="1:8" x14ac:dyDescent="0.25">
      <c r="A673" s="161" t="s">
        <v>1557</v>
      </c>
      <c r="B673" s="161" t="s">
        <v>1511</v>
      </c>
      <c r="C673" s="161" t="s">
        <v>871</v>
      </c>
      <c r="D673" s="161" t="s">
        <v>88</v>
      </c>
      <c r="E673" s="161">
        <v>0</v>
      </c>
      <c r="F673" s="161">
        <v>0</v>
      </c>
      <c r="G673"/>
      <c r="H673">
        <f t="shared" si="10"/>
        <v>432</v>
      </c>
    </row>
    <row r="674" spans="1:8" x14ac:dyDescent="0.25">
      <c r="A674" s="161" t="s">
        <v>1557</v>
      </c>
      <c r="B674" s="161" t="s">
        <v>1511</v>
      </c>
      <c r="C674" s="161" t="s">
        <v>1118</v>
      </c>
      <c r="D674" s="161" t="s">
        <v>88</v>
      </c>
      <c r="E674" s="161">
        <v>0</v>
      </c>
      <c r="F674" s="161">
        <v>0</v>
      </c>
      <c r="G674"/>
      <c r="H674">
        <f t="shared" si="10"/>
        <v>324</v>
      </c>
    </row>
    <row r="675" spans="1:8" x14ac:dyDescent="0.25">
      <c r="A675" s="161" t="s">
        <v>1557</v>
      </c>
      <c r="B675" s="161" t="s">
        <v>1511</v>
      </c>
      <c r="C675" s="161" t="s">
        <v>1119</v>
      </c>
      <c r="D675" s="161" t="s">
        <v>88</v>
      </c>
      <c r="E675" s="161">
        <v>0</v>
      </c>
      <c r="F675" s="161">
        <v>0</v>
      </c>
      <c r="G675"/>
      <c r="H675">
        <f t="shared" si="10"/>
        <v>981</v>
      </c>
    </row>
    <row r="676" spans="1:8" x14ac:dyDescent="0.25">
      <c r="A676" s="161" t="s">
        <v>1557</v>
      </c>
      <c r="B676" s="161" t="s">
        <v>1511</v>
      </c>
      <c r="C676" s="161" t="s">
        <v>1120</v>
      </c>
      <c r="D676" s="161" t="s">
        <v>144</v>
      </c>
      <c r="E676" s="161">
        <v>0</v>
      </c>
      <c r="F676" s="161">
        <v>0</v>
      </c>
      <c r="G676"/>
      <c r="H676">
        <f t="shared" si="10"/>
        <v>173</v>
      </c>
    </row>
    <row r="677" spans="1:8" x14ac:dyDescent="0.25">
      <c r="A677" s="161" t="s">
        <v>1557</v>
      </c>
      <c r="B677" s="161" t="s">
        <v>1511</v>
      </c>
      <c r="C677" s="161" t="s">
        <v>1121</v>
      </c>
      <c r="D677" s="161" t="s">
        <v>112</v>
      </c>
      <c r="E677" s="161">
        <v>0</v>
      </c>
      <c r="F677" s="161">
        <v>0</v>
      </c>
      <c r="G677"/>
      <c r="H677">
        <f t="shared" si="10"/>
        <v>985</v>
      </c>
    </row>
    <row r="678" spans="1:8" x14ac:dyDescent="0.25">
      <c r="A678" s="161" t="s">
        <v>1557</v>
      </c>
      <c r="B678" s="161" t="s">
        <v>1511</v>
      </c>
      <c r="C678" s="161" t="s">
        <v>1122</v>
      </c>
      <c r="D678" s="161"/>
      <c r="E678" s="161">
        <v>0</v>
      </c>
      <c r="F678" s="161">
        <v>0</v>
      </c>
      <c r="G678"/>
      <c r="H678">
        <f t="shared" si="10"/>
        <v>757</v>
      </c>
    </row>
    <row r="679" spans="1:8" x14ac:dyDescent="0.25">
      <c r="A679" s="161" t="s">
        <v>1557</v>
      </c>
      <c r="B679" s="161" t="s">
        <v>1511</v>
      </c>
      <c r="C679" s="161" t="s">
        <v>1123</v>
      </c>
      <c r="D679" s="161" t="s">
        <v>146</v>
      </c>
      <c r="E679" s="161">
        <v>0</v>
      </c>
      <c r="F679" s="161">
        <v>0</v>
      </c>
      <c r="G679"/>
      <c r="H679">
        <f t="shared" si="10"/>
        <v>1078</v>
      </c>
    </row>
    <row r="680" spans="1:8" x14ac:dyDescent="0.25">
      <c r="A680" s="161" t="s">
        <v>1557</v>
      </c>
      <c r="B680" s="161" t="s">
        <v>1511</v>
      </c>
      <c r="C680" s="161" t="s">
        <v>1124</v>
      </c>
      <c r="D680" s="161" t="s">
        <v>98</v>
      </c>
      <c r="E680" s="161">
        <v>0</v>
      </c>
      <c r="F680" s="161">
        <v>0</v>
      </c>
      <c r="G680"/>
      <c r="H680">
        <f t="shared" si="10"/>
        <v>727</v>
      </c>
    </row>
    <row r="681" spans="1:8" x14ac:dyDescent="0.25">
      <c r="A681" s="161" t="s">
        <v>1557</v>
      </c>
      <c r="B681" s="161" t="s">
        <v>1511</v>
      </c>
      <c r="C681" s="161" t="s">
        <v>1125</v>
      </c>
      <c r="D681" s="161" t="s">
        <v>143</v>
      </c>
      <c r="E681" s="161">
        <v>0</v>
      </c>
      <c r="F681" s="161">
        <v>0</v>
      </c>
      <c r="G681"/>
      <c r="H681">
        <f t="shared" si="10"/>
        <v>599</v>
      </c>
    </row>
    <row r="682" spans="1:8" x14ac:dyDescent="0.25">
      <c r="A682" s="161" t="s">
        <v>1557</v>
      </c>
      <c r="B682" s="161" t="s">
        <v>1511</v>
      </c>
      <c r="C682" s="161" t="s">
        <v>1126</v>
      </c>
      <c r="D682" s="161" t="s">
        <v>91</v>
      </c>
      <c r="E682" s="161">
        <v>0</v>
      </c>
      <c r="F682" s="161">
        <v>0</v>
      </c>
      <c r="G682"/>
      <c r="H682">
        <f t="shared" si="10"/>
        <v>337</v>
      </c>
    </row>
    <row r="683" spans="1:8" x14ac:dyDescent="0.25">
      <c r="A683" s="161" t="s">
        <v>1557</v>
      </c>
      <c r="B683" s="161" t="s">
        <v>1511</v>
      </c>
      <c r="C683" s="161" t="s">
        <v>1127</v>
      </c>
      <c r="D683" s="161" t="s">
        <v>88</v>
      </c>
      <c r="E683" s="161">
        <v>0</v>
      </c>
      <c r="F683" s="161">
        <v>0</v>
      </c>
      <c r="G683"/>
      <c r="H683">
        <f t="shared" si="10"/>
        <v>698</v>
      </c>
    </row>
    <row r="684" spans="1:8" x14ac:dyDescent="0.25">
      <c r="A684" s="161" t="s">
        <v>1557</v>
      </c>
      <c r="B684" s="161" t="s">
        <v>1511</v>
      </c>
      <c r="C684" s="161" t="s">
        <v>1128</v>
      </c>
      <c r="D684" s="161" t="s">
        <v>88</v>
      </c>
      <c r="E684" s="161">
        <v>0</v>
      </c>
      <c r="F684" s="161">
        <v>0</v>
      </c>
      <c r="G684"/>
      <c r="H684">
        <f t="shared" si="10"/>
        <v>771</v>
      </c>
    </row>
    <row r="685" spans="1:8" x14ac:dyDescent="0.25">
      <c r="A685" s="161" t="s">
        <v>1557</v>
      </c>
      <c r="B685" s="161" t="s">
        <v>1511</v>
      </c>
      <c r="C685" s="161" t="s">
        <v>1129</v>
      </c>
      <c r="D685" s="161" t="s">
        <v>141</v>
      </c>
      <c r="E685" s="161">
        <v>0</v>
      </c>
      <c r="F685" s="161">
        <v>0</v>
      </c>
      <c r="G685"/>
      <c r="H685">
        <f t="shared" si="10"/>
        <v>828</v>
      </c>
    </row>
    <row r="686" spans="1:8" x14ac:dyDescent="0.25">
      <c r="A686" s="161" t="s">
        <v>1557</v>
      </c>
      <c r="B686" s="161" t="s">
        <v>1511</v>
      </c>
      <c r="C686" s="161" t="s">
        <v>1130</v>
      </c>
      <c r="D686" s="161" t="s">
        <v>98</v>
      </c>
      <c r="E686" s="161">
        <v>0</v>
      </c>
      <c r="F686" s="161">
        <v>0</v>
      </c>
      <c r="G686"/>
      <c r="H686">
        <f t="shared" si="10"/>
        <v>556</v>
      </c>
    </row>
    <row r="687" spans="1:8" x14ac:dyDescent="0.25">
      <c r="A687" s="161" t="s">
        <v>1557</v>
      </c>
      <c r="B687" s="161" t="s">
        <v>1511</v>
      </c>
      <c r="C687" s="161" t="s">
        <v>1131</v>
      </c>
      <c r="D687" s="161" t="s">
        <v>98</v>
      </c>
      <c r="E687" s="161">
        <v>0</v>
      </c>
      <c r="F687" s="161">
        <v>0</v>
      </c>
      <c r="G687"/>
      <c r="H687">
        <f t="shared" si="10"/>
        <v>679</v>
      </c>
    </row>
    <row r="688" spans="1:8" x14ac:dyDescent="0.25">
      <c r="A688" s="161" t="s">
        <v>1557</v>
      </c>
      <c r="B688" s="161" t="s">
        <v>1511</v>
      </c>
      <c r="C688" s="161" t="s">
        <v>1132</v>
      </c>
      <c r="D688" s="161" t="s">
        <v>88</v>
      </c>
      <c r="E688" s="161">
        <v>0</v>
      </c>
      <c r="F688" s="161">
        <v>0</v>
      </c>
      <c r="G688"/>
      <c r="H688">
        <f t="shared" si="10"/>
        <v>477</v>
      </c>
    </row>
    <row r="689" spans="1:8" x14ac:dyDescent="0.25">
      <c r="A689" s="161" t="s">
        <v>1557</v>
      </c>
      <c r="B689" s="161" t="s">
        <v>1511</v>
      </c>
      <c r="C689" s="161" t="s">
        <v>1133</v>
      </c>
      <c r="D689" s="161" t="s">
        <v>91</v>
      </c>
      <c r="E689" s="161">
        <v>0</v>
      </c>
      <c r="F689" s="161">
        <v>0</v>
      </c>
      <c r="G689"/>
      <c r="H689">
        <f t="shared" si="10"/>
        <v>334</v>
      </c>
    </row>
    <row r="690" spans="1:8" x14ac:dyDescent="0.25">
      <c r="A690" s="161" t="s">
        <v>1557</v>
      </c>
      <c r="B690" s="161" t="s">
        <v>1511</v>
      </c>
      <c r="C690" s="161" t="s">
        <v>1134</v>
      </c>
      <c r="D690" s="161" t="s">
        <v>141</v>
      </c>
      <c r="E690" s="161">
        <v>0</v>
      </c>
      <c r="F690" s="161">
        <v>0</v>
      </c>
      <c r="G690"/>
      <c r="H690">
        <f t="shared" si="10"/>
        <v>190</v>
      </c>
    </row>
    <row r="691" spans="1:8" x14ac:dyDescent="0.25">
      <c r="A691" s="161" t="s">
        <v>1557</v>
      </c>
      <c r="B691" s="161" t="s">
        <v>1511</v>
      </c>
      <c r="C691" s="161" t="s">
        <v>1135</v>
      </c>
      <c r="D691" s="161" t="s">
        <v>91</v>
      </c>
      <c r="E691" s="161">
        <v>0</v>
      </c>
      <c r="F691" s="161">
        <v>0</v>
      </c>
      <c r="G691"/>
      <c r="H691">
        <f t="shared" si="10"/>
        <v>1013</v>
      </c>
    </row>
    <row r="692" spans="1:8" x14ac:dyDescent="0.25">
      <c r="A692" s="161" t="s">
        <v>1557</v>
      </c>
      <c r="B692" s="161" t="s">
        <v>1511</v>
      </c>
      <c r="C692" s="161" t="s">
        <v>1136</v>
      </c>
      <c r="D692" s="161" t="s">
        <v>105</v>
      </c>
      <c r="E692" s="161">
        <v>0</v>
      </c>
      <c r="F692" s="161">
        <v>0</v>
      </c>
      <c r="G692"/>
      <c r="H692">
        <f t="shared" si="10"/>
        <v>515</v>
      </c>
    </row>
    <row r="693" spans="1:8" x14ac:dyDescent="0.25">
      <c r="A693" s="161" t="s">
        <v>1557</v>
      </c>
      <c r="B693" s="161" t="s">
        <v>1511</v>
      </c>
      <c r="C693" s="161" t="s">
        <v>1137</v>
      </c>
      <c r="D693" s="161" t="s">
        <v>91</v>
      </c>
      <c r="E693" s="161">
        <v>0</v>
      </c>
      <c r="F693" s="161">
        <v>0</v>
      </c>
      <c r="G693"/>
      <c r="H693">
        <f t="shared" si="10"/>
        <v>926</v>
      </c>
    </row>
    <row r="694" spans="1:8" x14ac:dyDescent="0.25">
      <c r="A694" s="161" t="s">
        <v>1557</v>
      </c>
      <c r="B694" s="161" t="s">
        <v>1511</v>
      </c>
      <c r="C694" s="161" t="s">
        <v>1138</v>
      </c>
      <c r="D694" s="161" t="s">
        <v>88</v>
      </c>
      <c r="E694" s="161">
        <v>0</v>
      </c>
      <c r="F694" s="161">
        <v>0</v>
      </c>
      <c r="G694"/>
      <c r="H694">
        <f t="shared" si="10"/>
        <v>896</v>
      </c>
    </row>
    <row r="695" spans="1:8" x14ac:dyDescent="0.25">
      <c r="A695" s="161" t="s">
        <v>1557</v>
      </c>
      <c r="B695" s="161" t="s">
        <v>1511</v>
      </c>
      <c r="C695" s="161" t="s">
        <v>1139</v>
      </c>
      <c r="D695" s="161" t="s">
        <v>88</v>
      </c>
      <c r="E695" s="161">
        <v>0</v>
      </c>
      <c r="F695" s="161">
        <v>0</v>
      </c>
      <c r="G695"/>
      <c r="H695">
        <f t="shared" si="10"/>
        <v>1056</v>
      </c>
    </row>
    <row r="696" spans="1:8" x14ac:dyDescent="0.25">
      <c r="A696" s="161" t="s">
        <v>1557</v>
      </c>
      <c r="B696" s="161" t="s">
        <v>1511</v>
      </c>
      <c r="C696" s="161" t="s">
        <v>1140</v>
      </c>
      <c r="D696" s="161" t="s">
        <v>91</v>
      </c>
      <c r="E696" s="161">
        <v>0</v>
      </c>
      <c r="F696" s="161">
        <v>0</v>
      </c>
      <c r="G696"/>
      <c r="H696">
        <f t="shared" si="10"/>
        <v>726</v>
      </c>
    </row>
    <row r="697" spans="1:8" x14ac:dyDescent="0.25">
      <c r="A697" s="161" t="s">
        <v>1557</v>
      </c>
      <c r="B697" s="161" t="s">
        <v>1511</v>
      </c>
      <c r="C697" s="161" t="s">
        <v>1141</v>
      </c>
      <c r="D697" s="161" t="s">
        <v>91</v>
      </c>
      <c r="E697" s="161">
        <v>0</v>
      </c>
      <c r="F697" s="161">
        <v>0</v>
      </c>
      <c r="G697"/>
      <c r="H697">
        <f t="shared" si="10"/>
        <v>1083</v>
      </c>
    </row>
    <row r="698" spans="1:8" x14ac:dyDescent="0.25">
      <c r="A698" s="161" t="s">
        <v>1557</v>
      </c>
      <c r="B698" s="161" t="s">
        <v>1511</v>
      </c>
      <c r="C698" s="161" t="s">
        <v>1142</v>
      </c>
      <c r="D698" s="161" t="s">
        <v>91</v>
      </c>
      <c r="E698" s="161">
        <v>0</v>
      </c>
      <c r="F698" s="161">
        <v>0</v>
      </c>
      <c r="G698"/>
      <c r="H698">
        <f t="shared" si="10"/>
        <v>935</v>
      </c>
    </row>
    <row r="699" spans="1:8" x14ac:dyDescent="0.25">
      <c r="A699" s="161" t="s">
        <v>1557</v>
      </c>
      <c r="B699" s="161" t="s">
        <v>1511</v>
      </c>
      <c r="C699" s="161" t="s">
        <v>1143</v>
      </c>
      <c r="D699" s="161" t="s">
        <v>88</v>
      </c>
      <c r="E699" s="161">
        <v>0</v>
      </c>
      <c r="F699" s="161">
        <v>0</v>
      </c>
      <c r="G699"/>
      <c r="H699">
        <f t="shared" si="10"/>
        <v>336</v>
      </c>
    </row>
    <row r="700" spans="1:8" x14ac:dyDescent="0.25">
      <c r="A700" s="161" t="s">
        <v>1557</v>
      </c>
      <c r="B700" s="161" t="s">
        <v>1511</v>
      </c>
      <c r="C700" s="161" t="s">
        <v>701</v>
      </c>
      <c r="D700" s="161" t="s">
        <v>105</v>
      </c>
      <c r="E700" s="161">
        <v>0</v>
      </c>
      <c r="F700" s="161">
        <v>0</v>
      </c>
      <c r="G700"/>
      <c r="H700">
        <f t="shared" si="10"/>
        <v>766</v>
      </c>
    </row>
    <row r="701" spans="1:8" x14ac:dyDescent="0.25">
      <c r="A701" s="161" t="s">
        <v>1557</v>
      </c>
      <c r="B701" s="161" t="s">
        <v>1511</v>
      </c>
      <c r="C701" s="161" t="s">
        <v>1144</v>
      </c>
      <c r="D701" s="161" t="s">
        <v>146</v>
      </c>
      <c r="E701" s="161">
        <v>0</v>
      </c>
      <c r="F701" s="161">
        <v>0</v>
      </c>
      <c r="G701"/>
      <c r="H701">
        <f t="shared" si="10"/>
        <v>1003</v>
      </c>
    </row>
    <row r="702" spans="1:8" x14ac:dyDescent="0.25">
      <c r="A702" s="161" t="s">
        <v>1557</v>
      </c>
      <c r="B702" s="161" t="s">
        <v>1511</v>
      </c>
      <c r="C702" s="161" t="s">
        <v>1145</v>
      </c>
      <c r="D702" s="161" t="s">
        <v>91</v>
      </c>
      <c r="E702" s="161">
        <v>0</v>
      </c>
      <c r="F702" s="161">
        <v>0</v>
      </c>
      <c r="G702"/>
      <c r="H702">
        <f t="shared" si="10"/>
        <v>1011</v>
      </c>
    </row>
    <row r="703" spans="1:8" x14ac:dyDescent="0.25">
      <c r="A703" s="161" t="s">
        <v>1557</v>
      </c>
      <c r="B703" s="161" t="s">
        <v>1511</v>
      </c>
      <c r="C703" s="161" t="s">
        <v>1146</v>
      </c>
      <c r="D703" s="161" t="s">
        <v>98</v>
      </c>
      <c r="E703" s="161">
        <v>0</v>
      </c>
      <c r="F703" s="161">
        <v>0</v>
      </c>
      <c r="G703"/>
      <c r="H703">
        <f t="shared" si="10"/>
        <v>831</v>
      </c>
    </row>
    <row r="704" spans="1:8" x14ac:dyDescent="0.25">
      <c r="A704" s="161" t="s">
        <v>1557</v>
      </c>
      <c r="B704" s="161" t="s">
        <v>1511</v>
      </c>
      <c r="C704" s="161" t="s">
        <v>630</v>
      </c>
      <c r="D704" s="161" t="s">
        <v>146</v>
      </c>
      <c r="E704" s="161">
        <v>0</v>
      </c>
      <c r="F704" s="161">
        <v>0</v>
      </c>
      <c r="G704"/>
      <c r="H704">
        <f t="shared" si="10"/>
        <v>1005</v>
      </c>
    </row>
    <row r="705" spans="1:8" x14ac:dyDescent="0.25">
      <c r="A705" s="161" t="s">
        <v>1557</v>
      </c>
      <c r="B705" s="161" t="s">
        <v>1511</v>
      </c>
      <c r="C705" s="161" t="s">
        <v>1147</v>
      </c>
      <c r="D705" s="161" t="s">
        <v>146</v>
      </c>
      <c r="E705" s="161">
        <v>0</v>
      </c>
      <c r="F705" s="161">
        <v>0</v>
      </c>
      <c r="G705"/>
      <c r="H705">
        <f t="shared" si="10"/>
        <v>518</v>
      </c>
    </row>
    <row r="706" spans="1:8" x14ac:dyDescent="0.25">
      <c r="A706" s="161" t="s">
        <v>1557</v>
      </c>
      <c r="B706" s="161" t="s">
        <v>1511</v>
      </c>
      <c r="C706" s="161" t="s">
        <v>1148</v>
      </c>
      <c r="D706" s="161" t="s">
        <v>105</v>
      </c>
      <c r="E706" s="161">
        <v>0</v>
      </c>
      <c r="F706" s="161">
        <v>0</v>
      </c>
      <c r="G706"/>
      <c r="H706">
        <f t="shared" ref="H706:H769" si="11">SUMPRODUCT((C$2:C$1090 &lt; C706)+(C706="")*1000)</f>
        <v>889</v>
      </c>
    </row>
    <row r="707" spans="1:8" x14ac:dyDescent="0.25">
      <c r="A707" s="161" t="s">
        <v>1557</v>
      </c>
      <c r="B707" s="161" t="s">
        <v>1511</v>
      </c>
      <c r="C707" s="161" t="s">
        <v>1149</v>
      </c>
      <c r="D707" s="161" t="s">
        <v>91</v>
      </c>
      <c r="E707" s="161">
        <v>0</v>
      </c>
      <c r="F707" s="161">
        <v>0</v>
      </c>
      <c r="G707"/>
      <c r="H707">
        <f t="shared" si="11"/>
        <v>614</v>
      </c>
    </row>
    <row r="708" spans="1:8" x14ac:dyDescent="0.25">
      <c r="A708" s="161" t="s">
        <v>1557</v>
      </c>
      <c r="B708" s="161" t="s">
        <v>1511</v>
      </c>
      <c r="C708" s="161" t="s">
        <v>1150</v>
      </c>
      <c r="D708" s="161" t="s">
        <v>96</v>
      </c>
      <c r="E708" s="161">
        <v>0</v>
      </c>
      <c r="F708" s="161">
        <v>0</v>
      </c>
      <c r="G708"/>
      <c r="H708">
        <f t="shared" si="11"/>
        <v>459</v>
      </c>
    </row>
    <row r="709" spans="1:8" x14ac:dyDescent="0.25">
      <c r="A709" s="161" t="s">
        <v>1557</v>
      </c>
      <c r="B709" s="161" t="s">
        <v>1511</v>
      </c>
      <c r="C709" s="161" t="s">
        <v>1151</v>
      </c>
      <c r="D709" s="161" t="s">
        <v>148</v>
      </c>
      <c r="E709" s="161">
        <v>0</v>
      </c>
      <c r="F709" s="161">
        <v>0</v>
      </c>
      <c r="G709"/>
      <c r="H709">
        <f t="shared" si="11"/>
        <v>787</v>
      </c>
    </row>
    <row r="710" spans="1:8" x14ac:dyDescent="0.25">
      <c r="A710" s="161" t="s">
        <v>1557</v>
      </c>
      <c r="B710" s="161" t="s">
        <v>1511</v>
      </c>
      <c r="C710" s="161" t="s">
        <v>1152</v>
      </c>
      <c r="D710" s="161" t="s">
        <v>91</v>
      </c>
      <c r="E710" s="161">
        <v>0</v>
      </c>
      <c r="F710" s="161">
        <v>0</v>
      </c>
      <c r="G710"/>
      <c r="H710">
        <f t="shared" si="11"/>
        <v>1061</v>
      </c>
    </row>
    <row r="711" spans="1:8" x14ac:dyDescent="0.25">
      <c r="A711" s="161" t="s">
        <v>1557</v>
      </c>
      <c r="B711" s="161" t="s">
        <v>1511</v>
      </c>
      <c r="C711" s="161" t="s">
        <v>1153</v>
      </c>
      <c r="D711" s="161" t="s">
        <v>91</v>
      </c>
      <c r="E711" s="161">
        <v>0</v>
      </c>
      <c r="F711" s="161">
        <v>0</v>
      </c>
      <c r="G711"/>
      <c r="H711">
        <f t="shared" si="11"/>
        <v>287</v>
      </c>
    </row>
    <row r="712" spans="1:8" x14ac:dyDescent="0.25">
      <c r="A712" s="161" t="s">
        <v>1557</v>
      </c>
      <c r="B712" s="161" t="s">
        <v>1511</v>
      </c>
      <c r="C712" s="161" t="s">
        <v>1154</v>
      </c>
      <c r="D712" s="161" t="s">
        <v>91</v>
      </c>
      <c r="E712" s="161">
        <v>0</v>
      </c>
      <c r="F712" s="161">
        <v>0</v>
      </c>
      <c r="G712"/>
      <c r="H712">
        <f t="shared" si="11"/>
        <v>579</v>
      </c>
    </row>
    <row r="713" spans="1:8" x14ac:dyDescent="0.25">
      <c r="A713" s="161" t="s">
        <v>1557</v>
      </c>
      <c r="B713" s="161" t="s">
        <v>1511</v>
      </c>
      <c r="C713" s="161" t="s">
        <v>1155</v>
      </c>
      <c r="D713" s="161" t="s">
        <v>91</v>
      </c>
      <c r="E713" s="161">
        <v>0</v>
      </c>
      <c r="F713" s="161">
        <v>0</v>
      </c>
      <c r="G713"/>
      <c r="H713">
        <f t="shared" si="11"/>
        <v>591</v>
      </c>
    </row>
    <row r="714" spans="1:8" x14ac:dyDescent="0.25">
      <c r="A714" s="161" t="s">
        <v>1557</v>
      </c>
      <c r="B714" s="161" t="s">
        <v>1511</v>
      </c>
      <c r="C714" s="161" t="s">
        <v>1156</v>
      </c>
      <c r="D714" s="161" t="s">
        <v>91</v>
      </c>
      <c r="E714" s="161">
        <v>0</v>
      </c>
      <c r="F714" s="161">
        <v>0</v>
      </c>
      <c r="G714"/>
      <c r="H714">
        <f t="shared" si="11"/>
        <v>661</v>
      </c>
    </row>
    <row r="715" spans="1:8" x14ac:dyDescent="0.25">
      <c r="A715" s="161" t="s">
        <v>1557</v>
      </c>
      <c r="B715" s="161" t="s">
        <v>1511</v>
      </c>
      <c r="C715" s="161" t="s">
        <v>1157</v>
      </c>
      <c r="D715" s="161" t="s">
        <v>88</v>
      </c>
      <c r="E715" s="161">
        <v>0</v>
      </c>
      <c r="F715" s="161">
        <v>0</v>
      </c>
      <c r="G715"/>
      <c r="H715">
        <f t="shared" si="11"/>
        <v>333</v>
      </c>
    </row>
    <row r="716" spans="1:8" x14ac:dyDescent="0.25">
      <c r="A716" s="161" t="s">
        <v>1557</v>
      </c>
      <c r="B716" s="161" t="s">
        <v>1511</v>
      </c>
      <c r="C716" s="161" t="s">
        <v>697</v>
      </c>
      <c r="D716" s="161" t="s">
        <v>88</v>
      </c>
      <c r="E716" s="161">
        <v>0</v>
      </c>
      <c r="F716" s="161">
        <v>0</v>
      </c>
      <c r="G716"/>
      <c r="H716">
        <f t="shared" si="11"/>
        <v>469</v>
      </c>
    </row>
    <row r="717" spans="1:8" x14ac:dyDescent="0.25">
      <c r="A717" s="161" t="s">
        <v>1557</v>
      </c>
      <c r="B717" s="161" t="s">
        <v>1511</v>
      </c>
      <c r="C717" s="161" t="s">
        <v>1158</v>
      </c>
      <c r="D717" s="161" t="s">
        <v>88</v>
      </c>
      <c r="E717" s="161">
        <v>0</v>
      </c>
      <c r="F717" s="161">
        <v>0</v>
      </c>
      <c r="G717"/>
      <c r="H717">
        <f t="shared" si="11"/>
        <v>838</v>
      </c>
    </row>
    <row r="718" spans="1:8" x14ac:dyDescent="0.25">
      <c r="A718" s="161" t="s">
        <v>1557</v>
      </c>
      <c r="B718" s="161" t="s">
        <v>1511</v>
      </c>
      <c r="C718" s="161" t="s">
        <v>1159</v>
      </c>
      <c r="D718" s="161" t="s">
        <v>91</v>
      </c>
      <c r="E718" s="161">
        <v>0</v>
      </c>
      <c r="F718" s="161">
        <v>0</v>
      </c>
      <c r="G718"/>
      <c r="H718">
        <f t="shared" si="11"/>
        <v>891</v>
      </c>
    </row>
    <row r="719" spans="1:8" x14ac:dyDescent="0.25">
      <c r="A719" s="161" t="s">
        <v>1557</v>
      </c>
      <c r="B719" s="161" t="s">
        <v>1511</v>
      </c>
      <c r="C719" s="161" t="s">
        <v>1160</v>
      </c>
      <c r="D719" s="161" t="s">
        <v>98</v>
      </c>
      <c r="E719" s="161">
        <v>0</v>
      </c>
      <c r="F719" s="161">
        <v>0</v>
      </c>
      <c r="G719"/>
      <c r="H719">
        <f t="shared" si="11"/>
        <v>669</v>
      </c>
    </row>
    <row r="720" spans="1:8" x14ac:dyDescent="0.25">
      <c r="A720" s="161" t="s">
        <v>1557</v>
      </c>
      <c r="B720" s="161" t="s">
        <v>1511</v>
      </c>
      <c r="C720" s="161" t="s">
        <v>1161</v>
      </c>
      <c r="D720" s="161" t="s">
        <v>276</v>
      </c>
      <c r="E720" s="161">
        <v>0</v>
      </c>
      <c r="F720" s="161">
        <v>0</v>
      </c>
      <c r="G720"/>
      <c r="H720">
        <f t="shared" si="11"/>
        <v>502</v>
      </c>
    </row>
    <row r="721" spans="1:8" x14ac:dyDescent="0.25">
      <c r="A721" s="161" t="s">
        <v>1557</v>
      </c>
      <c r="B721" s="161" t="s">
        <v>1511</v>
      </c>
      <c r="C721" s="161" t="s">
        <v>1162</v>
      </c>
      <c r="D721" s="161" t="s">
        <v>88</v>
      </c>
      <c r="E721" s="161">
        <v>0</v>
      </c>
      <c r="F721" s="161">
        <v>0</v>
      </c>
      <c r="G721"/>
      <c r="H721">
        <f t="shared" si="11"/>
        <v>442</v>
      </c>
    </row>
    <row r="722" spans="1:8" x14ac:dyDescent="0.25">
      <c r="A722" s="161" t="s">
        <v>1557</v>
      </c>
      <c r="B722" s="161" t="s">
        <v>1511</v>
      </c>
      <c r="C722" s="161" t="s">
        <v>660</v>
      </c>
      <c r="D722" s="161" t="s">
        <v>105</v>
      </c>
      <c r="E722" s="161">
        <v>0</v>
      </c>
      <c r="F722" s="161">
        <v>0</v>
      </c>
      <c r="G722"/>
      <c r="H722">
        <f t="shared" si="11"/>
        <v>853</v>
      </c>
    </row>
    <row r="723" spans="1:8" x14ac:dyDescent="0.25">
      <c r="A723" s="161" t="s">
        <v>1557</v>
      </c>
      <c r="B723" s="161" t="s">
        <v>1511</v>
      </c>
      <c r="C723" s="161" t="s">
        <v>1164</v>
      </c>
      <c r="D723" s="161" t="s">
        <v>105</v>
      </c>
      <c r="E723" s="161">
        <v>0</v>
      </c>
      <c r="F723" s="161">
        <v>0</v>
      </c>
      <c r="G723"/>
      <c r="H723">
        <f t="shared" si="11"/>
        <v>996</v>
      </c>
    </row>
    <row r="724" spans="1:8" x14ac:dyDescent="0.25">
      <c r="A724" s="161" t="s">
        <v>1557</v>
      </c>
      <c r="B724" s="161" t="s">
        <v>1511</v>
      </c>
      <c r="C724" s="161" t="s">
        <v>1165</v>
      </c>
      <c r="D724" s="161" t="s">
        <v>91</v>
      </c>
      <c r="E724" s="161">
        <v>0</v>
      </c>
      <c r="F724" s="161">
        <v>0</v>
      </c>
      <c r="G724"/>
      <c r="H724">
        <f t="shared" si="11"/>
        <v>928</v>
      </c>
    </row>
    <row r="725" spans="1:8" x14ac:dyDescent="0.25">
      <c r="A725" s="161" t="s">
        <v>1557</v>
      </c>
      <c r="B725" s="161" t="s">
        <v>1511</v>
      </c>
      <c r="C725" s="161" t="s">
        <v>1166</v>
      </c>
      <c r="D725" s="161" t="s">
        <v>110</v>
      </c>
      <c r="E725" s="161">
        <v>0</v>
      </c>
      <c r="F725" s="161">
        <v>0</v>
      </c>
      <c r="G725"/>
      <c r="H725">
        <f t="shared" si="11"/>
        <v>326</v>
      </c>
    </row>
    <row r="726" spans="1:8" x14ac:dyDescent="0.25">
      <c r="A726" s="161" t="s">
        <v>1557</v>
      </c>
      <c r="B726" s="161" t="s">
        <v>1511</v>
      </c>
      <c r="C726" s="161" t="s">
        <v>1167</v>
      </c>
      <c r="D726" s="161" t="s">
        <v>98</v>
      </c>
      <c r="E726" s="161">
        <v>0</v>
      </c>
      <c r="F726" s="161">
        <v>0</v>
      </c>
      <c r="G726"/>
      <c r="H726">
        <f t="shared" si="11"/>
        <v>982</v>
      </c>
    </row>
    <row r="727" spans="1:8" x14ac:dyDescent="0.25">
      <c r="A727" s="161" t="s">
        <v>1557</v>
      </c>
      <c r="B727" s="161" t="s">
        <v>1511</v>
      </c>
      <c r="C727" s="161" t="s">
        <v>1168</v>
      </c>
      <c r="D727" s="161" t="s">
        <v>88</v>
      </c>
      <c r="E727" s="161">
        <v>0</v>
      </c>
      <c r="F727" s="161">
        <v>0</v>
      </c>
      <c r="G727"/>
      <c r="H727">
        <f t="shared" si="11"/>
        <v>327</v>
      </c>
    </row>
    <row r="728" spans="1:8" x14ac:dyDescent="0.25">
      <c r="A728" s="161" t="s">
        <v>1557</v>
      </c>
      <c r="B728" s="161" t="s">
        <v>1511</v>
      </c>
      <c r="C728" s="161" t="s">
        <v>757</v>
      </c>
      <c r="D728" s="161" t="s">
        <v>88</v>
      </c>
      <c r="E728" s="161">
        <v>0</v>
      </c>
      <c r="F728" s="161">
        <v>0</v>
      </c>
      <c r="G728"/>
      <c r="H728">
        <f t="shared" si="11"/>
        <v>216</v>
      </c>
    </row>
    <row r="729" spans="1:8" x14ac:dyDescent="0.25">
      <c r="A729" s="161" t="s">
        <v>1557</v>
      </c>
      <c r="B729" s="161" t="s">
        <v>1511</v>
      </c>
      <c r="C729" s="161" t="s">
        <v>1169</v>
      </c>
      <c r="D729" s="161" t="s">
        <v>88</v>
      </c>
      <c r="E729" s="161">
        <v>0</v>
      </c>
      <c r="F729" s="161">
        <v>0</v>
      </c>
      <c r="G729"/>
      <c r="H729">
        <f t="shared" si="11"/>
        <v>912</v>
      </c>
    </row>
    <row r="730" spans="1:8" x14ac:dyDescent="0.25">
      <c r="A730" s="161" t="s">
        <v>1557</v>
      </c>
      <c r="B730" s="161" t="s">
        <v>1511</v>
      </c>
      <c r="C730" s="161" t="s">
        <v>1170</v>
      </c>
      <c r="D730" s="161" t="s">
        <v>112</v>
      </c>
      <c r="E730" s="161">
        <v>0</v>
      </c>
      <c r="F730" s="161">
        <v>0</v>
      </c>
      <c r="G730"/>
      <c r="H730">
        <f t="shared" si="11"/>
        <v>702</v>
      </c>
    </row>
    <row r="731" spans="1:8" x14ac:dyDescent="0.25">
      <c r="A731" s="161" t="s">
        <v>1557</v>
      </c>
      <c r="B731" s="161" t="s">
        <v>1511</v>
      </c>
      <c r="C731" s="161" t="s">
        <v>1171</v>
      </c>
      <c r="D731" s="161" t="s">
        <v>91</v>
      </c>
      <c r="E731" s="161">
        <v>0</v>
      </c>
      <c r="F731" s="161">
        <v>0</v>
      </c>
      <c r="G731"/>
      <c r="H731">
        <f t="shared" si="11"/>
        <v>387</v>
      </c>
    </row>
    <row r="732" spans="1:8" x14ac:dyDescent="0.25">
      <c r="A732" s="161" t="s">
        <v>1557</v>
      </c>
      <c r="B732" s="161" t="s">
        <v>1511</v>
      </c>
      <c r="C732" s="161" t="s">
        <v>1172</v>
      </c>
      <c r="D732" s="161" t="s">
        <v>88</v>
      </c>
      <c r="E732" s="161">
        <v>0</v>
      </c>
      <c r="F732" s="161">
        <v>0</v>
      </c>
      <c r="G732"/>
      <c r="H732">
        <f t="shared" si="11"/>
        <v>751</v>
      </c>
    </row>
    <row r="733" spans="1:8" x14ac:dyDescent="0.25">
      <c r="A733" s="161" t="s">
        <v>1557</v>
      </c>
      <c r="B733" s="161" t="s">
        <v>1511</v>
      </c>
      <c r="C733" s="161" t="s">
        <v>1173</v>
      </c>
      <c r="D733" s="161" t="s">
        <v>88</v>
      </c>
      <c r="E733" s="161">
        <v>0</v>
      </c>
      <c r="F733" s="161">
        <v>0</v>
      </c>
      <c r="G733"/>
      <c r="H733">
        <f t="shared" si="11"/>
        <v>419</v>
      </c>
    </row>
    <row r="734" spans="1:8" x14ac:dyDescent="0.25">
      <c r="A734" s="161" t="s">
        <v>1557</v>
      </c>
      <c r="B734" s="161" t="s">
        <v>1511</v>
      </c>
      <c r="C734" s="161" t="s">
        <v>1174</v>
      </c>
      <c r="D734" s="161" t="s">
        <v>88</v>
      </c>
      <c r="E734" s="161">
        <v>0</v>
      </c>
      <c r="F734" s="161">
        <v>0</v>
      </c>
      <c r="G734"/>
      <c r="H734">
        <f t="shared" si="11"/>
        <v>185</v>
      </c>
    </row>
    <row r="735" spans="1:8" x14ac:dyDescent="0.25">
      <c r="A735" s="161" t="s">
        <v>1557</v>
      </c>
      <c r="B735" s="161" t="s">
        <v>1511</v>
      </c>
      <c r="C735" s="161" t="s">
        <v>1175</v>
      </c>
      <c r="D735" s="161" t="s">
        <v>98</v>
      </c>
      <c r="E735" s="161">
        <v>0</v>
      </c>
      <c r="F735" s="161">
        <v>0</v>
      </c>
      <c r="G735"/>
      <c r="H735">
        <f t="shared" si="11"/>
        <v>227</v>
      </c>
    </row>
    <row r="736" spans="1:8" x14ac:dyDescent="0.25">
      <c r="A736" s="161" t="s">
        <v>1557</v>
      </c>
      <c r="B736" s="161" t="s">
        <v>1511</v>
      </c>
      <c r="C736" s="161" t="s">
        <v>1176</v>
      </c>
      <c r="D736" s="161" t="s">
        <v>91</v>
      </c>
      <c r="E736" s="161">
        <v>0</v>
      </c>
      <c r="F736" s="161">
        <v>0</v>
      </c>
      <c r="G736"/>
      <c r="H736">
        <f t="shared" si="11"/>
        <v>840</v>
      </c>
    </row>
    <row r="737" spans="1:8" x14ac:dyDescent="0.25">
      <c r="A737" s="161" t="s">
        <v>1557</v>
      </c>
      <c r="B737" s="161" t="s">
        <v>1511</v>
      </c>
      <c r="C737" s="161" t="s">
        <v>783</v>
      </c>
      <c r="D737" s="161" t="s">
        <v>152</v>
      </c>
      <c r="E737" s="161">
        <v>0</v>
      </c>
      <c r="F737" s="161">
        <v>0</v>
      </c>
      <c r="G737"/>
      <c r="H737">
        <f t="shared" si="11"/>
        <v>873</v>
      </c>
    </row>
    <row r="738" spans="1:8" x14ac:dyDescent="0.25">
      <c r="A738" s="161" t="s">
        <v>1557</v>
      </c>
      <c r="B738" s="161" t="s">
        <v>1511</v>
      </c>
      <c r="C738" s="161" t="s">
        <v>1177</v>
      </c>
      <c r="D738" s="161" t="s">
        <v>98</v>
      </c>
      <c r="E738" s="161">
        <v>0</v>
      </c>
      <c r="F738" s="161">
        <v>0</v>
      </c>
      <c r="G738"/>
      <c r="H738">
        <f t="shared" si="11"/>
        <v>820</v>
      </c>
    </row>
    <row r="739" spans="1:8" x14ac:dyDescent="0.25">
      <c r="A739" s="161" t="s">
        <v>1557</v>
      </c>
      <c r="B739" s="161" t="s">
        <v>1511</v>
      </c>
      <c r="C739" s="161" t="s">
        <v>1178</v>
      </c>
      <c r="D739" s="161" t="s">
        <v>148</v>
      </c>
      <c r="E739" s="161">
        <v>0</v>
      </c>
      <c r="F739" s="161">
        <v>0</v>
      </c>
      <c r="G739"/>
      <c r="H739">
        <f t="shared" si="11"/>
        <v>352</v>
      </c>
    </row>
    <row r="740" spans="1:8" x14ac:dyDescent="0.25">
      <c r="A740" s="161" t="s">
        <v>1557</v>
      </c>
      <c r="B740" s="161" t="s">
        <v>1511</v>
      </c>
      <c r="C740" s="161" t="s">
        <v>1179</v>
      </c>
      <c r="D740" s="161" t="s">
        <v>91</v>
      </c>
      <c r="E740" s="161">
        <v>0</v>
      </c>
      <c r="F740" s="161">
        <v>0</v>
      </c>
      <c r="G740"/>
      <c r="H740">
        <f t="shared" si="11"/>
        <v>311</v>
      </c>
    </row>
    <row r="741" spans="1:8" x14ac:dyDescent="0.25">
      <c r="A741" s="161" t="s">
        <v>1557</v>
      </c>
      <c r="B741" s="161" t="s">
        <v>1511</v>
      </c>
      <c r="C741" s="161" t="s">
        <v>1180</v>
      </c>
      <c r="D741" s="161" t="s">
        <v>91</v>
      </c>
      <c r="E741" s="161">
        <v>0</v>
      </c>
      <c r="F741" s="161">
        <v>0</v>
      </c>
      <c r="G741"/>
      <c r="H741">
        <f t="shared" si="11"/>
        <v>1064</v>
      </c>
    </row>
    <row r="742" spans="1:8" x14ac:dyDescent="0.25">
      <c r="A742" s="161" t="s">
        <v>1557</v>
      </c>
      <c r="B742" s="161" t="s">
        <v>1511</v>
      </c>
      <c r="C742" s="161" t="s">
        <v>1181</v>
      </c>
      <c r="D742" s="161" t="s">
        <v>91</v>
      </c>
      <c r="E742" s="161">
        <v>0</v>
      </c>
      <c r="F742" s="161">
        <v>0</v>
      </c>
      <c r="G742"/>
      <c r="H742">
        <f t="shared" si="11"/>
        <v>494</v>
      </c>
    </row>
    <row r="743" spans="1:8" x14ac:dyDescent="0.25">
      <c r="A743" s="161" t="s">
        <v>1557</v>
      </c>
      <c r="B743" s="161" t="s">
        <v>1511</v>
      </c>
      <c r="C743" s="161" t="s">
        <v>1182</v>
      </c>
      <c r="D743" s="161" t="s">
        <v>91</v>
      </c>
      <c r="E743" s="161">
        <v>0</v>
      </c>
      <c r="F743" s="161">
        <v>0</v>
      </c>
      <c r="G743"/>
      <c r="H743">
        <f t="shared" si="11"/>
        <v>950</v>
      </c>
    </row>
    <row r="744" spans="1:8" x14ac:dyDescent="0.25">
      <c r="A744" s="161" t="s">
        <v>1557</v>
      </c>
      <c r="B744" s="161" t="s">
        <v>1511</v>
      </c>
      <c r="C744" s="161" t="s">
        <v>1183</v>
      </c>
      <c r="D744" s="161" t="s">
        <v>88</v>
      </c>
      <c r="E744" s="161">
        <v>0</v>
      </c>
      <c r="F744" s="161">
        <v>0</v>
      </c>
      <c r="G744"/>
      <c r="H744">
        <f t="shared" si="11"/>
        <v>487</v>
      </c>
    </row>
    <row r="745" spans="1:8" x14ac:dyDescent="0.25">
      <c r="A745" s="161" t="s">
        <v>1557</v>
      </c>
      <c r="B745" s="161" t="s">
        <v>1511</v>
      </c>
      <c r="C745" s="161" t="s">
        <v>1184</v>
      </c>
      <c r="D745" s="161" t="s">
        <v>91</v>
      </c>
      <c r="E745" s="161">
        <v>0</v>
      </c>
      <c r="F745" s="161">
        <v>0</v>
      </c>
      <c r="G745"/>
      <c r="H745">
        <f t="shared" si="11"/>
        <v>634</v>
      </c>
    </row>
    <row r="746" spans="1:8" x14ac:dyDescent="0.25">
      <c r="A746" s="161" t="s">
        <v>1557</v>
      </c>
      <c r="B746" s="161" t="s">
        <v>1511</v>
      </c>
      <c r="C746" s="161" t="s">
        <v>1185</v>
      </c>
      <c r="D746" s="161" t="s">
        <v>91</v>
      </c>
      <c r="E746" s="161">
        <v>0</v>
      </c>
      <c r="F746" s="161">
        <v>0</v>
      </c>
      <c r="G746"/>
      <c r="H746">
        <f t="shared" si="11"/>
        <v>1040</v>
      </c>
    </row>
    <row r="747" spans="1:8" x14ac:dyDescent="0.25">
      <c r="A747" s="161" t="s">
        <v>1557</v>
      </c>
      <c r="B747" s="161" t="s">
        <v>1511</v>
      </c>
      <c r="C747" s="161" t="s">
        <v>807</v>
      </c>
      <c r="D747" s="161" t="s">
        <v>152</v>
      </c>
      <c r="E747" s="161">
        <v>0</v>
      </c>
      <c r="F747" s="161">
        <v>0</v>
      </c>
      <c r="G747"/>
      <c r="H747">
        <f t="shared" si="11"/>
        <v>786</v>
      </c>
    </row>
    <row r="748" spans="1:8" x14ac:dyDescent="0.25">
      <c r="A748" s="161" t="s">
        <v>1557</v>
      </c>
      <c r="B748" s="161" t="s">
        <v>1511</v>
      </c>
      <c r="C748" s="161" t="s">
        <v>713</v>
      </c>
      <c r="D748" s="161" t="s">
        <v>151</v>
      </c>
      <c r="E748" s="161">
        <v>0</v>
      </c>
      <c r="F748" s="161">
        <v>0</v>
      </c>
      <c r="G748"/>
      <c r="H748">
        <f t="shared" si="11"/>
        <v>497</v>
      </c>
    </row>
    <row r="749" spans="1:8" x14ac:dyDescent="0.25">
      <c r="A749" s="161" t="s">
        <v>1557</v>
      </c>
      <c r="B749" s="161" t="s">
        <v>1511</v>
      </c>
      <c r="C749" s="161" t="s">
        <v>1187</v>
      </c>
      <c r="D749" s="161" t="s">
        <v>141</v>
      </c>
      <c r="E749" s="161">
        <v>0</v>
      </c>
      <c r="F749" s="161">
        <v>0</v>
      </c>
      <c r="G749"/>
      <c r="H749">
        <f t="shared" si="11"/>
        <v>826</v>
      </c>
    </row>
    <row r="750" spans="1:8" x14ac:dyDescent="0.25">
      <c r="A750" s="161" t="s">
        <v>1557</v>
      </c>
      <c r="B750" s="161" t="s">
        <v>1511</v>
      </c>
      <c r="C750" s="161" t="s">
        <v>1188</v>
      </c>
      <c r="D750" s="161" t="s">
        <v>98</v>
      </c>
      <c r="E750" s="161">
        <v>0</v>
      </c>
      <c r="F750" s="161">
        <v>0</v>
      </c>
      <c r="G750"/>
      <c r="H750">
        <f t="shared" si="11"/>
        <v>859</v>
      </c>
    </row>
    <row r="751" spans="1:8" x14ac:dyDescent="0.25">
      <c r="A751" s="161" t="s">
        <v>1557</v>
      </c>
      <c r="B751" s="161" t="s">
        <v>1511</v>
      </c>
      <c r="C751" s="161" t="s">
        <v>1189</v>
      </c>
      <c r="D751" s="161" t="s">
        <v>91</v>
      </c>
      <c r="E751" s="161">
        <v>0</v>
      </c>
      <c r="F751" s="161">
        <v>0</v>
      </c>
      <c r="G751"/>
      <c r="H751">
        <f t="shared" si="11"/>
        <v>796</v>
      </c>
    </row>
    <row r="752" spans="1:8" x14ac:dyDescent="0.25">
      <c r="A752" s="161" t="s">
        <v>1557</v>
      </c>
      <c r="B752" s="161" t="s">
        <v>1511</v>
      </c>
      <c r="C752" s="161" t="s">
        <v>1190</v>
      </c>
      <c r="D752" s="161" t="s">
        <v>91</v>
      </c>
      <c r="E752" s="161">
        <v>0</v>
      </c>
      <c r="F752" s="161">
        <v>0</v>
      </c>
      <c r="G752"/>
      <c r="H752">
        <f t="shared" si="11"/>
        <v>312</v>
      </c>
    </row>
    <row r="753" spans="1:8" x14ac:dyDescent="0.25">
      <c r="A753" s="161" t="s">
        <v>1557</v>
      </c>
      <c r="B753" s="161" t="s">
        <v>1511</v>
      </c>
      <c r="C753" s="161" t="s">
        <v>1191</v>
      </c>
      <c r="D753" s="161"/>
      <c r="E753" s="161">
        <v>0</v>
      </c>
      <c r="F753" s="161">
        <v>0</v>
      </c>
      <c r="G753"/>
      <c r="H753">
        <f t="shared" si="11"/>
        <v>860</v>
      </c>
    </row>
    <row r="754" spans="1:8" x14ac:dyDescent="0.25">
      <c r="A754" s="161" t="s">
        <v>1557</v>
      </c>
      <c r="B754" s="161" t="s">
        <v>1511</v>
      </c>
      <c r="C754" s="161" t="s">
        <v>1192</v>
      </c>
      <c r="D754" s="161" t="s">
        <v>91</v>
      </c>
      <c r="E754" s="161">
        <v>0</v>
      </c>
      <c r="F754" s="161">
        <v>0</v>
      </c>
      <c r="G754"/>
      <c r="H754">
        <f t="shared" si="11"/>
        <v>900</v>
      </c>
    </row>
    <row r="755" spans="1:8" x14ac:dyDescent="0.25">
      <c r="A755" s="161" t="s">
        <v>1557</v>
      </c>
      <c r="B755" s="161" t="s">
        <v>1511</v>
      </c>
      <c r="C755" s="161" t="s">
        <v>1193</v>
      </c>
      <c r="D755" s="161" t="s">
        <v>112</v>
      </c>
      <c r="E755" s="161">
        <v>0</v>
      </c>
      <c r="F755" s="161">
        <v>0</v>
      </c>
      <c r="G755"/>
      <c r="H755">
        <f t="shared" si="11"/>
        <v>851</v>
      </c>
    </row>
    <row r="756" spans="1:8" x14ac:dyDescent="0.25">
      <c r="A756" s="161" t="s">
        <v>1557</v>
      </c>
      <c r="B756" s="161" t="s">
        <v>1511</v>
      </c>
      <c r="C756" s="161" t="s">
        <v>864</v>
      </c>
      <c r="D756" s="161" t="s">
        <v>91</v>
      </c>
      <c r="E756" s="161">
        <v>0</v>
      </c>
      <c r="F756" s="161">
        <v>0</v>
      </c>
      <c r="G756"/>
      <c r="H756">
        <f t="shared" si="11"/>
        <v>1022</v>
      </c>
    </row>
    <row r="757" spans="1:8" x14ac:dyDescent="0.25">
      <c r="A757" s="161" t="s">
        <v>1557</v>
      </c>
      <c r="B757" s="161" t="s">
        <v>1511</v>
      </c>
      <c r="C757" s="161" t="s">
        <v>865</v>
      </c>
      <c r="D757" s="161" t="s">
        <v>91</v>
      </c>
      <c r="E757" s="161">
        <v>0</v>
      </c>
      <c r="F757" s="161">
        <v>0</v>
      </c>
      <c r="G757"/>
      <c r="H757">
        <f t="shared" si="11"/>
        <v>1041</v>
      </c>
    </row>
    <row r="758" spans="1:8" x14ac:dyDescent="0.25">
      <c r="A758" s="161" t="s">
        <v>1557</v>
      </c>
      <c r="B758" s="161" t="s">
        <v>1511</v>
      </c>
      <c r="C758" s="161" t="s">
        <v>1194</v>
      </c>
      <c r="D758" s="161" t="s">
        <v>91</v>
      </c>
      <c r="E758" s="161">
        <v>0</v>
      </c>
      <c r="F758" s="161">
        <v>0</v>
      </c>
      <c r="G758"/>
      <c r="H758">
        <f t="shared" si="11"/>
        <v>472</v>
      </c>
    </row>
    <row r="759" spans="1:8" x14ac:dyDescent="0.25">
      <c r="A759" s="161" t="s">
        <v>1557</v>
      </c>
      <c r="B759" s="161" t="s">
        <v>1511</v>
      </c>
      <c r="C759" s="161" t="s">
        <v>1195</v>
      </c>
      <c r="D759" s="161" t="s">
        <v>91</v>
      </c>
      <c r="E759" s="161">
        <v>0</v>
      </c>
      <c r="F759" s="161">
        <v>0</v>
      </c>
      <c r="G759"/>
      <c r="H759">
        <f t="shared" si="11"/>
        <v>620</v>
      </c>
    </row>
    <row r="760" spans="1:8" x14ac:dyDescent="0.25">
      <c r="A760" s="161" t="s">
        <v>1557</v>
      </c>
      <c r="B760" s="161" t="s">
        <v>1511</v>
      </c>
      <c r="C760" s="161" t="s">
        <v>1196</v>
      </c>
      <c r="D760" s="161" t="s">
        <v>88</v>
      </c>
      <c r="E760" s="161">
        <v>0</v>
      </c>
      <c r="F760" s="161">
        <v>0</v>
      </c>
      <c r="G760"/>
      <c r="H760">
        <f t="shared" si="11"/>
        <v>357</v>
      </c>
    </row>
    <row r="761" spans="1:8" x14ac:dyDescent="0.25">
      <c r="A761" s="161" t="s">
        <v>1557</v>
      </c>
      <c r="B761" s="161" t="s">
        <v>1511</v>
      </c>
      <c r="C761" s="161" t="s">
        <v>1197</v>
      </c>
      <c r="D761" s="161" t="s">
        <v>105</v>
      </c>
      <c r="E761" s="161">
        <v>0</v>
      </c>
      <c r="F761" s="161">
        <v>0</v>
      </c>
      <c r="G761"/>
      <c r="H761">
        <f t="shared" si="11"/>
        <v>604</v>
      </c>
    </row>
    <row r="762" spans="1:8" x14ac:dyDescent="0.25">
      <c r="A762" s="161" t="s">
        <v>1557</v>
      </c>
      <c r="B762" s="161" t="s">
        <v>1511</v>
      </c>
      <c r="C762" s="161" t="s">
        <v>1198</v>
      </c>
      <c r="D762" s="161" t="s">
        <v>105</v>
      </c>
      <c r="E762" s="161">
        <v>0</v>
      </c>
      <c r="F762" s="161">
        <v>0</v>
      </c>
      <c r="G762"/>
      <c r="H762">
        <f t="shared" si="11"/>
        <v>767</v>
      </c>
    </row>
    <row r="763" spans="1:8" x14ac:dyDescent="0.25">
      <c r="A763" s="161" t="s">
        <v>1557</v>
      </c>
      <c r="B763" s="161" t="s">
        <v>1511</v>
      </c>
      <c r="C763" s="161" t="s">
        <v>1199</v>
      </c>
      <c r="D763" s="161" t="s">
        <v>141</v>
      </c>
      <c r="E763" s="161">
        <v>0</v>
      </c>
      <c r="F763" s="161">
        <v>0</v>
      </c>
      <c r="G763"/>
      <c r="H763">
        <f t="shared" si="11"/>
        <v>407</v>
      </c>
    </row>
    <row r="764" spans="1:8" x14ac:dyDescent="0.25">
      <c r="A764" s="161" t="s">
        <v>1557</v>
      </c>
      <c r="B764" s="161" t="s">
        <v>1511</v>
      </c>
      <c r="C764" s="161" t="s">
        <v>1202</v>
      </c>
      <c r="D764" s="161" t="s">
        <v>88</v>
      </c>
      <c r="E764" s="161">
        <v>0</v>
      </c>
      <c r="F764" s="161">
        <v>0</v>
      </c>
      <c r="G764"/>
      <c r="H764">
        <f t="shared" si="11"/>
        <v>897</v>
      </c>
    </row>
    <row r="765" spans="1:8" x14ac:dyDescent="0.25">
      <c r="A765" s="161" t="s">
        <v>1557</v>
      </c>
      <c r="B765" s="161" t="s">
        <v>1511</v>
      </c>
      <c r="C765" s="161" t="s">
        <v>1203</v>
      </c>
      <c r="D765" s="161" t="s">
        <v>91</v>
      </c>
      <c r="E765" s="161">
        <v>0</v>
      </c>
      <c r="F765" s="161">
        <v>0</v>
      </c>
      <c r="G765"/>
      <c r="H765">
        <f t="shared" si="11"/>
        <v>875</v>
      </c>
    </row>
    <row r="766" spans="1:8" x14ac:dyDescent="0.25">
      <c r="A766" s="161" t="s">
        <v>1557</v>
      </c>
      <c r="B766" s="161" t="s">
        <v>1511</v>
      </c>
      <c r="C766" s="161" t="s">
        <v>1204</v>
      </c>
      <c r="D766" s="161" t="s">
        <v>88</v>
      </c>
      <c r="E766" s="161">
        <v>0</v>
      </c>
      <c r="F766" s="161">
        <v>0</v>
      </c>
      <c r="G766"/>
      <c r="H766">
        <f t="shared" si="11"/>
        <v>363</v>
      </c>
    </row>
    <row r="767" spans="1:8" x14ac:dyDescent="0.25">
      <c r="A767" s="161" t="s">
        <v>1557</v>
      </c>
      <c r="B767" s="161" t="s">
        <v>1511</v>
      </c>
      <c r="C767" s="161" t="s">
        <v>1205</v>
      </c>
      <c r="D767" s="161" t="s">
        <v>98</v>
      </c>
      <c r="E767" s="161">
        <v>0</v>
      </c>
      <c r="F767" s="161">
        <v>0</v>
      </c>
      <c r="G767"/>
      <c r="H767">
        <f t="shared" si="11"/>
        <v>622</v>
      </c>
    </row>
    <row r="768" spans="1:8" x14ac:dyDescent="0.25">
      <c r="A768" s="161" t="s">
        <v>1557</v>
      </c>
      <c r="B768" s="161" t="s">
        <v>1511</v>
      </c>
      <c r="C768" s="161" t="s">
        <v>1206</v>
      </c>
      <c r="D768" s="161" t="s">
        <v>98</v>
      </c>
      <c r="E768" s="161">
        <v>0</v>
      </c>
      <c r="F768" s="161">
        <v>0</v>
      </c>
      <c r="G768"/>
      <c r="H768">
        <f t="shared" si="11"/>
        <v>1062</v>
      </c>
    </row>
    <row r="769" spans="1:8" x14ac:dyDescent="0.25">
      <c r="A769" s="161" t="s">
        <v>1557</v>
      </c>
      <c r="B769" s="161" t="s">
        <v>1511</v>
      </c>
      <c r="C769" s="161" t="s">
        <v>1207</v>
      </c>
      <c r="D769" s="161" t="s">
        <v>91</v>
      </c>
      <c r="E769" s="161">
        <v>0</v>
      </c>
      <c r="F769" s="161">
        <v>0</v>
      </c>
      <c r="G769"/>
      <c r="H769">
        <f t="shared" si="11"/>
        <v>615</v>
      </c>
    </row>
    <row r="770" spans="1:8" x14ac:dyDescent="0.25">
      <c r="A770" s="161" t="s">
        <v>1557</v>
      </c>
      <c r="B770" s="161" t="s">
        <v>1511</v>
      </c>
      <c r="C770" s="161" t="s">
        <v>1208</v>
      </c>
      <c r="D770" s="161" t="s">
        <v>98</v>
      </c>
      <c r="E770" s="161">
        <v>0</v>
      </c>
      <c r="F770" s="161">
        <v>0</v>
      </c>
      <c r="G770"/>
      <c r="H770">
        <f t="shared" ref="H770:H833" si="12">SUMPRODUCT((C$2:C$1090 &lt; C770)+(C770="")*1000)</f>
        <v>772</v>
      </c>
    </row>
    <row r="771" spans="1:8" x14ac:dyDescent="0.25">
      <c r="A771" s="161" t="s">
        <v>1557</v>
      </c>
      <c r="B771" s="161" t="s">
        <v>1511</v>
      </c>
      <c r="C771" s="161" t="s">
        <v>784</v>
      </c>
      <c r="D771" s="161" t="s">
        <v>91</v>
      </c>
      <c r="E771" s="161">
        <v>0</v>
      </c>
      <c r="F771" s="161">
        <v>0</v>
      </c>
      <c r="G771"/>
      <c r="H771">
        <f t="shared" si="12"/>
        <v>347</v>
      </c>
    </row>
    <row r="772" spans="1:8" x14ac:dyDescent="0.25">
      <c r="A772" s="161" t="s">
        <v>1557</v>
      </c>
      <c r="B772" s="161" t="s">
        <v>1511</v>
      </c>
      <c r="C772" s="161" t="s">
        <v>1209</v>
      </c>
      <c r="D772" s="161" t="s">
        <v>98</v>
      </c>
      <c r="E772" s="161">
        <v>0</v>
      </c>
      <c r="F772" s="161">
        <v>0</v>
      </c>
      <c r="G772"/>
      <c r="H772">
        <f t="shared" si="12"/>
        <v>1069</v>
      </c>
    </row>
    <row r="773" spans="1:8" x14ac:dyDescent="0.25">
      <c r="A773" s="161" t="s">
        <v>1557</v>
      </c>
      <c r="B773" s="161" t="s">
        <v>1511</v>
      </c>
      <c r="C773" s="161" t="s">
        <v>1210</v>
      </c>
      <c r="D773" s="161" t="s">
        <v>98</v>
      </c>
      <c r="E773" s="161">
        <v>0</v>
      </c>
      <c r="F773" s="161">
        <v>0</v>
      </c>
      <c r="G773"/>
      <c r="H773">
        <f t="shared" si="12"/>
        <v>332</v>
      </c>
    </row>
    <row r="774" spans="1:8" x14ac:dyDescent="0.25">
      <c r="A774" s="161" t="s">
        <v>1557</v>
      </c>
      <c r="B774" s="161" t="s">
        <v>1511</v>
      </c>
      <c r="C774" s="161" t="s">
        <v>758</v>
      </c>
      <c r="D774" s="161" t="s">
        <v>98</v>
      </c>
      <c r="E774" s="161">
        <v>0</v>
      </c>
      <c r="F774" s="161">
        <v>0</v>
      </c>
      <c r="G774"/>
      <c r="H774">
        <f t="shared" si="12"/>
        <v>677</v>
      </c>
    </row>
    <row r="775" spans="1:8" x14ac:dyDescent="0.25">
      <c r="A775" s="161" t="s">
        <v>1557</v>
      </c>
      <c r="B775" s="161" t="s">
        <v>1511</v>
      </c>
      <c r="C775" s="161" t="s">
        <v>1211</v>
      </c>
      <c r="D775" s="161" t="s">
        <v>88</v>
      </c>
      <c r="E775" s="161">
        <v>0</v>
      </c>
      <c r="F775" s="161">
        <v>0</v>
      </c>
      <c r="G775"/>
      <c r="H775">
        <f t="shared" si="12"/>
        <v>424</v>
      </c>
    </row>
    <row r="776" spans="1:8" x14ac:dyDescent="0.25">
      <c r="A776" s="161" t="s">
        <v>1557</v>
      </c>
      <c r="B776" s="161" t="s">
        <v>1511</v>
      </c>
      <c r="C776" s="161" t="s">
        <v>1212</v>
      </c>
      <c r="D776" s="161" t="s">
        <v>88</v>
      </c>
      <c r="E776" s="161">
        <v>0</v>
      </c>
      <c r="F776" s="161">
        <v>0</v>
      </c>
      <c r="G776"/>
      <c r="H776">
        <f t="shared" si="12"/>
        <v>752</v>
      </c>
    </row>
    <row r="777" spans="1:8" x14ac:dyDescent="0.25">
      <c r="A777" s="161" t="s">
        <v>1557</v>
      </c>
      <c r="B777" s="161" t="s">
        <v>1511</v>
      </c>
      <c r="C777" s="161" t="s">
        <v>1213</v>
      </c>
      <c r="D777" s="161" t="s">
        <v>995</v>
      </c>
      <c r="E777" s="161">
        <v>0</v>
      </c>
      <c r="F777" s="161">
        <v>0</v>
      </c>
      <c r="G777"/>
      <c r="H777">
        <f t="shared" si="12"/>
        <v>805</v>
      </c>
    </row>
    <row r="778" spans="1:8" x14ac:dyDescent="0.25">
      <c r="A778" s="161" t="s">
        <v>1557</v>
      </c>
      <c r="B778" s="161" t="s">
        <v>1511</v>
      </c>
      <c r="C778" s="161" t="s">
        <v>1214</v>
      </c>
      <c r="D778" s="161" t="s">
        <v>88</v>
      </c>
      <c r="E778" s="161">
        <v>0</v>
      </c>
      <c r="F778" s="161">
        <v>0</v>
      </c>
      <c r="G778"/>
      <c r="H778">
        <f t="shared" si="12"/>
        <v>385</v>
      </c>
    </row>
    <row r="779" spans="1:8" x14ac:dyDescent="0.25">
      <c r="A779" s="161" t="s">
        <v>1557</v>
      </c>
      <c r="B779" s="161" t="s">
        <v>1511</v>
      </c>
      <c r="C779" s="161" t="s">
        <v>1215</v>
      </c>
      <c r="D779" s="161" t="s">
        <v>88</v>
      </c>
      <c r="E779" s="161">
        <v>0</v>
      </c>
      <c r="F779" s="161">
        <v>0</v>
      </c>
      <c r="G779"/>
      <c r="H779">
        <f t="shared" si="12"/>
        <v>690</v>
      </c>
    </row>
    <row r="780" spans="1:8" x14ac:dyDescent="0.25">
      <c r="A780" s="161" t="s">
        <v>1557</v>
      </c>
      <c r="B780" s="161" t="s">
        <v>1511</v>
      </c>
      <c r="C780" s="161" t="s">
        <v>1216</v>
      </c>
      <c r="D780" s="161" t="s">
        <v>91</v>
      </c>
      <c r="E780" s="161">
        <v>0</v>
      </c>
      <c r="F780" s="161">
        <v>0</v>
      </c>
      <c r="G780"/>
      <c r="H780">
        <f t="shared" si="12"/>
        <v>768</v>
      </c>
    </row>
    <row r="781" spans="1:8" x14ac:dyDescent="0.25">
      <c r="A781" s="161" t="s">
        <v>1557</v>
      </c>
      <c r="B781" s="161" t="s">
        <v>1511</v>
      </c>
      <c r="C781" s="161" t="s">
        <v>778</v>
      </c>
      <c r="D781" s="161" t="s">
        <v>146</v>
      </c>
      <c r="E781" s="161">
        <v>0</v>
      </c>
      <c r="F781" s="161">
        <v>0</v>
      </c>
      <c r="G781"/>
      <c r="H781">
        <f t="shared" si="12"/>
        <v>339</v>
      </c>
    </row>
    <row r="782" spans="1:8" x14ac:dyDescent="0.25">
      <c r="A782" s="161" t="s">
        <v>1557</v>
      </c>
      <c r="B782" s="161" t="s">
        <v>1511</v>
      </c>
      <c r="C782" s="161" t="s">
        <v>1217</v>
      </c>
      <c r="D782" s="161" t="s">
        <v>91</v>
      </c>
      <c r="E782" s="161">
        <v>0</v>
      </c>
      <c r="F782" s="161">
        <v>0</v>
      </c>
      <c r="G782"/>
      <c r="H782">
        <f t="shared" si="12"/>
        <v>313</v>
      </c>
    </row>
    <row r="783" spans="1:8" x14ac:dyDescent="0.25">
      <c r="A783" s="161" t="s">
        <v>1557</v>
      </c>
      <c r="B783" s="161" t="s">
        <v>1511</v>
      </c>
      <c r="C783" s="161" t="s">
        <v>1218</v>
      </c>
      <c r="D783" s="161" t="s">
        <v>98</v>
      </c>
      <c r="E783" s="161">
        <v>0</v>
      </c>
      <c r="F783" s="161">
        <v>0</v>
      </c>
      <c r="G783"/>
      <c r="H783">
        <f t="shared" si="12"/>
        <v>846</v>
      </c>
    </row>
    <row r="784" spans="1:8" x14ac:dyDescent="0.25">
      <c r="A784" s="161" t="s">
        <v>1557</v>
      </c>
      <c r="B784" s="161" t="s">
        <v>1511</v>
      </c>
      <c r="C784" s="161" t="s">
        <v>1219</v>
      </c>
      <c r="D784" s="161" t="s">
        <v>98</v>
      </c>
      <c r="E784" s="161">
        <v>0</v>
      </c>
      <c r="F784" s="161">
        <v>0</v>
      </c>
      <c r="G784"/>
      <c r="H784">
        <f t="shared" si="12"/>
        <v>976</v>
      </c>
    </row>
    <row r="785" spans="1:8" x14ac:dyDescent="0.25">
      <c r="A785" s="161" t="s">
        <v>1557</v>
      </c>
      <c r="B785" s="161" t="s">
        <v>1511</v>
      </c>
      <c r="C785" s="161" t="s">
        <v>1220</v>
      </c>
      <c r="D785" s="161" t="s">
        <v>88</v>
      </c>
      <c r="E785" s="161">
        <v>0</v>
      </c>
      <c r="F785" s="161">
        <v>0</v>
      </c>
      <c r="G785"/>
      <c r="H785">
        <f t="shared" si="12"/>
        <v>1060</v>
      </c>
    </row>
    <row r="786" spans="1:8" x14ac:dyDescent="0.25">
      <c r="A786" s="161" t="s">
        <v>1557</v>
      </c>
      <c r="B786" s="161" t="s">
        <v>1511</v>
      </c>
      <c r="C786" s="161" t="s">
        <v>709</v>
      </c>
      <c r="D786" s="161" t="s">
        <v>91</v>
      </c>
      <c r="E786" s="161">
        <v>0</v>
      </c>
      <c r="F786" s="161">
        <v>0</v>
      </c>
      <c r="G786"/>
      <c r="H786">
        <f t="shared" si="12"/>
        <v>335</v>
      </c>
    </row>
    <row r="787" spans="1:8" x14ac:dyDescent="0.25">
      <c r="A787" s="161" t="s">
        <v>1557</v>
      </c>
      <c r="B787" s="161" t="s">
        <v>1511</v>
      </c>
      <c r="C787" s="161" t="s">
        <v>1221</v>
      </c>
      <c r="D787" s="161" t="s">
        <v>91</v>
      </c>
      <c r="E787" s="161">
        <v>0</v>
      </c>
      <c r="F787" s="161">
        <v>0</v>
      </c>
      <c r="G787"/>
      <c r="H787">
        <f t="shared" si="12"/>
        <v>405</v>
      </c>
    </row>
    <row r="788" spans="1:8" x14ac:dyDescent="0.25">
      <c r="A788" s="161" t="s">
        <v>1557</v>
      </c>
      <c r="B788" s="161" t="s">
        <v>1511</v>
      </c>
      <c r="C788" s="161" t="s">
        <v>1222</v>
      </c>
      <c r="D788" s="161" t="s">
        <v>98</v>
      </c>
      <c r="E788" s="161">
        <v>0</v>
      </c>
      <c r="F788" s="161">
        <v>0</v>
      </c>
      <c r="G788"/>
      <c r="H788">
        <f t="shared" si="12"/>
        <v>262</v>
      </c>
    </row>
    <row r="789" spans="1:8" x14ac:dyDescent="0.25">
      <c r="A789" s="161" t="s">
        <v>1557</v>
      </c>
      <c r="B789" s="161" t="s">
        <v>1511</v>
      </c>
      <c r="C789" s="161" t="s">
        <v>1223</v>
      </c>
      <c r="D789" s="161" t="s">
        <v>91</v>
      </c>
      <c r="E789" s="161">
        <v>0</v>
      </c>
      <c r="F789" s="161">
        <v>0</v>
      </c>
      <c r="G789"/>
      <c r="H789">
        <f t="shared" si="12"/>
        <v>259</v>
      </c>
    </row>
    <row r="790" spans="1:8" x14ac:dyDescent="0.25">
      <c r="A790" s="161" t="s">
        <v>1557</v>
      </c>
      <c r="B790" s="161" t="s">
        <v>1511</v>
      </c>
      <c r="C790" s="161" t="s">
        <v>1224</v>
      </c>
      <c r="D790" s="161" t="s">
        <v>91</v>
      </c>
      <c r="E790" s="161">
        <v>0</v>
      </c>
      <c r="F790" s="161">
        <v>0</v>
      </c>
      <c r="G790"/>
      <c r="H790">
        <f t="shared" si="12"/>
        <v>847</v>
      </c>
    </row>
    <row r="791" spans="1:8" x14ac:dyDescent="0.25">
      <c r="A791" s="161" t="s">
        <v>1557</v>
      </c>
      <c r="B791" s="161" t="s">
        <v>1511</v>
      </c>
      <c r="C791" s="161" t="s">
        <v>1225</v>
      </c>
      <c r="D791" s="161" t="s">
        <v>146</v>
      </c>
      <c r="E791" s="161">
        <v>0</v>
      </c>
      <c r="F791" s="161">
        <v>0</v>
      </c>
      <c r="G791"/>
      <c r="H791">
        <f t="shared" si="12"/>
        <v>1080</v>
      </c>
    </row>
    <row r="792" spans="1:8" x14ac:dyDescent="0.25">
      <c r="A792" s="161" t="s">
        <v>1557</v>
      </c>
      <c r="B792" s="161" t="s">
        <v>1511</v>
      </c>
      <c r="C792" s="161" t="s">
        <v>1226</v>
      </c>
      <c r="D792" s="161" t="s">
        <v>91</v>
      </c>
      <c r="E792" s="161">
        <v>0</v>
      </c>
      <c r="F792" s="161">
        <v>0</v>
      </c>
      <c r="G792"/>
      <c r="H792">
        <f t="shared" si="12"/>
        <v>854</v>
      </c>
    </row>
    <row r="793" spans="1:8" x14ac:dyDescent="0.25">
      <c r="A793" s="161" t="s">
        <v>1557</v>
      </c>
      <c r="B793" s="161" t="s">
        <v>1511</v>
      </c>
      <c r="C793" s="161" t="s">
        <v>1228</v>
      </c>
      <c r="D793" s="161" t="s">
        <v>98</v>
      </c>
      <c r="E793" s="161">
        <v>0</v>
      </c>
      <c r="F793" s="161">
        <v>0</v>
      </c>
      <c r="G793"/>
      <c r="H793">
        <f t="shared" si="12"/>
        <v>524</v>
      </c>
    </row>
    <row r="794" spans="1:8" x14ac:dyDescent="0.25">
      <c r="A794" s="161" t="s">
        <v>1557</v>
      </c>
      <c r="B794" s="161" t="s">
        <v>1511</v>
      </c>
      <c r="C794" s="161" t="s">
        <v>1229</v>
      </c>
      <c r="D794" s="161" t="s">
        <v>91</v>
      </c>
      <c r="E794" s="161">
        <v>0</v>
      </c>
      <c r="F794" s="161">
        <v>0</v>
      </c>
      <c r="G794"/>
      <c r="H794">
        <f t="shared" si="12"/>
        <v>745</v>
      </c>
    </row>
    <row r="795" spans="1:8" x14ac:dyDescent="0.25">
      <c r="A795" s="161" t="s">
        <v>1557</v>
      </c>
      <c r="B795" s="161" t="s">
        <v>1511</v>
      </c>
      <c r="C795" s="161" t="s">
        <v>1230</v>
      </c>
      <c r="D795" s="161" t="s">
        <v>91</v>
      </c>
      <c r="E795" s="161">
        <v>0</v>
      </c>
      <c r="F795" s="161">
        <v>0</v>
      </c>
      <c r="G795"/>
      <c r="H795">
        <f t="shared" si="12"/>
        <v>592</v>
      </c>
    </row>
    <row r="796" spans="1:8" x14ac:dyDescent="0.25">
      <c r="A796" s="161" t="s">
        <v>1557</v>
      </c>
      <c r="B796" s="161" t="s">
        <v>1511</v>
      </c>
      <c r="C796" s="161" t="s">
        <v>1231</v>
      </c>
      <c r="D796" s="161" t="s">
        <v>98</v>
      </c>
      <c r="E796" s="161">
        <v>0</v>
      </c>
      <c r="F796" s="161">
        <v>0</v>
      </c>
      <c r="G796"/>
      <c r="H796">
        <f t="shared" si="12"/>
        <v>736</v>
      </c>
    </row>
    <row r="797" spans="1:8" x14ac:dyDescent="0.25">
      <c r="A797" s="161" t="s">
        <v>1557</v>
      </c>
      <c r="B797" s="161" t="s">
        <v>1511</v>
      </c>
      <c r="C797" s="161" t="s">
        <v>839</v>
      </c>
      <c r="D797" s="161" t="s">
        <v>98</v>
      </c>
      <c r="E797" s="161">
        <v>0</v>
      </c>
      <c r="F797" s="161">
        <v>0</v>
      </c>
      <c r="G797"/>
      <c r="H797">
        <f t="shared" si="12"/>
        <v>869</v>
      </c>
    </row>
    <row r="798" spans="1:8" x14ac:dyDescent="0.25">
      <c r="A798" s="161" t="s">
        <v>1557</v>
      </c>
      <c r="B798" s="161" t="s">
        <v>1511</v>
      </c>
      <c r="C798" s="161" t="s">
        <v>1232</v>
      </c>
      <c r="D798" s="161" t="s">
        <v>91</v>
      </c>
      <c r="E798" s="161">
        <v>0</v>
      </c>
      <c r="F798" s="161">
        <v>0</v>
      </c>
      <c r="G798"/>
      <c r="H798">
        <f t="shared" si="12"/>
        <v>951</v>
      </c>
    </row>
    <row r="799" spans="1:8" x14ac:dyDescent="0.25">
      <c r="A799" s="161" t="s">
        <v>1557</v>
      </c>
      <c r="B799" s="161" t="s">
        <v>1511</v>
      </c>
      <c r="C799" s="161" t="s">
        <v>1233</v>
      </c>
      <c r="D799" s="161" t="s">
        <v>91</v>
      </c>
      <c r="E799" s="161">
        <v>0</v>
      </c>
      <c r="F799" s="161">
        <v>0</v>
      </c>
      <c r="G799"/>
      <c r="H799">
        <f t="shared" si="12"/>
        <v>651</v>
      </c>
    </row>
    <row r="800" spans="1:8" x14ac:dyDescent="0.25">
      <c r="A800" s="161" t="s">
        <v>1557</v>
      </c>
      <c r="B800" s="161" t="s">
        <v>1511</v>
      </c>
      <c r="C800" s="161" t="s">
        <v>1234</v>
      </c>
      <c r="D800" s="161" t="s">
        <v>88</v>
      </c>
      <c r="E800" s="161">
        <v>0</v>
      </c>
      <c r="F800" s="161">
        <v>0</v>
      </c>
      <c r="G800"/>
      <c r="H800">
        <f t="shared" si="12"/>
        <v>449</v>
      </c>
    </row>
    <row r="801" spans="1:8" x14ac:dyDescent="0.25">
      <c r="A801" s="161" t="s">
        <v>1557</v>
      </c>
      <c r="B801" s="161" t="s">
        <v>1511</v>
      </c>
      <c r="C801" s="161" t="s">
        <v>1235</v>
      </c>
      <c r="D801" s="161" t="s">
        <v>147</v>
      </c>
      <c r="E801" s="161">
        <v>0</v>
      </c>
      <c r="F801" s="161">
        <v>0</v>
      </c>
      <c r="G801"/>
      <c r="H801">
        <f t="shared" si="12"/>
        <v>298</v>
      </c>
    </row>
    <row r="802" spans="1:8" x14ac:dyDescent="0.25">
      <c r="A802" s="161" t="s">
        <v>1557</v>
      </c>
      <c r="B802" s="161" t="s">
        <v>1511</v>
      </c>
      <c r="C802" s="161" t="s">
        <v>1236</v>
      </c>
      <c r="D802" s="161" t="s">
        <v>91</v>
      </c>
      <c r="E802" s="161">
        <v>0</v>
      </c>
      <c r="F802" s="161">
        <v>0</v>
      </c>
      <c r="G802"/>
      <c r="H802">
        <f t="shared" si="12"/>
        <v>235</v>
      </c>
    </row>
    <row r="803" spans="1:8" x14ac:dyDescent="0.25">
      <c r="A803" s="161" t="s">
        <v>1557</v>
      </c>
      <c r="B803" s="161" t="s">
        <v>1511</v>
      </c>
      <c r="C803" s="161" t="s">
        <v>1237</v>
      </c>
      <c r="D803" s="161" t="s">
        <v>112</v>
      </c>
      <c r="E803" s="161">
        <v>0</v>
      </c>
      <c r="F803" s="161">
        <v>0</v>
      </c>
      <c r="G803"/>
      <c r="H803">
        <f t="shared" si="12"/>
        <v>559</v>
      </c>
    </row>
    <row r="804" spans="1:8" x14ac:dyDescent="0.25">
      <c r="A804" s="161" t="s">
        <v>1557</v>
      </c>
      <c r="B804" s="161" t="s">
        <v>1511</v>
      </c>
      <c r="C804" s="161" t="s">
        <v>842</v>
      </c>
      <c r="D804" s="161"/>
      <c r="E804" s="161">
        <v>0</v>
      </c>
      <c r="F804" s="161">
        <v>0</v>
      </c>
      <c r="G804"/>
      <c r="H804">
        <f t="shared" si="12"/>
        <v>413</v>
      </c>
    </row>
    <row r="805" spans="1:8" x14ac:dyDescent="0.25">
      <c r="A805" s="161" t="s">
        <v>1557</v>
      </c>
      <c r="B805" s="161" t="s">
        <v>1511</v>
      </c>
      <c r="C805" s="161" t="s">
        <v>1239</v>
      </c>
      <c r="D805" s="161" t="s">
        <v>88</v>
      </c>
      <c r="E805" s="161">
        <v>0</v>
      </c>
      <c r="F805" s="161">
        <v>0</v>
      </c>
      <c r="G805"/>
      <c r="H805">
        <f t="shared" si="12"/>
        <v>913</v>
      </c>
    </row>
    <row r="806" spans="1:8" x14ac:dyDescent="0.25">
      <c r="A806" s="161" t="s">
        <v>1557</v>
      </c>
      <c r="B806" s="161" t="s">
        <v>1511</v>
      </c>
      <c r="C806" s="161" t="s">
        <v>761</v>
      </c>
      <c r="D806" s="161" t="s">
        <v>146</v>
      </c>
      <c r="E806" s="161">
        <v>0</v>
      </c>
      <c r="F806" s="161">
        <v>0</v>
      </c>
      <c r="G806"/>
      <c r="H806">
        <f t="shared" si="12"/>
        <v>956</v>
      </c>
    </row>
    <row r="807" spans="1:8" x14ac:dyDescent="0.25">
      <c r="A807" s="161" t="s">
        <v>1557</v>
      </c>
      <c r="B807" s="161" t="s">
        <v>1511</v>
      </c>
      <c r="C807" s="161" t="s">
        <v>1240</v>
      </c>
      <c r="D807" s="161" t="s">
        <v>112</v>
      </c>
      <c r="E807" s="161">
        <v>0</v>
      </c>
      <c r="F807" s="161">
        <v>0</v>
      </c>
      <c r="G807"/>
      <c r="H807">
        <f t="shared" si="12"/>
        <v>532</v>
      </c>
    </row>
    <row r="808" spans="1:8" x14ac:dyDescent="0.25">
      <c r="A808" s="161" t="s">
        <v>1557</v>
      </c>
      <c r="B808" s="161" t="s">
        <v>1511</v>
      </c>
      <c r="C808" s="161" t="s">
        <v>779</v>
      </c>
      <c r="D808" s="161" t="s">
        <v>146</v>
      </c>
      <c r="E808" s="161">
        <v>0</v>
      </c>
      <c r="F808" s="161">
        <v>0</v>
      </c>
      <c r="G808"/>
      <c r="H808">
        <f t="shared" si="12"/>
        <v>747</v>
      </c>
    </row>
    <row r="809" spans="1:8" x14ac:dyDescent="0.25">
      <c r="A809" s="161" t="s">
        <v>1557</v>
      </c>
      <c r="B809" s="161" t="s">
        <v>1511</v>
      </c>
      <c r="C809" s="161" t="s">
        <v>762</v>
      </c>
      <c r="D809" s="161" t="s">
        <v>146</v>
      </c>
      <c r="E809" s="161">
        <v>0</v>
      </c>
      <c r="F809" s="161">
        <v>0</v>
      </c>
      <c r="G809"/>
      <c r="H809">
        <f t="shared" si="12"/>
        <v>521</v>
      </c>
    </row>
    <row r="810" spans="1:8" x14ac:dyDescent="0.25">
      <c r="A810" s="161" t="s">
        <v>1557</v>
      </c>
      <c r="B810" s="161" t="s">
        <v>1511</v>
      </c>
      <c r="C810" s="161" t="s">
        <v>1241</v>
      </c>
      <c r="D810" s="161" t="s">
        <v>88</v>
      </c>
      <c r="E810" s="161">
        <v>0</v>
      </c>
      <c r="F810" s="161">
        <v>0</v>
      </c>
      <c r="G810"/>
      <c r="H810">
        <f t="shared" si="12"/>
        <v>703</v>
      </c>
    </row>
    <row r="811" spans="1:8" x14ac:dyDescent="0.25">
      <c r="A811" s="161" t="s">
        <v>1557</v>
      </c>
      <c r="B811" s="161" t="s">
        <v>1511</v>
      </c>
      <c r="C811" s="161" t="s">
        <v>1242</v>
      </c>
      <c r="D811" s="161" t="s">
        <v>146</v>
      </c>
      <c r="E811" s="161">
        <v>0</v>
      </c>
      <c r="F811" s="161">
        <v>0</v>
      </c>
      <c r="G811"/>
      <c r="H811">
        <f t="shared" si="12"/>
        <v>1079</v>
      </c>
    </row>
    <row r="812" spans="1:8" x14ac:dyDescent="0.25">
      <c r="A812" s="161" t="s">
        <v>1557</v>
      </c>
      <c r="B812" s="161" t="s">
        <v>1511</v>
      </c>
      <c r="C812" s="161" t="s">
        <v>1243</v>
      </c>
      <c r="D812" s="161" t="s">
        <v>91</v>
      </c>
      <c r="E812" s="161">
        <v>0</v>
      </c>
      <c r="F812" s="161">
        <v>0</v>
      </c>
      <c r="G812"/>
      <c r="H812">
        <f t="shared" si="12"/>
        <v>929</v>
      </c>
    </row>
    <row r="813" spans="1:8" x14ac:dyDescent="0.25">
      <c r="A813" s="161" t="s">
        <v>1557</v>
      </c>
      <c r="B813" s="161" t="s">
        <v>1511</v>
      </c>
      <c r="C813" s="161" t="s">
        <v>1244</v>
      </c>
      <c r="D813" s="161" t="s">
        <v>91</v>
      </c>
      <c r="E813" s="161">
        <v>0</v>
      </c>
      <c r="F813" s="161">
        <v>0</v>
      </c>
      <c r="G813"/>
      <c r="H813">
        <f t="shared" si="12"/>
        <v>600</v>
      </c>
    </row>
    <row r="814" spans="1:8" x14ac:dyDescent="0.25">
      <c r="A814" s="161" t="s">
        <v>1557</v>
      </c>
      <c r="B814" s="161" t="s">
        <v>1511</v>
      </c>
      <c r="C814" s="161" t="s">
        <v>1245</v>
      </c>
      <c r="D814" s="161" t="s">
        <v>91</v>
      </c>
      <c r="E814" s="161">
        <v>0</v>
      </c>
      <c r="F814" s="161">
        <v>0</v>
      </c>
      <c r="G814"/>
      <c r="H814">
        <f t="shared" si="12"/>
        <v>1067</v>
      </c>
    </row>
    <row r="815" spans="1:8" x14ac:dyDescent="0.25">
      <c r="A815" s="161" t="s">
        <v>1557</v>
      </c>
      <c r="B815" s="161" t="s">
        <v>1511</v>
      </c>
      <c r="C815" s="161" t="s">
        <v>1246</v>
      </c>
      <c r="D815" s="161" t="s">
        <v>98</v>
      </c>
      <c r="E815" s="161">
        <v>0</v>
      </c>
      <c r="F815" s="161">
        <v>0</v>
      </c>
      <c r="G815"/>
      <c r="H815">
        <f t="shared" si="12"/>
        <v>274</v>
      </c>
    </row>
    <row r="816" spans="1:8" x14ac:dyDescent="0.25">
      <c r="A816" s="161" t="s">
        <v>1557</v>
      </c>
      <c r="B816" s="161" t="s">
        <v>1511</v>
      </c>
      <c r="C816" s="161" t="s">
        <v>1247</v>
      </c>
      <c r="D816" s="161" t="s">
        <v>91</v>
      </c>
      <c r="E816" s="161">
        <v>0</v>
      </c>
      <c r="F816" s="161">
        <v>0</v>
      </c>
      <c r="G816"/>
      <c r="H816">
        <f t="shared" si="12"/>
        <v>917</v>
      </c>
    </row>
    <row r="817" spans="1:8" x14ac:dyDescent="0.25">
      <c r="A817" s="161" t="s">
        <v>1557</v>
      </c>
      <c r="B817" s="161" t="s">
        <v>1511</v>
      </c>
      <c r="C817" s="161" t="s">
        <v>1248</v>
      </c>
      <c r="D817" s="161" t="s">
        <v>91</v>
      </c>
      <c r="E817" s="161">
        <v>0</v>
      </c>
      <c r="F817" s="161">
        <v>0</v>
      </c>
      <c r="G817"/>
      <c r="H817">
        <f t="shared" si="12"/>
        <v>1059</v>
      </c>
    </row>
    <row r="818" spans="1:8" x14ac:dyDescent="0.25">
      <c r="A818" s="161" t="s">
        <v>1557</v>
      </c>
      <c r="B818" s="161" t="s">
        <v>1511</v>
      </c>
      <c r="C818" s="161" t="s">
        <v>1249</v>
      </c>
      <c r="D818" s="161" t="s">
        <v>91</v>
      </c>
      <c r="E818" s="161">
        <v>0</v>
      </c>
      <c r="F818" s="161">
        <v>0</v>
      </c>
      <c r="G818"/>
      <c r="H818">
        <f t="shared" si="12"/>
        <v>1070</v>
      </c>
    </row>
    <row r="819" spans="1:8" x14ac:dyDescent="0.25">
      <c r="A819" s="161" t="s">
        <v>1557</v>
      </c>
      <c r="B819" s="161" t="s">
        <v>1511</v>
      </c>
      <c r="C819" s="161" t="s">
        <v>1250</v>
      </c>
      <c r="D819" s="161" t="s">
        <v>91</v>
      </c>
      <c r="E819" s="161">
        <v>0</v>
      </c>
      <c r="F819" s="161">
        <v>0</v>
      </c>
      <c r="G819"/>
      <c r="H819">
        <f t="shared" si="12"/>
        <v>1084</v>
      </c>
    </row>
    <row r="820" spans="1:8" x14ac:dyDescent="0.25">
      <c r="A820" s="161" t="s">
        <v>1557</v>
      </c>
      <c r="B820" s="161" t="s">
        <v>1511</v>
      </c>
      <c r="C820" s="161" t="s">
        <v>826</v>
      </c>
      <c r="D820" s="161" t="s">
        <v>91</v>
      </c>
      <c r="E820" s="161">
        <v>0</v>
      </c>
      <c r="F820" s="161">
        <v>0</v>
      </c>
      <c r="G820"/>
      <c r="H820">
        <f t="shared" si="12"/>
        <v>812</v>
      </c>
    </row>
    <row r="821" spans="1:8" x14ac:dyDescent="0.25">
      <c r="A821" s="161" t="s">
        <v>1557</v>
      </c>
      <c r="B821" s="161" t="s">
        <v>1511</v>
      </c>
      <c r="C821" s="161" t="s">
        <v>1251</v>
      </c>
      <c r="D821" s="161" t="s">
        <v>88</v>
      </c>
      <c r="E821" s="161">
        <v>0</v>
      </c>
      <c r="F821" s="161">
        <v>0</v>
      </c>
      <c r="G821"/>
      <c r="H821">
        <f t="shared" si="12"/>
        <v>1045</v>
      </c>
    </row>
    <row r="822" spans="1:8" x14ac:dyDescent="0.25">
      <c r="A822" s="161" t="s">
        <v>1557</v>
      </c>
      <c r="B822" s="161" t="s">
        <v>1511</v>
      </c>
      <c r="C822" s="161" t="s">
        <v>1252</v>
      </c>
      <c r="D822" s="161" t="s">
        <v>105</v>
      </c>
      <c r="E822" s="161">
        <v>0</v>
      </c>
      <c r="F822" s="161">
        <v>0</v>
      </c>
      <c r="G822"/>
      <c r="H822">
        <f t="shared" si="12"/>
        <v>685</v>
      </c>
    </row>
    <row r="823" spans="1:8" x14ac:dyDescent="0.25">
      <c r="A823" s="161" t="s">
        <v>1557</v>
      </c>
      <c r="B823" s="161" t="s">
        <v>1511</v>
      </c>
      <c r="C823" s="161" t="s">
        <v>1253</v>
      </c>
      <c r="D823" s="161" t="s">
        <v>144</v>
      </c>
      <c r="E823" s="161">
        <v>0</v>
      </c>
      <c r="F823" s="161">
        <v>0</v>
      </c>
      <c r="G823"/>
      <c r="H823">
        <f t="shared" si="12"/>
        <v>456</v>
      </c>
    </row>
    <row r="824" spans="1:8" x14ac:dyDescent="0.25">
      <c r="A824" s="161" t="s">
        <v>1557</v>
      </c>
      <c r="B824" s="161" t="s">
        <v>1511</v>
      </c>
      <c r="C824" s="161" t="s">
        <v>1254</v>
      </c>
      <c r="D824" s="161" t="s">
        <v>91</v>
      </c>
      <c r="E824" s="161">
        <v>0</v>
      </c>
      <c r="F824" s="161">
        <v>0</v>
      </c>
      <c r="G824"/>
      <c r="H824">
        <f t="shared" si="12"/>
        <v>777</v>
      </c>
    </row>
    <row r="825" spans="1:8" x14ac:dyDescent="0.25">
      <c r="A825" s="161" t="s">
        <v>1557</v>
      </c>
      <c r="B825" s="161" t="s">
        <v>1511</v>
      </c>
      <c r="C825" s="161" t="s">
        <v>1255</v>
      </c>
      <c r="D825" s="161" t="s">
        <v>91</v>
      </c>
      <c r="E825" s="161">
        <v>0</v>
      </c>
      <c r="F825" s="161">
        <v>0</v>
      </c>
      <c r="G825"/>
      <c r="H825">
        <f t="shared" si="12"/>
        <v>662</v>
      </c>
    </row>
    <row r="826" spans="1:8" x14ac:dyDescent="0.25">
      <c r="A826" s="161" t="s">
        <v>1557</v>
      </c>
      <c r="B826" s="161" t="s">
        <v>1511</v>
      </c>
      <c r="C826" s="161" t="s">
        <v>1256</v>
      </c>
      <c r="D826" s="161" t="s">
        <v>976</v>
      </c>
      <c r="E826" s="161">
        <v>0</v>
      </c>
      <c r="F826" s="161">
        <v>0</v>
      </c>
      <c r="G826"/>
      <c r="H826">
        <f t="shared" si="12"/>
        <v>191</v>
      </c>
    </row>
    <row r="827" spans="1:8" x14ac:dyDescent="0.25">
      <c r="A827" s="161" t="s">
        <v>1557</v>
      </c>
      <c r="B827" s="161" t="s">
        <v>1511</v>
      </c>
      <c r="C827" s="161" t="s">
        <v>1257</v>
      </c>
      <c r="D827" s="161" t="s">
        <v>88</v>
      </c>
      <c r="E827" s="161">
        <v>0</v>
      </c>
      <c r="F827" s="161">
        <v>0</v>
      </c>
      <c r="G827"/>
      <c r="H827">
        <f t="shared" si="12"/>
        <v>701</v>
      </c>
    </row>
    <row r="828" spans="1:8" x14ac:dyDescent="0.25">
      <c r="A828" s="161" t="s">
        <v>1557</v>
      </c>
      <c r="B828" s="161" t="s">
        <v>1511</v>
      </c>
      <c r="C828" s="161" t="s">
        <v>1258</v>
      </c>
      <c r="D828" s="161" t="s">
        <v>91</v>
      </c>
      <c r="E828" s="161">
        <v>0</v>
      </c>
      <c r="F828" s="161">
        <v>0</v>
      </c>
      <c r="G828"/>
      <c r="H828">
        <f t="shared" si="12"/>
        <v>731</v>
      </c>
    </row>
    <row r="829" spans="1:8" x14ac:dyDescent="0.25">
      <c r="A829" s="161" t="s">
        <v>1557</v>
      </c>
      <c r="B829" s="161" t="s">
        <v>1511</v>
      </c>
      <c r="C829" s="161" t="s">
        <v>1259</v>
      </c>
      <c r="D829" s="161" t="s">
        <v>1260</v>
      </c>
      <c r="E829" s="161">
        <v>0</v>
      </c>
      <c r="F829" s="161">
        <v>0</v>
      </c>
      <c r="G829"/>
      <c r="H829">
        <f t="shared" si="12"/>
        <v>639</v>
      </c>
    </row>
    <row r="830" spans="1:8" x14ac:dyDescent="0.25">
      <c r="A830" s="161" t="s">
        <v>1557</v>
      </c>
      <c r="B830" s="161" t="s">
        <v>1511</v>
      </c>
      <c r="C830" s="161" t="s">
        <v>719</v>
      </c>
      <c r="D830" s="161" t="s">
        <v>146</v>
      </c>
      <c r="E830" s="161">
        <v>0</v>
      </c>
      <c r="F830" s="161">
        <v>0</v>
      </c>
      <c r="G830"/>
      <c r="H830">
        <f t="shared" si="12"/>
        <v>804</v>
      </c>
    </row>
    <row r="831" spans="1:8" x14ac:dyDescent="0.25">
      <c r="A831" s="161" t="s">
        <v>1557</v>
      </c>
      <c r="B831" s="161" t="s">
        <v>1511</v>
      </c>
      <c r="C831" s="161" t="s">
        <v>662</v>
      </c>
      <c r="D831" s="161" t="s">
        <v>146</v>
      </c>
      <c r="E831" s="161">
        <v>0</v>
      </c>
      <c r="F831" s="161">
        <v>0</v>
      </c>
      <c r="G831"/>
      <c r="H831">
        <f t="shared" si="12"/>
        <v>171</v>
      </c>
    </row>
    <row r="832" spans="1:8" x14ac:dyDescent="0.25">
      <c r="A832" s="161" t="s">
        <v>1557</v>
      </c>
      <c r="B832" s="161" t="s">
        <v>1511</v>
      </c>
      <c r="C832" s="161" t="s">
        <v>1261</v>
      </c>
      <c r="D832" s="161" t="s">
        <v>98</v>
      </c>
      <c r="E832" s="161">
        <v>0</v>
      </c>
      <c r="F832" s="161">
        <v>0</v>
      </c>
      <c r="G832"/>
      <c r="H832">
        <f t="shared" si="12"/>
        <v>717</v>
      </c>
    </row>
    <row r="833" spans="1:8" x14ac:dyDescent="0.25">
      <c r="A833" s="161" t="s">
        <v>1557</v>
      </c>
      <c r="B833" s="161" t="s">
        <v>1511</v>
      </c>
      <c r="C833" s="161" t="s">
        <v>1262</v>
      </c>
      <c r="D833" s="161" t="s">
        <v>98</v>
      </c>
      <c r="E833" s="161">
        <v>0</v>
      </c>
      <c r="F833" s="161">
        <v>0</v>
      </c>
      <c r="G833"/>
      <c r="H833">
        <f t="shared" si="12"/>
        <v>659</v>
      </c>
    </row>
    <row r="834" spans="1:8" x14ac:dyDescent="0.25">
      <c r="A834" s="161" t="s">
        <v>1557</v>
      </c>
      <c r="B834" s="161" t="s">
        <v>1511</v>
      </c>
      <c r="C834" s="161" t="s">
        <v>1263</v>
      </c>
      <c r="D834" s="161" t="s">
        <v>88</v>
      </c>
      <c r="E834" s="161">
        <v>0</v>
      </c>
      <c r="F834" s="161">
        <v>0</v>
      </c>
      <c r="G834"/>
      <c r="H834">
        <f t="shared" ref="H834:H842" si="13">SUMPRODUCT((C$2:C$1090 &lt; C834)+(C834="")*1000)</f>
        <v>450</v>
      </c>
    </row>
    <row r="835" spans="1:8" x14ac:dyDescent="0.25">
      <c r="A835" s="161" t="s">
        <v>1557</v>
      </c>
      <c r="B835" s="161" t="s">
        <v>1511</v>
      </c>
      <c r="C835" s="161" t="s">
        <v>1264</v>
      </c>
      <c r="D835" s="161" t="s">
        <v>91</v>
      </c>
      <c r="E835" s="161">
        <v>0</v>
      </c>
      <c r="F835" s="161">
        <v>0</v>
      </c>
      <c r="G835"/>
      <c r="H835">
        <f t="shared" si="13"/>
        <v>228</v>
      </c>
    </row>
    <row r="836" spans="1:8" x14ac:dyDescent="0.25">
      <c r="A836" s="161" t="s">
        <v>1557</v>
      </c>
      <c r="B836" s="161" t="s">
        <v>1511</v>
      </c>
      <c r="C836" s="161" t="s">
        <v>1266</v>
      </c>
      <c r="D836" s="161" t="s">
        <v>91</v>
      </c>
      <c r="E836" s="161">
        <v>0</v>
      </c>
      <c r="F836" s="161">
        <v>0</v>
      </c>
      <c r="G836"/>
      <c r="H836">
        <f t="shared" si="13"/>
        <v>1030</v>
      </c>
    </row>
    <row r="837" spans="1:8" x14ac:dyDescent="0.25">
      <c r="A837" s="161" t="s">
        <v>1557</v>
      </c>
      <c r="B837" s="161" t="s">
        <v>1511</v>
      </c>
      <c r="C837" s="161" t="s">
        <v>1267</v>
      </c>
      <c r="D837" s="161"/>
      <c r="E837" s="161">
        <v>0</v>
      </c>
      <c r="F837" s="161">
        <v>0</v>
      </c>
      <c r="G837"/>
      <c r="H837">
        <f t="shared" si="13"/>
        <v>630</v>
      </c>
    </row>
    <row r="838" spans="1:8" x14ac:dyDescent="0.25">
      <c r="A838" s="161" t="s">
        <v>1557</v>
      </c>
      <c r="B838" s="161" t="s">
        <v>1511</v>
      </c>
      <c r="C838" s="161" t="s">
        <v>1268</v>
      </c>
      <c r="D838" s="161" t="s">
        <v>91</v>
      </c>
      <c r="E838" s="161">
        <v>0</v>
      </c>
      <c r="F838" s="161">
        <v>0</v>
      </c>
      <c r="G838"/>
      <c r="H838">
        <f t="shared" si="13"/>
        <v>568</v>
      </c>
    </row>
    <row r="839" spans="1:8" x14ac:dyDescent="0.25">
      <c r="A839" s="161" t="s">
        <v>1557</v>
      </c>
      <c r="B839" s="161" t="s">
        <v>1511</v>
      </c>
      <c r="C839" s="161" t="s">
        <v>1318</v>
      </c>
      <c r="D839" s="161" t="s">
        <v>91</v>
      </c>
      <c r="E839" s="161">
        <v>0</v>
      </c>
      <c r="F839" s="161">
        <v>0</v>
      </c>
      <c r="G839"/>
      <c r="H839">
        <f t="shared" si="13"/>
        <v>248</v>
      </c>
    </row>
    <row r="840" spans="1:8" x14ac:dyDescent="0.25">
      <c r="A840" s="161" t="s">
        <v>1557</v>
      </c>
      <c r="B840" s="161" t="s">
        <v>1511</v>
      </c>
      <c r="C840" s="161" t="s">
        <v>1269</v>
      </c>
      <c r="D840" s="161" t="s">
        <v>88</v>
      </c>
      <c r="E840" s="161">
        <v>0</v>
      </c>
      <c r="F840" s="161">
        <v>0</v>
      </c>
      <c r="G840"/>
      <c r="H840">
        <f t="shared" si="13"/>
        <v>186</v>
      </c>
    </row>
    <row r="841" spans="1:8" x14ac:dyDescent="0.25">
      <c r="A841" s="161" t="s">
        <v>1557</v>
      </c>
      <c r="B841" s="161" t="s">
        <v>1511</v>
      </c>
      <c r="C841" s="161" t="s">
        <v>744</v>
      </c>
      <c r="D841" s="161" t="s">
        <v>144</v>
      </c>
      <c r="E841" s="161">
        <v>0</v>
      </c>
      <c r="F841" s="161">
        <v>0</v>
      </c>
      <c r="G841"/>
      <c r="H841">
        <f t="shared" si="13"/>
        <v>713</v>
      </c>
    </row>
    <row r="842" spans="1:8" x14ac:dyDescent="0.25">
      <c r="A842" s="161" t="s">
        <v>1557</v>
      </c>
      <c r="B842" s="161" t="s">
        <v>1511</v>
      </c>
      <c r="C842" s="161" t="s">
        <v>1270</v>
      </c>
      <c r="D842" s="161" t="s">
        <v>91</v>
      </c>
      <c r="E842" s="161">
        <v>0</v>
      </c>
      <c r="F842" s="161">
        <v>0</v>
      </c>
      <c r="G842"/>
      <c r="H842">
        <f t="shared" si="13"/>
        <v>921</v>
      </c>
    </row>
    <row r="843" spans="1:8" x14ac:dyDescent="0.25">
      <c r="A843" s="161" t="s">
        <v>1557</v>
      </c>
      <c r="B843" s="161" t="s">
        <v>1511</v>
      </c>
      <c r="C843" s="161" t="s">
        <v>1271</v>
      </c>
      <c r="D843" s="161" t="s">
        <v>91</v>
      </c>
      <c r="E843" s="161">
        <v>0</v>
      </c>
      <c r="F843" s="161">
        <v>0</v>
      </c>
      <c r="G843"/>
      <c r="H843">
        <f t="shared" ref="H843:H906" si="14">SUMPRODUCT((C$2:C$1090 &lt; C987)+(C987="")*1000)</f>
        <v>1089000</v>
      </c>
    </row>
    <row r="844" spans="1:8" x14ac:dyDescent="0.25">
      <c r="A844" s="161" t="s">
        <v>1557</v>
      </c>
      <c r="B844" s="161" t="s">
        <v>1511</v>
      </c>
      <c r="C844" s="161" t="s">
        <v>1272</v>
      </c>
      <c r="D844" s="161" t="s">
        <v>91</v>
      </c>
      <c r="E844" s="161">
        <v>0</v>
      </c>
      <c r="F844" s="161">
        <v>0</v>
      </c>
      <c r="G844"/>
      <c r="H844">
        <f t="shared" si="14"/>
        <v>1006</v>
      </c>
    </row>
    <row r="845" spans="1:8" x14ac:dyDescent="0.25">
      <c r="A845" s="161" t="s">
        <v>1557</v>
      </c>
      <c r="B845" s="161" t="s">
        <v>1511</v>
      </c>
      <c r="C845" s="161" t="s">
        <v>1273</v>
      </c>
      <c r="D845" s="161" t="s">
        <v>98</v>
      </c>
      <c r="E845" s="161">
        <v>0</v>
      </c>
      <c r="F845" s="161">
        <v>0</v>
      </c>
      <c r="G845"/>
      <c r="H845">
        <f t="shared" si="14"/>
        <v>563</v>
      </c>
    </row>
    <row r="846" spans="1:8" x14ac:dyDescent="0.25">
      <c r="A846" s="161" t="s">
        <v>1557</v>
      </c>
      <c r="B846" s="161" t="s">
        <v>1511</v>
      </c>
      <c r="C846" s="161" t="s">
        <v>1274</v>
      </c>
      <c r="D846" s="161" t="s">
        <v>112</v>
      </c>
      <c r="E846" s="161">
        <v>0</v>
      </c>
      <c r="F846" s="161">
        <v>0</v>
      </c>
      <c r="H846">
        <f t="shared" si="14"/>
        <v>429</v>
      </c>
    </row>
    <row r="847" spans="1:8" x14ac:dyDescent="0.25">
      <c r="A847" s="161" t="s">
        <v>1557</v>
      </c>
      <c r="B847" s="161" t="s">
        <v>1511</v>
      </c>
      <c r="C847" s="161" t="s">
        <v>1275</v>
      </c>
      <c r="D847" s="161" t="s">
        <v>98</v>
      </c>
      <c r="E847" s="161">
        <v>0</v>
      </c>
      <c r="F847" s="161">
        <v>0</v>
      </c>
      <c r="H847">
        <f t="shared" si="14"/>
        <v>886</v>
      </c>
    </row>
    <row r="848" spans="1:8" x14ac:dyDescent="0.25">
      <c r="A848" s="161" t="s">
        <v>1557</v>
      </c>
      <c r="B848" s="161" t="s">
        <v>1511</v>
      </c>
      <c r="C848" s="161" t="s">
        <v>1276</v>
      </c>
      <c r="D848" s="161" t="s">
        <v>98</v>
      </c>
      <c r="E848" s="161">
        <v>0</v>
      </c>
      <c r="F848" s="161">
        <v>0</v>
      </c>
      <c r="H848">
        <f t="shared" si="14"/>
        <v>645</v>
      </c>
    </row>
    <row r="849" spans="1:8" x14ac:dyDescent="0.25">
      <c r="A849" s="161" t="s">
        <v>1557</v>
      </c>
      <c r="B849" s="161" t="s">
        <v>1511</v>
      </c>
      <c r="C849" s="161" t="s">
        <v>1277</v>
      </c>
      <c r="D849" s="161" t="s">
        <v>98</v>
      </c>
      <c r="E849" s="161">
        <v>0</v>
      </c>
      <c r="F849" s="161">
        <v>0</v>
      </c>
      <c r="H849">
        <f t="shared" si="14"/>
        <v>1046</v>
      </c>
    </row>
    <row r="850" spans="1:8" x14ac:dyDescent="0.25">
      <c r="A850" s="161" t="s">
        <v>1557</v>
      </c>
      <c r="B850" s="161" t="s">
        <v>1511</v>
      </c>
      <c r="C850" s="161" t="s">
        <v>1278</v>
      </c>
      <c r="D850" s="161" t="s">
        <v>98</v>
      </c>
      <c r="E850" s="161">
        <v>0</v>
      </c>
      <c r="F850" s="161">
        <v>0</v>
      </c>
      <c r="H850">
        <f t="shared" si="14"/>
        <v>663</v>
      </c>
    </row>
    <row r="851" spans="1:8" x14ac:dyDescent="0.25">
      <c r="A851" s="161" t="s">
        <v>1557</v>
      </c>
      <c r="B851" s="161" t="s">
        <v>1511</v>
      </c>
      <c r="C851" s="161" t="s">
        <v>1279</v>
      </c>
      <c r="D851" s="161" t="s">
        <v>98</v>
      </c>
      <c r="E851" s="161">
        <v>0</v>
      </c>
      <c r="F851" s="161">
        <v>0</v>
      </c>
      <c r="H851">
        <f t="shared" si="14"/>
        <v>402</v>
      </c>
    </row>
    <row r="852" spans="1:8" x14ac:dyDescent="0.25">
      <c r="A852" s="161" t="s">
        <v>1557</v>
      </c>
      <c r="B852" s="161" t="s">
        <v>1511</v>
      </c>
      <c r="C852" s="161" t="s">
        <v>1280</v>
      </c>
      <c r="D852" s="161" t="s">
        <v>143</v>
      </c>
      <c r="E852" s="161">
        <v>0</v>
      </c>
      <c r="F852" s="161">
        <v>0</v>
      </c>
      <c r="H852">
        <f t="shared" si="14"/>
        <v>519</v>
      </c>
    </row>
    <row r="853" spans="1:8" x14ac:dyDescent="0.25">
      <c r="A853" s="161" t="s">
        <v>1557</v>
      </c>
      <c r="B853" s="161" t="s">
        <v>1511</v>
      </c>
      <c r="C853" s="161" t="s">
        <v>1281</v>
      </c>
      <c r="D853" s="161" t="s">
        <v>91</v>
      </c>
      <c r="E853" s="161">
        <v>0</v>
      </c>
      <c r="F853" s="161">
        <v>0</v>
      </c>
      <c r="H853">
        <f t="shared" si="14"/>
        <v>641</v>
      </c>
    </row>
    <row r="854" spans="1:8" x14ac:dyDescent="0.25">
      <c r="A854" s="161" t="s">
        <v>1557</v>
      </c>
      <c r="B854" s="161" t="s">
        <v>1511</v>
      </c>
      <c r="C854" s="161" t="s">
        <v>1282</v>
      </c>
      <c r="D854" s="161" t="s">
        <v>91</v>
      </c>
      <c r="E854" s="161">
        <v>0</v>
      </c>
      <c r="F854" s="161">
        <v>0</v>
      </c>
      <c r="H854">
        <f t="shared" si="14"/>
        <v>714</v>
      </c>
    </row>
    <row r="855" spans="1:8" x14ac:dyDescent="0.25">
      <c r="A855" s="161" t="s">
        <v>1557</v>
      </c>
      <c r="B855" s="161" t="s">
        <v>1511</v>
      </c>
      <c r="C855" s="161" t="s">
        <v>1283</v>
      </c>
      <c r="D855" s="161" t="s">
        <v>91</v>
      </c>
      <c r="E855" s="161">
        <v>0</v>
      </c>
      <c r="F855" s="161">
        <v>0</v>
      </c>
      <c r="H855">
        <f t="shared" si="14"/>
        <v>434</v>
      </c>
    </row>
    <row r="856" spans="1:8" x14ac:dyDescent="0.25">
      <c r="A856" s="161" t="s">
        <v>1557</v>
      </c>
      <c r="B856" s="161" t="s">
        <v>1511</v>
      </c>
      <c r="C856" s="161" t="s">
        <v>1284</v>
      </c>
      <c r="D856" s="161" t="s">
        <v>110</v>
      </c>
      <c r="E856" s="161">
        <v>0</v>
      </c>
      <c r="F856" s="161">
        <v>0</v>
      </c>
      <c r="H856">
        <f t="shared" si="14"/>
        <v>164</v>
      </c>
    </row>
    <row r="857" spans="1:8" x14ac:dyDescent="0.25">
      <c r="A857" s="161" t="s">
        <v>1557</v>
      </c>
      <c r="B857" s="161" t="s">
        <v>1511</v>
      </c>
      <c r="C857" s="161" t="s">
        <v>1285</v>
      </c>
      <c r="D857" s="161" t="s">
        <v>98</v>
      </c>
      <c r="E857" s="161">
        <v>0</v>
      </c>
      <c r="F857" s="161">
        <v>0</v>
      </c>
      <c r="H857">
        <f t="shared" si="14"/>
        <v>936</v>
      </c>
    </row>
    <row r="858" spans="1:8" x14ac:dyDescent="0.25">
      <c r="A858" s="161" t="s">
        <v>1557</v>
      </c>
      <c r="B858" s="161" t="s">
        <v>1511</v>
      </c>
      <c r="C858" s="161" t="s">
        <v>1286</v>
      </c>
      <c r="D858" s="161" t="s">
        <v>105</v>
      </c>
      <c r="E858" s="161">
        <v>0</v>
      </c>
      <c r="F858" s="161">
        <v>0</v>
      </c>
      <c r="H858">
        <f t="shared" si="14"/>
        <v>168</v>
      </c>
    </row>
    <row r="859" spans="1:8" x14ac:dyDescent="0.25">
      <c r="A859" s="161" t="s">
        <v>1557</v>
      </c>
      <c r="B859" s="161" t="s">
        <v>1511</v>
      </c>
      <c r="C859" s="161" t="s">
        <v>1288</v>
      </c>
      <c r="D859" s="161" t="s">
        <v>147</v>
      </c>
      <c r="E859" s="161">
        <v>0</v>
      </c>
      <c r="F859" s="161">
        <v>0</v>
      </c>
      <c r="H859">
        <f t="shared" si="14"/>
        <v>179</v>
      </c>
    </row>
    <row r="860" spans="1:8" x14ac:dyDescent="0.25">
      <c r="A860" s="161" t="s">
        <v>1557</v>
      </c>
      <c r="B860" s="161" t="s">
        <v>1511</v>
      </c>
      <c r="C860" s="161" t="s">
        <v>1289</v>
      </c>
      <c r="D860" s="161" t="s">
        <v>91</v>
      </c>
      <c r="E860" s="161">
        <v>0</v>
      </c>
      <c r="F860" s="161">
        <v>0</v>
      </c>
      <c r="H860">
        <f t="shared" si="14"/>
        <v>944</v>
      </c>
    </row>
    <row r="861" spans="1:8" x14ac:dyDescent="0.25">
      <c r="A861" s="161" t="s">
        <v>1557</v>
      </c>
      <c r="B861" s="161" t="s">
        <v>1511</v>
      </c>
      <c r="C861" s="161" t="s">
        <v>1290</v>
      </c>
      <c r="D861" s="161" t="s">
        <v>91</v>
      </c>
      <c r="E861" s="161">
        <v>0</v>
      </c>
      <c r="F861" s="161">
        <v>0</v>
      </c>
      <c r="H861">
        <f t="shared" si="14"/>
        <v>680</v>
      </c>
    </row>
    <row r="862" spans="1:8" x14ac:dyDescent="0.25">
      <c r="A862" s="161" t="s">
        <v>1557</v>
      </c>
      <c r="B862" s="161" t="s">
        <v>1511</v>
      </c>
      <c r="C862" s="161" t="s">
        <v>1291</v>
      </c>
      <c r="D862" s="161" t="s">
        <v>91</v>
      </c>
      <c r="E862" s="161">
        <v>0</v>
      </c>
      <c r="F862" s="161">
        <v>0</v>
      </c>
      <c r="H862">
        <f t="shared" si="14"/>
        <v>420</v>
      </c>
    </row>
    <row r="863" spans="1:8" x14ac:dyDescent="0.25">
      <c r="A863" s="161" t="s">
        <v>1557</v>
      </c>
      <c r="B863" s="161" t="s">
        <v>1511</v>
      </c>
      <c r="C863" s="161" t="s">
        <v>876</v>
      </c>
      <c r="D863" s="161" t="s">
        <v>91</v>
      </c>
      <c r="E863" s="161">
        <v>0</v>
      </c>
      <c r="F863" s="161">
        <v>0</v>
      </c>
      <c r="H863">
        <f t="shared" si="14"/>
        <v>742</v>
      </c>
    </row>
    <row r="864" spans="1:8" x14ac:dyDescent="0.25">
      <c r="A864" s="161" t="s">
        <v>1557</v>
      </c>
      <c r="B864" s="161" t="s">
        <v>1511</v>
      </c>
      <c r="C864" s="161" t="s">
        <v>1292</v>
      </c>
      <c r="D864" s="161" t="s">
        <v>98</v>
      </c>
      <c r="E864" s="161">
        <v>0</v>
      </c>
      <c r="F864" s="161">
        <v>0</v>
      </c>
      <c r="H864">
        <f t="shared" si="14"/>
        <v>800</v>
      </c>
    </row>
    <row r="865" spans="1:8" x14ac:dyDescent="0.25">
      <c r="A865" s="161" t="s">
        <v>1557</v>
      </c>
      <c r="B865" s="161" t="s">
        <v>1511</v>
      </c>
      <c r="C865" s="161" t="s">
        <v>1293</v>
      </c>
      <c r="D865" s="161" t="s">
        <v>91</v>
      </c>
      <c r="E865" s="161">
        <v>0</v>
      </c>
      <c r="F865" s="161">
        <v>0</v>
      </c>
      <c r="H865">
        <f t="shared" si="14"/>
        <v>239</v>
      </c>
    </row>
    <row r="866" spans="1:8" x14ac:dyDescent="0.25">
      <c r="A866" s="161" t="s">
        <v>1557</v>
      </c>
      <c r="B866" s="161" t="s">
        <v>1511</v>
      </c>
      <c r="C866" s="161" t="s">
        <v>1294</v>
      </c>
      <c r="D866" s="161" t="s">
        <v>91</v>
      </c>
      <c r="E866" s="161">
        <v>0</v>
      </c>
      <c r="F866" s="161">
        <v>0</v>
      </c>
      <c r="H866">
        <f t="shared" si="14"/>
        <v>329</v>
      </c>
    </row>
    <row r="867" spans="1:8" x14ac:dyDescent="0.25">
      <c r="A867" s="161" t="s">
        <v>1557</v>
      </c>
      <c r="B867" s="161" t="s">
        <v>1511</v>
      </c>
      <c r="C867" s="161" t="s">
        <v>1295</v>
      </c>
      <c r="D867" s="161" t="s">
        <v>146</v>
      </c>
      <c r="E867" s="161">
        <v>0</v>
      </c>
      <c r="F867" s="161">
        <v>0</v>
      </c>
      <c r="H867">
        <f t="shared" si="14"/>
        <v>694</v>
      </c>
    </row>
    <row r="868" spans="1:8" x14ac:dyDescent="0.25">
      <c r="A868" s="161" t="s">
        <v>1557</v>
      </c>
      <c r="B868" s="161" t="s">
        <v>1511</v>
      </c>
      <c r="C868" s="161" t="s">
        <v>687</v>
      </c>
      <c r="D868" s="161" t="s">
        <v>146</v>
      </c>
      <c r="E868" s="161">
        <v>0</v>
      </c>
      <c r="F868" s="161">
        <v>0</v>
      </c>
      <c r="H868">
        <f t="shared" si="14"/>
        <v>392</v>
      </c>
    </row>
    <row r="869" spans="1:8" x14ac:dyDescent="0.25">
      <c r="A869" s="161" t="s">
        <v>1557</v>
      </c>
      <c r="B869" s="161" t="s">
        <v>1511</v>
      </c>
      <c r="C869" s="161" t="s">
        <v>793</v>
      </c>
      <c r="D869" s="161" t="s">
        <v>146</v>
      </c>
      <c r="E869" s="161">
        <v>0</v>
      </c>
      <c r="F869" s="161">
        <v>0</v>
      </c>
      <c r="H869">
        <f t="shared" si="14"/>
        <v>475</v>
      </c>
    </row>
    <row r="870" spans="1:8" x14ac:dyDescent="0.25">
      <c r="A870" s="161" t="s">
        <v>1557</v>
      </c>
      <c r="B870" s="161" t="s">
        <v>1511</v>
      </c>
      <c r="C870" s="161" t="s">
        <v>1296</v>
      </c>
      <c r="D870" s="161" t="s">
        <v>141</v>
      </c>
      <c r="E870" s="161">
        <v>0</v>
      </c>
      <c r="F870" s="161">
        <v>0</v>
      </c>
      <c r="H870">
        <f t="shared" si="14"/>
        <v>252</v>
      </c>
    </row>
    <row r="871" spans="1:8" x14ac:dyDescent="0.25">
      <c r="A871" s="161" t="s">
        <v>1557</v>
      </c>
      <c r="B871" s="161" t="s">
        <v>1511</v>
      </c>
      <c r="C871" s="161" t="s">
        <v>724</v>
      </c>
      <c r="D871" s="161" t="s">
        <v>146</v>
      </c>
      <c r="E871" s="161">
        <v>0</v>
      </c>
      <c r="F871" s="161">
        <v>0</v>
      </c>
      <c r="H871">
        <f t="shared" si="14"/>
        <v>1076</v>
      </c>
    </row>
    <row r="872" spans="1:8" x14ac:dyDescent="0.25">
      <c r="A872" s="161" t="s">
        <v>1557</v>
      </c>
      <c r="B872" s="161" t="s">
        <v>1511</v>
      </c>
      <c r="C872" s="161" t="s">
        <v>1297</v>
      </c>
      <c r="D872" s="161" t="s">
        <v>91</v>
      </c>
      <c r="E872" s="161">
        <v>0</v>
      </c>
      <c r="F872" s="161">
        <v>0</v>
      </c>
      <c r="H872">
        <f t="shared" si="14"/>
        <v>490</v>
      </c>
    </row>
    <row r="873" spans="1:8" x14ac:dyDescent="0.25">
      <c r="A873" s="161" t="s">
        <v>1557</v>
      </c>
      <c r="B873" s="161" t="s">
        <v>1511</v>
      </c>
      <c r="C873" s="161" t="s">
        <v>1298</v>
      </c>
      <c r="D873" s="161" t="s">
        <v>98</v>
      </c>
      <c r="E873" s="161">
        <v>0</v>
      </c>
      <c r="F873" s="161">
        <v>0</v>
      </c>
      <c r="H873">
        <f t="shared" si="14"/>
        <v>818</v>
      </c>
    </row>
    <row r="874" spans="1:8" x14ac:dyDescent="0.25">
      <c r="A874" s="161" t="s">
        <v>1557</v>
      </c>
      <c r="B874" s="161" t="s">
        <v>1511</v>
      </c>
      <c r="C874" s="161" t="s">
        <v>1299</v>
      </c>
      <c r="D874" s="161" t="s">
        <v>88</v>
      </c>
      <c r="E874" s="161">
        <v>0</v>
      </c>
      <c r="F874" s="161">
        <v>0</v>
      </c>
      <c r="H874">
        <f t="shared" si="14"/>
        <v>573</v>
      </c>
    </row>
    <row r="875" spans="1:8" x14ac:dyDescent="0.25">
      <c r="A875" s="161" t="s">
        <v>1557</v>
      </c>
      <c r="B875" s="161" t="s">
        <v>1511</v>
      </c>
      <c r="C875" s="161" t="s">
        <v>1300</v>
      </c>
      <c r="D875" s="161" t="s">
        <v>96</v>
      </c>
      <c r="E875" s="161">
        <v>0</v>
      </c>
      <c r="F875" s="161">
        <v>0</v>
      </c>
      <c r="H875">
        <f t="shared" si="14"/>
        <v>176</v>
      </c>
    </row>
    <row r="876" spans="1:8" x14ac:dyDescent="0.25">
      <c r="A876" s="161" t="s">
        <v>1557</v>
      </c>
      <c r="B876" s="161" t="s">
        <v>1511</v>
      </c>
      <c r="C876" s="161" t="s">
        <v>860</v>
      </c>
      <c r="D876" s="161" t="s">
        <v>88</v>
      </c>
      <c r="E876" s="161">
        <v>0</v>
      </c>
      <c r="F876" s="161">
        <v>0</v>
      </c>
      <c r="H876">
        <f t="shared" si="14"/>
        <v>636</v>
      </c>
    </row>
    <row r="877" spans="1:8" x14ac:dyDescent="0.25">
      <c r="A877" s="161" t="s">
        <v>1557</v>
      </c>
      <c r="B877" s="161" t="s">
        <v>1511</v>
      </c>
      <c r="C877" s="161" t="s">
        <v>1301</v>
      </c>
      <c r="D877" s="161" t="s">
        <v>98</v>
      </c>
      <c r="E877" s="161">
        <v>0</v>
      </c>
      <c r="F877" s="161">
        <v>0</v>
      </c>
      <c r="H877">
        <f t="shared" si="14"/>
        <v>1089000</v>
      </c>
    </row>
    <row r="878" spans="1:8" x14ac:dyDescent="0.25">
      <c r="A878" s="161" t="s">
        <v>1557</v>
      </c>
      <c r="B878" s="161" t="s">
        <v>1511</v>
      </c>
      <c r="C878" s="161" t="s">
        <v>1302</v>
      </c>
      <c r="D878" s="161" t="s">
        <v>98</v>
      </c>
      <c r="E878" s="161">
        <v>0</v>
      </c>
      <c r="F878" s="161">
        <v>0</v>
      </c>
      <c r="H878">
        <f t="shared" si="14"/>
        <v>1089000</v>
      </c>
    </row>
    <row r="879" spans="1:8" x14ac:dyDescent="0.25">
      <c r="A879" s="161" t="s">
        <v>1557</v>
      </c>
      <c r="B879" s="161" t="s">
        <v>1511</v>
      </c>
      <c r="C879" s="161" t="s">
        <v>1303</v>
      </c>
      <c r="D879" s="161" t="s">
        <v>98</v>
      </c>
      <c r="E879" s="161">
        <v>0</v>
      </c>
      <c r="F879" s="161">
        <v>0</v>
      </c>
      <c r="H879">
        <f t="shared" si="14"/>
        <v>1089000</v>
      </c>
    </row>
    <row r="880" spans="1:8" x14ac:dyDescent="0.25">
      <c r="A880" s="161" t="s">
        <v>1557</v>
      </c>
      <c r="B880" s="161" t="s">
        <v>1511</v>
      </c>
      <c r="C880" s="161" t="s">
        <v>1304</v>
      </c>
      <c r="D880" s="161" t="s">
        <v>98</v>
      </c>
      <c r="E880" s="161">
        <v>0</v>
      </c>
      <c r="F880" s="161">
        <v>0</v>
      </c>
      <c r="H880">
        <f t="shared" si="14"/>
        <v>1089000</v>
      </c>
    </row>
    <row r="881" spans="1:8" x14ac:dyDescent="0.25">
      <c r="A881" s="161" t="s">
        <v>1557</v>
      </c>
      <c r="B881" s="161" t="s">
        <v>1511</v>
      </c>
      <c r="C881" s="161" t="s">
        <v>1305</v>
      </c>
      <c r="D881" s="161" t="s">
        <v>88</v>
      </c>
      <c r="E881" s="161">
        <v>0</v>
      </c>
      <c r="F881" s="161">
        <v>0</v>
      </c>
      <c r="H881">
        <f t="shared" si="14"/>
        <v>1089000</v>
      </c>
    </row>
    <row r="882" spans="1:8" x14ac:dyDescent="0.25">
      <c r="A882" s="161" t="s">
        <v>1557</v>
      </c>
      <c r="B882" s="161" t="s">
        <v>1511</v>
      </c>
      <c r="C882" s="161" t="s">
        <v>1306</v>
      </c>
      <c r="D882" s="161" t="s">
        <v>91</v>
      </c>
      <c r="E882" s="161">
        <v>0</v>
      </c>
      <c r="F882" s="161">
        <v>0</v>
      </c>
      <c r="H882">
        <f t="shared" si="14"/>
        <v>1089000</v>
      </c>
    </row>
    <row r="883" spans="1:8" x14ac:dyDescent="0.25">
      <c r="A883" s="161" t="s">
        <v>1558</v>
      </c>
      <c r="B883" s="161" t="s">
        <v>1559</v>
      </c>
      <c r="C883" s="161" t="s">
        <v>1307</v>
      </c>
      <c r="D883" s="161" t="s">
        <v>91</v>
      </c>
      <c r="E883" s="161">
        <v>0</v>
      </c>
      <c r="F883" s="161">
        <v>1</v>
      </c>
      <c r="H883">
        <f t="shared" si="14"/>
        <v>1089000</v>
      </c>
    </row>
    <row r="884" spans="1:8" x14ac:dyDescent="0.25">
      <c r="A884" s="161" t="s">
        <v>1558</v>
      </c>
      <c r="B884" s="161" t="s">
        <v>1559</v>
      </c>
      <c r="C884" s="161" t="s">
        <v>1383</v>
      </c>
      <c r="D884" s="161" t="s">
        <v>105</v>
      </c>
      <c r="E884" s="161">
        <v>0</v>
      </c>
      <c r="F884" s="161">
        <v>1</v>
      </c>
      <c r="H884">
        <f t="shared" si="14"/>
        <v>1089000</v>
      </c>
    </row>
    <row r="885" spans="1:8" x14ac:dyDescent="0.25">
      <c r="A885" s="161" t="s">
        <v>1558</v>
      </c>
      <c r="B885" s="161" t="s">
        <v>1559</v>
      </c>
      <c r="C885" s="161" t="s">
        <v>1308</v>
      </c>
      <c r="D885" s="161" t="s">
        <v>91</v>
      </c>
      <c r="E885" s="161">
        <v>0</v>
      </c>
      <c r="F885" s="161">
        <v>1</v>
      </c>
      <c r="H885">
        <f t="shared" si="14"/>
        <v>1089000</v>
      </c>
    </row>
    <row r="886" spans="1:8" x14ac:dyDescent="0.25">
      <c r="A886" s="161" t="s">
        <v>1558</v>
      </c>
      <c r="B886" s="161" t="s">
        <v>1559</v>
      </c>
      <c r="C886" s="161" t="s">
        <v>1310</v>
      </c>
      <c r="D886" s="161" t="s">
        <v>91</v>
      </c>
      <c r="E886" s="161">
        <v>0</v>
      </c>
      <c r="F886" s="161">
        <v>1</v>
      </c>
      <c r="H886">
        <f t="shared" si="14"/>
        <v>1089000</v>
      </c>
    </row>
    <row r="887" spans="1:8" x14ac:dyDescent="0.25">
      <c r="A887" s="161" t="s">
        <v>1558</v>
      </c>
      <c r="B887" s="161" t="s">
        <v>1559</v>
      </c>
      <c r="C887" s="161" t="s">
        <v>1311</v>
      </c>
      <c r="D887" s="161" t="s">
        <v>91</v>
      </c>
      <c r="E887" s="161">
        <v>0</v>
      </c>
      <c r="F887" s="161">
        <v>1</v>
      </c>
      <c r="H887">
        <f t="shared" si="14"/>
        <v>1089000</v>
      </c>
    </row>
    <row r="888" spans="1:8" x14ac:dyDescent="0.25">
      <c r="A888" s="161" t="s">
        <v>1558</v>
      </c>
      <c r="B888" s="161" t="s">
        <v>1559</v>
      </c>
      <c r="C888" s="161" t="s">
        <v>1560</v>
      </c>
      <c r="D888" s="161" t="s">
        <v>91</v>
      </c>
      <c r="E888" s="161">
        <v>0</v>
      </c>
      <c r="F888" s="161">
        <v>1</v>
      </c>
      <c r="H888">
        <f t="shared" si="14"/>
        <v>1089000</v>
      </c>
    </row>
    <row r="889" spans="1:8" x14ac:dyDescent="0.25">
      <c r="A889" s="161" t="s">
        <v>1558</v>
      </c>
      <c r="B889" s="161" t="s">
        <v>1559</v>
      </c>
      <c r="C889" s="161" t="s">
        <v>1384</v>
      </c>
      <c r="D889" s="161" t="s">
        <v>105</v>
      </c>
      <c r="E889" s="161">
        <v>0</v>
      </c>
      <c r="F889" s="161">
        <v>1</v>
      </c>
      <c r="H889">
        <f t="shared" si="14"/>
        <v>1089000</v>
      </c>
    </row>
    <row r="890" spans="1:8" x14ac:dyDescent="0.25">
      <c r="A890" s="161" t="s">
        <v>1558</v>
      </c>
      <c r="B890" s="161" t="s">
        <v>1559</v>
      </c>
      <c r="C890" s="161" t="s">
        <v>1313</v>
      </c>
      <c r="D890" s="161" t="s">
        <v>146</v>
      </c>
      <c r="E890" s="161">
        <v>0</v>
      </c>
      <c r="F890" s="161">
        <v>1</v>
      </c>
      <c r="H890">
        <f t="shared" si="14"/>
        <v>1089000</v>
      </c>
    </row>
    <row r="891" spans="1:8" x14ac:dyDescent="0.25">
      <c r="A891" s="161" t="s">
        <v>1558</v>
      </c>
      <c r="B891" s="161" t="s">
        <v>1559</v>
      </c>
      <c r="C891" s="161" t="s">
        <v>1314</v>
      </c>
      <c r="D891" s="161" t="s">
        <v>146</v>
      </c>
      <c r="E891" s="161">
        <v>0</v>
      </c>
      <c r="F891" s="161">
        <v>1</v>
      </c>
      <c r="H891">
        <f t="shared" si="14"/>
        <v>1089000</v>
      </c>
    </row>
    <row r="892" spans="1:8" x14ac:dyDescent="0.25">
      <c r="A892" s="161" t="s">
        <v>1558</v>
      </c>
      <c r="B892" s="161" t="s">
        <v>1559</v>
      </c>
      <c r="C892" s="161" t="s">
        <v>751</v>
      </c>
      <c r="D892" s="161" t="s">
        <v>105</v>
      </c>
      <c r="E892" s="161">
        <v>0</v>
      </c>
      <c r="F892" s="161">
        <v>1</v>
      </c>
      <c r="H892">
        <f t="shared" si="14"/>
        <v>1089000</v>
      </c>
    </row>
    <row r="893" spans="1:8" x14ac:dyDescent="0.25">
      <c r="A893" s="161" t="s">
        <v>1558</v>
      </c>
      <c r="B893" s="161" t="s">
        <v>1559</v>
      </c>
      <c r="C893" s="161" t="s">
        <v>752</v>
      </c>
      <c r="D893" s="161" t="s">
        <v>105</v>
      </c>
      <c r="E893" s="161">
        <v>0</v>
      </c>
      <c r="F893" s="161">
        <v>1</v>
      </c>
      <c r="H893">
        <f t="shared" si="14"/>
        <v>1089000</v>
      </c>
    </row>
    <row r="894" spans="1:8" x14ac:dyDescent="0.25">
      <c r="A894" s="161" t="s">
        <v>1558</v>
      </c>
      <c r="B894" s="161" t="s">
        <v>1559</v>
      </c>
      <c r="C894" s="161" t="s">
        <v>1317</v>
      </c>
      <c r="D894" s="161" t="s">
        <v>144</v>
      </c>
      <c r="E894" s="161">
        <v>0</v>
      </c>
      <c r="F894" s="161">
        <v>1</v>
      </c>
      <c r="H894">
        <f t="shared" si="14"/>
        <v>1089000</v>
      </c>
    </row>
    <row r="895" spans="1:8" x14ac:dyDescent="0.25">
      <c r="A895" s="161">
        <v>860</v>
      </c>
      <c r="B895" s="161" t="s">
        <v>1530</v>
      </c>
      <c r="C895" s="161" t="s">
        <v>1319</v>
      </c>
      <c r="D895" s="161" t="s">
        <v>150</v>
      </c>
      <c r="E895" s="161">
        <v>0</v>
      </c>
      <c r="F895" s="161">
        <v>2</v>
      </c>
      <c r="H895">
        <f t="shared" si="14"/>
        <v>1089000</v>
      </c>
    </row>
    <row r="896" spans="1:8" x14ac:dyDescent="0.25">
      <c r="A896" s="161"/>
      <c r="B896" s="161"/>
      <c r="C896" s="161"/>
      <c r="D896" s="161"/>
      <c r="E896" s="161"/>
      <c r="F896" s="161"/>
      <c r="H896">
        <f t="shared" si="14"/>
        <v>1089000</v>
      </c>
    </row>
    <row r="897" spans="1:8" x14ac:dyDescent="0.25">
      <c r="A897" s="161" t="s">
        <v>1561</v>
      </c>
      <c r="B897" s="161"/>
      <c r="C897" s="161"/>
      <c r="D897" s="161"/>
      <c r="E897" s="161"/>
      <c r="F897" s="161"/>
      <c r="H897">
        <f t="shared" si="14"/>
        <v>1089000</v>
      </c>
    </row>
    <row r="898" spans="1:8" x14ac:dyDescent="0.25">
      <c r="A898" s="161"/>
      <c r="B898" s="161"/>
      <c r="C898" s="161"/>
      <c r="D898" s="161"/>
      <c r="E898" s="161"/>
      <c r="F898" s="161"/>
      <c r="H898">
        <f t="shared" si="14"/>
        <v>1089000</v>
      </c>
    </row>
    <row r="899" spans="1:8" x14ac:dyDescent="0.25">
      <c r="A899" s="161" t="s">
        <v>1562</v>
      </c>
      <c r="B899" s="161"/>
      <c r="C899" s="161"/>
      <c r="D899" s="161"/>
      <c r="E899" s="161"/>
      <c r="F899" s="161"/>
      <c r="H899">
        <f t="shared" si="14"/>
        <v>1089000</v>
      </c>
    </row>
    <row r="900" spans="1:8" x14ac:dyDescent="0.25">
      <c r="A900" s="161" t="s">
        <v>1563</v>
      </c>
      <c r="B900" s="161"/>
      <c r="C900" s="161"/>
      <c r="D900" s="161"/>
      <c r="E900" s="161"/>
      <c r="F900" s="161"/>
      <c r="H900">
        <f t="shared" si="14"/>
        <v>1089000</v>
      </c>
    </row>
    <row r="901" spans="1:8" x14ac:dyDescent="0.25">
      <c r="A901" s="161" t="s">
        <v>1564</v>
      </c>
      <c r="B901" s="161"/>
      <c r="C901" s="161"/>
      <c r="D901" s="161"/>
      <c r="E901" s="161"/>
      <c r="F901" s="161"/>
      <c r="H901">
        <f t="shared" si="14"/>
        <v>1089000</v>
      </c>
    </row>
    <row r="902" spans="1:8" x14ac:dyDescent="0.25">
      <c r="A902" s="161"/>
      <c r="B902" s="161"/>
      <c r="C902" s="161"/>
      <c r="D902" s="161"/>
      <c r="E902" s="161"/>
      <c r="F902" s="161"/>
      <c r="H902">
        <f t="shared" si="14"/>
        <v>1089000</v>
      </c>
    </row>
    <row r="903" spans="1:8" x14ac:dyDescent="0.25">
      <c r="A903" s="161" t="s">
        <v>1565</v>
      </c>
      <c r="B903" s="161"/>
      <c r="C903" s="161"/>
      <c r="D903" s="161"/>
      <c r="E903" s="161"/>
      <c r="F903" s="161"/>
      <c r="H903">
        <f t="shared" si="14"/>
        <v>1089000</v>
      </c>
    </row>
    <row r="904" spans="1:8" x14ac:dyDescent="0.25">
      <c r="A904" s="161"/>
      <c r="B904" s="161"/>
      <c r="C904" s="161"/>
      <c r="D904" s="161"/>
      <c r="E904" s="161"/>
      <c r="F904" s="161"/>
      <c r="H904">
        <f t="shared" si="14"/>
        <v>1089000</v>
      </c>
    </row>
    <row r="905" spans="1:8" x14ac:dyDescent="0.25">
      <c r="A905" s="161" t="s">
        <v>1562</v>
      </c>
      <c r="B905" s="161"/>
      <c r="C905" s="161"/>
      <c r="D905" s="161"/>
      <c r="E905" s="161"/>
      <c r="F905" s="161"/>
      <c r="H905">
        <f t="shared" si="14"/>
        <v>1089000</v>
      </c>
    </row>
    <row r="906" spans="1:8" x14ac:dyDescent="0.25">
      <c r="A906" s="161" t="s">
        <v>1563</v>
      </c>
      <c r="B906" s="161"/>
      <c r="C906" s="161"/>
      <c r="D906" s="161"/>
      <c r="E906" s="161"/>
      <c r="F906" s="161"/>
      <c r="H906">
        <f t="shared" si="14"/>
        <v>1089000</v>
      </c>
    </row>
    <row r="907" spans="1:8" x14ac:dyDescent="0.25">
      <c r="A907" s="161" t="s">
        <v>1564</v>
      </c>
      <c r="B907" s="161"/>
      <c r="C907" s="161"/>
      <c r="D907" s="161"/>
      <c r="E907" s="161"/>
      <c r="F907" s="161"/>
      <c r="H907">
        <f t="shared" ref="H907:H970" si="15">SUMPRODUCT((C$2:C$1090 &lt; C1051)+(C1051="")*1000)</f>
        <v>1089000</v>
      </c>
    </row>
    <row r="908" spans="1:8" x14ac:dyDescent="0.25">
      <c r="A908" s="161" t="s">
        <v>1566</v>
      </c>
      <c r="B908" s="161"/>
      <c r="C908" s="161"/>
      <c r="D908" s="161"/>
      <c r="E908" s="161"/>
      <c r="F908" s="161"/>
      <c r="H908">
        <f t="shared" si="15"/>
        <v>1089000</v>
      </c>
    </row>
    <row r="909" spans="1:8" x14ac:dyDescent="0.25">
      <c r="A909" s="161" t="s">
        <v>1567</v>
      </c>
      <c r="B909" s="161"/>
      <c r="C909" s="161"/>
      <c r="D909" s="161"/>
      <c r="E909" s="161"/>
      <c r="F909" s="161"/>
      <c r="H909">
        <f t="shared" si="15"/>
        <v>1089000</v>
      </c>
    </row>
    <row r="910" spans="1:8" x14ac:dyDescent="0.25">
      <c r="A910" s="161" t="s">
        <v>1568</v>
      </c>
      <c r="B910" s="161"/>
      <c r="C910" s="161"/>
      <c r="D910" s="161"/>
      <c r="E910" s="161"/>
      <c r="F910" s="161"/>
      <c r="H910">
        <f t="shared" si="15"/>
        <v>1089000</v>
      </c>
    </row>
    <row r="911" spans="1:8" x14ac:dyDescent="0.25">
      <c r="A911" s="161" t="s">
        <v>1569</v>
      </c>
      <c r="B911" s="161"/>
      <c r="C911" s="161"/>
      <c r="D911" s="161"/>
      <c r="E911" s="161"/>
      <c r="F911" s="161"/>
      <c r="H911">
        <f t="shared" si="15"/>
        <v>1089000</v>
      </c>
    </row>
    <row r="912" spans="1:8" x14ac:dyDescent="0.25">
      <c r="A912" s="161" t="s">
        <v>1570</v>
      </c>
      <c r="B912" s="161"/>
      <c r="C912" s="161"/>
      <c r="D912" s="161"/>
      <c r="E912" s="161"/>
      <c r="F912" s="161"/>
      <c r="H912">
        <f t="shared" si="15"/>
        <v>1089000</v>
      </c>
    </row>
    <row r="913" spans="1:8" x14ac:dyDescent="0.25">
      <c r="A913" s="161" t="s">
        <v>1571</v>
      </c>
      <c r="B913" s="161"/>
      <c r="C913" s="161"/>
      <c r="D913" s="161"/>
      <c r="E913" s="161"/>
      <c r="F913" s="161"/>
      <c r="H913">
        <f t="shared" si="15"/>
        <v>1089000</v>
      </c>
    </row>
    <row r="914" spans="1:8" x14ac:dyDescent="0.25">
      <c r="A914" s="161" t="s">
        <v>1387</v>
      </c>
      <c r="B914" s="161"/>
      <c r="C914" s="161"/>
      <c r="D914" s="161"/>
      <c r="E914" s="161"/>
      <c r="F914" s="161"/>
      <c r="H914">
        <f t="shared" si="15"/>
        <v>1089000</v>
      </c>
    </row>
    <row r="915" spans="1:8" x14ac:dyDescent="0.25">
      <c r="A915" s="161" t="s">
        <v>1388</v>
      </c>
      <c r="B915" s="161"/>
      <c r="C915" s="161"/>
      <c r="D915" s="161"/>
      <c r="E915" s="161"/>
      <c r="F915" s="161"/>
      <c r="H915">
        <f t="shared" si="15"/>
        <v>1089000</v>
      </c>
    </row>
    <row r="916" spans="1:8" x14ac:dyDescent="0.25">
      <c r="A916" s="161" t="s">
        <v>1392</v>
      </c>
      <c r="B916" s="161"/>
      <c r="C916" s="161"/>
      <c r="D916" s="161"/>
      <c r="E916" s="161"/>
      <c r="F916" s="161"/>
      <c r="H916">
        <f t="shared" si="15"/>
        <v>1089000</v>
      </c>
    </row>
    <row r="917" spans="1:8" x14ac:dyDescent="0.25">
      <c r="A917" s="161" t="s">
        <v>1390</v>
      </c>
      <c r="B917" s="161"/>
      <c r="C917" s="161"/>
      <c r="D917" s="161"/>
      <c r="E917" s="161"/>
      <c r="F917" s="161"/>
      <c r="H917">
        <f t="shared" si="15"/>
        <v>1089000</v>
      </c>
    </row>
    <row r="918" spans="1:8" x14ac:dyDescent="0.25">
      <c r="A918" s="161" t="s">
        <v>1393</v>
      </c>
      <c r="B918" s="161"/>
      <c r="C918" s="161"/>
      <c r="D918" s="161"/>
      <c r="E918" s="161"/>
      <c r="F918" s="161"/>
      <c r="H918">
        <f t="shared" si="15"/>
        <v>1089000</v>
      </c>
    </row>
    <row r="919" spans="1:8" x14ac:dyDescent="0.25">
      <c r="A919" s="161" t="s">
        <v>1394</v>
      </c>
      <c r="B919" s="161"/>
      <c r="C919" s="161"/>
      <c r="D919" s="161"/>
      <c r="E919" s="161"/>
      <c r="F919" s="161"/>
      <c r="H919">
        <f t="shared" si="15"/>
        <v>1089000</v>
      </c>
    </row>
    <row r="920" spans="1:8" x14ac:dyDescent="0.25">
      <c r="A920" s="161" t="s">
        <v>1395</v>
      </c>
      <c r="B920" s="161"/>
      <c r="C920" s="161"/>
      <c r="D920" s="161"/>
      <c r="E920" s="161"/>
      <c r="F920" s="161"/>
      <c r="H920">
        <f t="shared" si="15"/>
        <v>1089000</v>
      </c>
    </row>
    <row r="921" spans="1:8" x14ac:dyDescent="0.25">
      <c r="A921" s="161" t="s">
        <v>1396</v>
      </c>
      <c r="B921" s="161"/>
      <c r="C921" s="161"/>
      <c r="D921" s="161"/>
      <c r="E921" s="161"/>
      <c r="F921" s="161"/>
      <c r="H921">
        <f t="shared" si="15"/>
        <v>1089000</v>
      </c>
    </row>
    <row r="922" spans="1:8" x14ac:dyDescent="0.25">
      <c r="A922" s="161" t="s">
        <v>1397</v>
      </c>
      <c r="B922" s="161"/>
      <c r="C922" s="161"/>
      <c r="D922" s="161"/>
      <c r="E922" s="161"/>
      <c r="F922" s="161"/>
      <c r="H922">
        <f t="shared" si="15"/>
        <v>1089000</v>
      </c>
    </row>
    <row r="923" spans="1:8" x14ac:dyDescent="0.25">
      <c r="A923" s="161" t="s">
        <v>1398</v>
      </c>
      <c r="B923" s="161"/>
      <c r="C923" s="161"/>
      <c r="D923" s="161"/>
      <c r="E923" s="161"/>
      <c r="F923" s="161"/>
      <c r="H923">
        <f t="shared" si="15"/>
        <v>1089000</v>
      </c>
    </row>
    <row r="924" spans="1:8" x14ac:dyDescent="0.25">
      <c r="A924" s="161" t="s">
        <v>1399</v>
      </c>
      <c r="B924" s="161"/>
      <c r="C924" s="161"/>
      <c r="D924" s="161"/>
      <c r="E924" s="161"/>
      <c r="F924" s="161"/>
      <c r="H924">
        <f t="shared" si="15"/>
        <v>1089000</v>
      </c>
    </row>
    <row r="925" spans="1:8" x14ac:dyDescent="0.25">
      <c r="A925" s="161" t="s">
        <v>1400</v>
      </c>
      <c r="B925" s="161"/>
      <c r="C925" s="161"/>
      <c r="D925" s="161"/>
      <c r="E925" s="161"/>
      <c r="F925" s="161"/>
      <c r="H925">
        <f t="shared" si="15"/>
        <v>1089000</v>
      </c>
    </row>
    <row r="926" spans="1:8" x14ac:dyDescent="0.25">
      <c r="A926" s="161" t="s">
        <v>1401</v>
      </c>
      <c r="B926" s="161"/>
      <c r="C926" s="161"/>
      <c r="D926" s="161"/>
      <c r="E926" s="161"/>
      <c r="F926" s="161"/>
      <c r="H926">
        <f t="shared" si="15"/>
        <v>1089000</v>
      </c>
    </row>
    <row r="927" spans="1:8" x14ac:dyDescent="0.25">
      <c r="A927" s="161" t="s">
        <v>1402</v>
      </c>
      <c r="B927" s="161"/>
      <c r="C927" s="161"/>
      <c r="D927" s="161"/>
      <c r="E927" s="161"/>
      <c r="F927" s="161"/>
      <c r="H927">
        <f t="shared" si="15"/>
        <v>1089000</v>
      </c>
    </row>
    <row r="928" spans="1:8" x14ac:dyDescent="0.25">
      <c r="A928" s="161" t="s">
        <v>1403</v>
      </c>
      <c r="B928" s="161"/>
      <c r="C928" s="161"/>
      <c r="D928" s="161"/>
      <c r="E928" s="161"/>
      <c r="F928" s="161"/>
      <c r="H928">
        <f t="shared" si="15"/>
        <v>1089000</v>
      </c>
    </row>
    <row r="929" spans="1:8" x14ac:dyDescent="0.25">
      <c r="A929" s="161" t="s">
        <v>1404</v>
      </c>
      <c r="B929" s="161"/>
      <c r="C929" s="161"/>
      <c r="D929" s="161"/>
      <c r="E929" s="161"/>
      <c r="F929" s="161"/>
      <c r="H929">
        <f t="shared" si="15"/>
        <v>1089000</v>
      </c>
    </row>
    <row r="930" spans="1:8" x14ac:dyDescent="0.25">
      <c r="A930" s="161" t="s">
        <v>1405</v>
      </c>
      <c r="B930" s="161"/>
      <c r="C930" s="161"/>
      <c r="D930" s="161"/>
      <c r="E930" s="161"/>
      <c r="F930" s="161"/>
      <c r="H930">
        <f t="shared" si="15"/>
        <v>1089000</v>
      </c>
    </row>
    <row r="931" spans="1:8" x14ac:dyDescent="0.25">
      <c r="A931" s="161" t="s">
        <v>1406</v>
      </c>
      <c r="B931" s="161"/>
      <c r="C931" s="161"/>
      <c r="D931" s="161"/>
      <c r="E931" s="161"/>
      <c r="F931" s="161"/>
      <c r="H931">
        <f t="shared" si="15"/>
        <v>1089000</v>
      </c>
    </row>
    <row r="932" spans="1:8" x14ac:dyDescent="0.25">
      <c r="A932" s="161" t="s">
        <v>1407</v>
      </c>
      <c r="B932" s="161"/>
      <c r="C932" s="161"/>
      <c r="D932" s="161"/>
      <c r="E932" s="161"/>
      <c r="F932" s="161"/>
      <c r="H932">
        <f t="shared" si="15"/>
        <v>1089000</v>
      </c>
    </row>
    <row r="933" spans="1:8" x14ac:dyDescent="0.25">
      <c r="A933" s="161" t="s">
        <v>1408</v>
      </c>
      <c r="B933" s="161"/>
      <c r="C933" s="161"/>
      <c r="D933" s="161"/>
      <c r="E933" s="161"/>
      <c r="F933" s="161"/>
      <c r="H933">
        <f t="shared" si="15"/>
        <v>1089000</v>
      </c>
    </row>
    <row r="934" spans="1:8" x14ac:dyDescent="0.25">
      <c r="A934" s="161" t="s">
        <v>1409</v>
      </c>
      <c r="B934" s="161"/>
      <c r="C934" s="161"/>
      <c r="D934" s="161"/>
      <c r="E934" s="161"/>
      <c r="F934" s="161"/>
      <c r="H934">
        <f t="shared" si="15"/>
        <v>1089000</v>
      </c>
    </row>
    <row r="935" spans="1:8" x14ac:dyDescent="0.25">
      <c r="A935" s="161" t="s">
        <v>1410</v>
      </c>
      <c r="B935" s="161"/>
      <c r="C935" s="161"/>
      <c r="D935" s="161"/>
      <c r="E935" s="161"/>
      <c r="F935" s="161"/>
      <c r="H935">
        <f t="shared" si="15"/>
        <v>1089000</v>
      </c>
    </row>
    <row r="936" spans="1:8" x14ac:dyDescent="0.25">
      <c r="A936" s="161" t="s">
        <v>1411</v>
      </c>
      <c r="B936" s="161"/>
      <c r="C936" s="161"/>
      <c r="D936" s="161"/>
      <c r="E936" s="161"/>
      <c r="F936" s="161"/>
      <c r="H936">
        <f t="shared" si="15"/>
        <v>1089000</v>
      </c>
    </row>
    <row r="937" spans="1:8" x14ac:dyDescent="0.25">
      <c r="A937" s="161" t="s">
        <v>1412</v>
      </c>
      <c r="B937" s="161"/>
      <c r="C937" s="161"/>
      <c r="D937" s="161"/>
      <c r="E937" s="161"/>
      <c r="F937" s="161"/>
      <c r="H937">
        <f t="shared" si="15"/>
        <v>1089000</v>
      </c>
    </row>
    <row r="938" spans="1:8" x14ac:dyDescent="0.25">
      <c r="A938" s="161" t="s">
        <v>1413</v>
      </c>
      <c r="B938" s="161"/>
      <c r="C938" s="161"/>
      <c r="D938" s="161"/>
      <c r="E938" s="161"/>
      <c r="F938" s="161"/>
      <c r="H938">
        <f t="shared" si="15"/>
        <v>1089000</v>
      </c>
    </row>
    <row r="939" spans="1:8" x14ac:dyDescent="0.25">
      <c r="A939" s="161" t="s">
        <v>1414</v>
      </c>
      <c r="B939" s="161"/>
      <c r="C939" s="161"/>
      <c r="D939" s="161"/>
      <c r="E939" s="161"/>
      <c r="F939" s="161"/>
      <c r="H939">
        <f t="shared" si="15"/>
        <v>1089000</v>
      </c>
    </row>
    <row r="940" spans="1:8" x14ac:dyDescent="0.25">
      <c r="A940" s="161" t="s">
        <v>1415</v>
      </c>
      <c r="B940" s="161"/>
      <c r="C940" s="161"/>
      <c r="D940" s="161"/>
      <c r="E940" s="161"/>
      <c r="F940" s="161"/>
      <c r="H940">
        <f t="shared" si="15"/>
        <v>1089000</v>
      </c>
    </row>
    <row r="941" spans="1:8" x14ac:dyDescent="0.25">
      <c r="A941" s="161" t="s">
        <v>1416</v>
      </c>
      <c r="B941" s="161"/>
      <c r="C941" s="161"/>
      <c r="D941" s="161"/>
      <c r="E941" s="161"/>
      <c r="F941" s="161"/>
      <c r="H941">
        <f t="shared" si="15"/>
        <v>1089000</v>
      </c>
    </row>
    <row r="942" spans="1:8" x14ac:dyDescent="0.25">
      <c r="A942" s="161" t="s">
        <v>1417</v>
      </c>
      <c r="B942" s="161"/>
      <c r="C942" s="161"/>
      <c r="D942" s="161"/>
      <c r="E942" s="161"/>
      <c r="F942" s="161"/>
      <c r="H942">
        <f t="shared" si="15"/>
        <v>1089000</v>
      </c>
    </row>
    <row r="943" spans="1:8" x14ac:dyDescent="0.25">
      <c r="A943" s="161" t="s">
        <v>1418</v>
      </c>
      <c r="B943" s="161"/>
      <c r="C943" s="161"/>
      <c r="D943" s="161"/>
      <c r="E943" s="161"/>
      <c r="F943" s="161"/>
      <c r="H943">
        <f t="shared" si="15"/>
        <v>1089000</v>
      </c>
    </row>
    <row r="944" spans="1:8" x14ac:dyDescent="0.25">
      <c r="A944" s="161" t="s">
        <v>1419</v>
      </c>
      <c r="B944" s="161"/>
      <c r="C944" s="161"/>
      <c r="D944" s="161"/>
      <c r="E944" s="161"/>
      <c r="F944" s="161"/>
      <c r="H944">
        <f t="shared" si="15"/>
        <v>1089000</v>
      </c>
    </row>
    <row r="945" spans="1:8" x14ac:dyDescent="0.25">
      <c r="A945" s="161" t="s">
        <v>1420</v>
      </c>
      <c r="B945" s="161"/>
      <c r="C945" s="161"/>
      <c r="D945" s="161"/>
      <c r="E945" s="161"/>
      <c r="F945" s="161"/>
      <c r="H945">
        <f t="shared" si="15"/>
        <v>1089000</v>
      </c>
    </row>
    <row r="946" spans="1:8" x14ac:dyDescent="0.25">
      <c r="A946" s="161" t="s">
        <v>1421</v>
      </c>
      <c r="B946" s="161"/>
      <c r="C946" s="161"/>
      <c r="D946" s="161"/>
      <c r="E946" s="161"/>
      <c r="F946" s="161"/>
      <c r="H946">
        <f t="shared" si="15"/>
        <v>1089000</v>
      </c>
    </row>
    <row r="947" spans="1:8" x14ac:dyDescent="0.25">
      <c r="A947" s="161" t="s">
        <v>1422</v>
      </c>
      <c r="B947" s="161"/>
      <c r="C947" s="161"/>
      <c r="D947" s="161"/>
      <c r="E947" s="161"/>
      <c r="F947" s="161"/>
      <c r="H947">
        <f t="shared" si="15"/>
        <v>1089000</v>
      </c>
    </row>
    <row r="948" spans="1:8" x14ac:dyDescent="0.25">
      <c r="A948" s="161" t="s">
        <v>1423</v>
      </c>
      <c r="B948" s="161"/>
      <c r="C948" s="161"/>
      <c r="D948" s="161"/>
      <c r="E948" s="161"/>
      <c r="F948" s="161"/>
      <c r="H948">
        <f t="shared" si="15"/>
        <v>1089000</v>
      </c>
    </row>
    <row r="949" spans="1:8" x14ac:dyDescent="0.25">
      <c r="A949" s="161" t="s">
        <v>1424</v>
      </c>
      <c r="B949" s="161"/>
      <c r="C949" s="161"/>
      <c r="D949" s="161"/>
      <c r="E949" s="161"/>
      <c r="F949" s="161"/>
      <c r="H949">
        <f t="shared" si="15"/>
        <v>1089000</v>
      </c>
    </row>
    <row r="950" spans="1:8" x14ac:dyDescent="0.25">
      <c r="A950" s="161" t="s">
        <v>1425</v>
      </c>
      <c r="B950" s="161"/>
      <c r="C950" s="161"/>
      <c r="D950" s="161"/>
      <c r="E950" s="161"/>
      <c r="F950" s="161"/>
      <c r="H950">
        <f t="shared" si="15"/>
        <v>1089000</v>
      </c>
    </row>
    <row r="951" spans="1:8" x14ac:dyDescent="0.25">
      <c r="A951" s="161" t="s">
        <v>1426</v>
      </c>
      <c r="B951" s="161"/>
      <c r="C951" s="161"/>
      <c r="D951" s="161"/>
      <c r="E951" s="161"/>
      <c r="F951" s="161"/>
      <c r="H951">
        <f t="shared" si="15"/>
        <v>1089000</v>
      </c>
    </row>
    <row r="952" spans="1:8" x14ac:dyDescent="0.25">
      <c r="A952" s="161" t="s">
        <v>1427</v>
      </c>
      <c r="B952" s="161"/>
      <c r="C952" s="161"/>
      <c r="D952" s="161"/>
      <c r="E952" s="161"/>
      <c r="F952" s="161"/>
      <c r="H952">
        <f t="shared" si="15"/>
        <v>1089000</v>
      </c>
    </row>
    <row r="953" spans="1:8" x14ac:dyDescent="0.25">
      <c r="A953" s="161" t="s">
        <v>1428</v>
      </c>
      <c r="B953" s="161"/>
      <c r="C953" s="161"/>
      <c r="D953" s="161"/>
      <c r="E953" s="161"/>
      <c r="F953" s="161"/>
      <c r="H953">
        <f t="shared" si="15"/>
        <v>1089000</v>
      </c>
    </row>
    <row r="954" spans="1:8" x14ac:dyDescent="0.25">
      <c r="A954" s="161" t="s">
        <v>1429</v>
      </c>
      <c r="B954" s="161"/>
      <c r="C954" s="161"/>
      <c r="D954" s="161"/>
      <c r="E954" s="161"/>
      <c r="F954" s="161"/>
      <c r="H954">
        <f t="shared" si="15"/>
        <v>1089000</v>
      </c>
    </row>
    <row r="955" spans="1:8" x14ac:dyDescent="0.25">
      <c r="A955" s="161" t="s">
        <v>1430</v>
      </c>
      <c r="B955" s="161"/>
      <c r="C955" s="161"/>
      <c r="D955" s="161"/>
      <c r="E955" s="161"/>
      <c r="F955" s="161"/>
      <c r="H955">
        <f t="shared" si="15"/>
        <v>1089000</v>
      </c>
    </row>
    <row r="956" spans="1:8" x14ac:dyDescent="0.25">
      <c r="A956" s="161" t="s">
        <v>1431</v>
      </c>
      <c r="B956" s="161"/>
      <c r="C956" s="161"/>
      <c r="D956" s="161"/>
      <c r="E956" s="161"/>
      <c r="F956" s="161"/>
      <c r="H956">
        <f t="shared" si="15"/>
        <v>1089000</v>
      </c>
    </row>
    <row r="957" spans="1:8" x14ac:dyDescent="0.25">
      <c r="A957" s="161" t="s">
        <v>1432</v>
      </c>
      <c r="B957" s="161"/>
      <c r="C957" s="161"/>
      <c r="D957" s="161"/>
      <c r="E957" s="161"/>
      <c r="F957" s="161"/>
      <c r="H957">
        <f t="shared" si="15"/>
        <v>1089000</v>
      </c>
    </row>
    <row r="958" spans="1:8" x14ac:dyDescent="0.25">
      <c r="A958" s="161" t="s">
        <v>1433</v>
      </c>
      <c r="B958" s="161"/>
      <c r="C958" s="161"/>
      <c r="D958" s="161"/>
      <c r="E958" s="161"/>
      <c r="F958" s="161"/>
      <c r="H958">
        <f t="shared" si="15"/>
        <v>1089000</v>
      </c>
    </row>
    <row r="959" spans="1:8" x14ac:dyDescent="0.25">
      <c r="A959" s="161" t="s">
        <v>1434</v>
      </c>
      <c r="B959" s="161"/>
      <c r="C959" s="161"/>
      <c r="D959" s="161"/>
      <c r="E959" s="161"/>
      <c r="F959" s="161"/>
      <c r="H959">
        <f t="shared" si="15"/>
        <v>1089000</v>
      </c>
    </row>
    <row r="960" spans="1:8" x14ac:dyDescent="0.25">
      <c r="A960" s="161" t="s">
        <v>1435</v>
      </c>
      <c r="B960" s="161"/>
      <c r="C960" s="161"/>
      <c r="D960" s="161"/>
      <c r="E960" s="161"/>
      <c r="F960" s="161"/>
      <c r="H960">
        <f t="shared" si="15"/>
        <v>1089000</v>
      </c>
    </row>
    <row r="961" spans="1:8" x14ac:dyDescent="0.25">
      <c r="A961" s="161" t="s">
        <v>1436</v>
      </c>
      <c r="B961" s="161"/>
      <c r="C961" s="161"/>
      <c r="D961" s="161"/>
      <c r="E961" s="161"/>
      <c r="F961" s="161"/>
      <c r="H961">
        <f t="shared" si="15"/>
        <v>1089000</v>
      </c>
    </row>
    <row r="962" spans="1:8" x14ac:dyDescent="0.25">
      <c r="A962" s="161" t="s">
        <v>1437</v>
      </c>
      <c r="B962" s="161"/>
      <c r="C962" s="161"/>
      <c r="D962" s="161"/>
      <c r="E962" s="161"/>
      <c r="F962" s="161"/>
      <c r="H962">
        <f t="shared" si="15"/>
        <v>1089000</v>
      </c>
    </row>
    <row r="963" spans="1:8" x14ac:dyDescent="0.25">
      <c r="A963" s="161" t="s">
        <v>1438</v>
      </c>
      <c r="B963" s="161"/>
      <c r="C963" s="161"/>
      <c r="D963" s="161"/>
      <c r="E963" s="161"/>
      <c r="F963" s="161"/>
      <c r="H963">
        <f t="shared" si="15"/>
        <v>1089000</v>
      </c>
    </row>
    <row r="964" spans="1:8" x14ac:dyDescent="0.25">
      <c r="A964" s="161" t="s">
        <v>1439</v>
      </c>
      <c r="B964" s="161"/>
      <c r="C964" s="161"/>
      <c r="D964" s="161"/>
      <c r="E964" s="161"/>
      <c r="F964" s="161"/>
      <c r="H964">
        <f t="shared" si="15"/>
        <v>1089000</v>
      </c>
    </row>
    <row r="965" spans="1:8" x14ac:dyDescent="0.25">
      <c r="A965" s="161" t="s">
        <v>1440</v>
      </c>
      <c r="B965" s="161"/>
      <c r="C965" s="161"/>
      <c r="D965" s="161"/>
      <c r="E965" s="161"/>
      <c r="F965" s="161"/>
      <c r="H965">
        <f t="shared" si="15"/>
        <v>1089000</v>
      </c>
    </row>
    <row r="966" spans="1:8" x14ac:dyDescent="0.25">
      <c r="A966" s="161" t="s">
        <v>1441</v>
      </c>
      <c r="B966" s="161"/>
      <c r="C966" s="161"/>
      <c r="D966" s="161"/>
      <c r="E966" s="161"/>
      <c r="F966" s="161"/>
      <c r="H966">
        <f t="shared" si="15"/>
        <v>1089000</v>
      </c>
    </row>
    <row r="967" spans="1:8" x14ac:dyDescent="0.25">
      <c r="A967" s="161" t="s">
        <v>1442</v>
      </c>
      <c r="B967" s="161"/>
      <c r="C967" s="161"/>
      <c r="D967" s="161"/>
      <c r="E967" s="161"/>
      <c r="F967" s="161"/>
      <c r="H967">
        <f t="shared" si="15"/>
        <v>1089000</v>
      </c>
    </row>
    <row r="968" spans="1:8" x14ac:dyDescent="0.25">
      <c r="A968" s="161" t="s">
        <v>1443</v>
      </c>
      <c r="B968" s="161"/>
      <c r="C968" s="161"/>
      <c r="D968" s="161"/>
      <c r="E968" s="161"/>
      <c r="F968" s="161"/>
      <c r="H968">
        <f t="shared" si="15"/>
        <v>1089000</v>
      </c>
    </row>
    <row r="969" spans="1:8" x14ac:dyDescent="0.25">
      <c r="A969" s="161" t="s">
        <v>1445</v>
      </c>
      <c r="B969" s="161"/>
      <c r="C969" s="161"/>
      <c r="D969" s="161"/>
      <c r="E969" s="161"/>
      <c r="F969" s="161"/>
      <c r="H969">
        <f t="shared" si="15"/>
        <v>1089000</v>
      </c>
    </row>
    <row r="970" spans="1:8" x14ac:dyDescent="0.25">
      <c r="A970" s="161" t="s">
        <v>1446</v>
      </c>
      <c r="B970" s="161"/>
      <c r="C970" s="161"/>
      <c r="D970" s="161"/>
      <c r="E970" s="161"/>
      <c r="F970" s="161"/>
      <c r="H970">
        <f t="shared" si="15"/>
        <v>1089000</v>
      </c>
    </row>
    <row r="971" spans="1:8" x14ac:dyDescent="0.25">
      <c r="A971" s="161" t="s">
        <v>1447</v>
      </c>
      <c r="B971" s="161"/>
      <c r="C971" s="161"/>
      <c r="D971" s="161"/>
      <c r="E971" s="161"/>
      <c r="F971" s="161"/>
      <c r="H971">
        <f t="shared" ref="H971:H1034" si="16">SUMPRODUCT((C$2:C$1090 &lt; C1115)+(C1115="")*1000)</f>
        <v>1089000</v>
      </c>
    </row>
    <row r="972" spans="1:8" x14ac:dyDescent="0.25">
      <c r="A972" s="161" t="s">
        <v>1448</v>
      </c>
      <c r="B972" s="161"/>
      <c r="C972" s="161"/>
      <c r="D972" s="161"/>
      <c r="E972" s="161"/>
      <c r="F972" s="161"/>
      <c r="H972">
        <f t="shared" si="16"/>
        <v>1089000</v>
      </c>
    </row>
    <row r="973" spans="1:8" x14ac:dyDescent="0.25">
      <c r="A973" s="161" t="s">
        <v>1449</v>
      </c>
      <c r="B973" s="161"/>
      <c r="C973" s="161"/>
      <c r="D973" s="161"/>
      <c r="E973" s="161"/>
      <c r="F973" s="161"/>
      <c r="H973">
        <f t="shared" si="16"/>
        <v>1089000</v>
      </c>
    </row>
    <row r="974" spans="1:8" x14ac:dyDescent="0.25">
      <c r="A974" s="161" t="s">
        <v>1450</v>
      </c>
      <c r="B974" s="161"/>
      <c r="C974" s="161"/>
      <c r="D974" s="161"/>
      <c r="E974" s="161"/>
      <c r="F974" s="161"/>
      <c r="H974">
        <f t="shared" si="16"/>
        <v>1089000</v>
      </c>
    </row>
    <row r="975" spans="1:8" x14ac:dyDescent="0.25">
      <c r="A975" s="161" t="s">
        <v>1451</v>
      </c>
      <c r="B975" s="161"/>
      <c r="C975" s="161"/>
      <c r="D975" s="161"/>
      <c r="E975" s="161"/>
      <c r="F975" s="161"/>
      <c r="H975">
        <f t="shared" si="16"/>
        <v>1089000</v>
      </c>
    </row>
    <row r="976" spans="1:8" x14ac:dyDescent="0.25">
      <c r="A976" s="161" t="s">
        <v>1452</v>
      </c>
      <c r="B976" s="161"/>
      <c r="C976" s="161"/>
      <c r="D976" s="161"/>
      <c r="E976" s="161"/>
      <c r="F976" s="161"/>
      <c r="H976">
        <f t="shared" si="16"/>
        <v>1089000</v>
      </c>
    </row>
    <row r="977" spans="1:8" x14ac:dyDescent="0.25">
      <c r="A977" s="161" t="s">
        <v>1453</v>
      </c>
      <c r="B977" s="161"/>
      <c r="C977" s="161"/>
      <c r="D977" s="161"/>
      <c r="E977" s="161"/>
      <c r="F977" s="161"/>
      <c r="H977">
        <f t="shared" si="16"/>
        <v>1089000</v>
      </c>
    </row>
    <row r="978" spans="1:8" x14ac:dyDescent="0.25">
      <c r="A978" s="161" t="s">
        <v>1454</v>
      </c>
      <c r="B978" s="161"/>
      <c r="C978" s="161"/>
      <c r="D978" s="161"/>
      <c r="E978" s="161"/>
      <c r="F978" s="161"/>
      <c r="H978">
        <f t="shared" si="16"/>
        <v>1089000</v>
      </c>
    </row>
    <row r="979" spans="1:8" x14ac:dyDescent="0.25">
      <c r="A979" s="161" t="s">
        <v>1455</v>
      </c>
      <c r="B979" s="161"/>
      <c r="C979" s="161"/>
      <c r="D979" s="161"/>
      <c r="E979" s="161"/>
      <c r="F979" s="161"/>
      <c r="H979">
        <f t="shared" si="16"/>
        <v>1089000</v>
      </c>
    </row>
    <row r="980" spans="1:8" x14ac:dyDescent="0.25">
      <c r="A980" s="161" t="s">
        <v>1456</v>
      </c>
      <c r="B980" s="161"/>
      <c r="C980" s="161"/>
      <c r="D980" s="161"/>
      <c r="E980" s="161"/>
      <c r="F980" s="161"/>
      <c r="H980">
        <f t="shared" si="16"/>
        <v>1089000</v>
      </c>
    </row>
    <row r="981" spans="1:8" x14ac:dyDescent="0.25">
      <c r="A981" s="161" t="s">
        <v>1457</v>
      </c>
      <c r="B981" s="161"/>
      <c r="C981" s="161"/>
      <c r="D981" s="161"/>
      <c r="E981" s="161"/>
      <c r="F981" s="161"/>
      <c r="H981">
        <f t="shared" si="16"/>
        <v>1089000</v>
      </c>
    </row>
    <row r="982" spans="1:8" x14ac:dyDescent="0.25">
      <c r="A982" s="161"/>
      <c r="B982" s="161"/>
      <c r="C982" s="161"/>
      <c r="D982" s="161"/>
      <c r="E982" s="161"/>
      <c r="F982" s="161"/>
      <c r="H982">
        <f t="shared" si="16"/>
        <v>1089000</v>
      </c>
    </row>
    <row r="983" spans="1:8" x14ac:dyDescent="0.25">
      <c r="A983" s="161" t="s">
        <v>1572</v>
      </c>
      <c r="B983" s="161"/>
      <c r="C983" s="161"/>
      <c r="D983" s="161"/>
      <c r="E983" s="161"/>
      <c r="F983" s="161"/>
      <c r="H983">
        <f t="shared" si="16"/>
        <v>1089000</v>
      </c>
    </row>
    <row r="984" spans="1:8" x14ac:dyDescent="0.25">
      <c r="A984" s="161"/>
      <c r="B984" s="161"/>
      <c r="C984" s="161"/>
      <c r="D984" s="161"/>
      <c r="E984" s="161"/>
      <c r="F984" s="161"/>
      <c r="H984">
        <f t="shared" si="16"/>
        <v>1089000</v>
      </c>
    </row>
    <row r="985" spans="1:8" x14ac:dyDescent="0.25">
      <c r="A985" s="161" t="s">
        <v>1458</v>
      </c>
      <c r="B985" s="161"/>
      <c r="C985" s="161"/>
      <c r="D985" s="161"/>
      <c r="E985" s="161"/>
      <c r="F985" s="161"/>
      <c r="H985">
        <f t="shared" si="16"/>
        <v>1089000</v>
      </c>
    </row>
    <row r="986" spans="1:8" x14ac:dyDescent="0.25">
      <c r="A986" s="161" t="s">
        <v>1459</v>
      </c>
      <c r="B986" s="161"/>
      <c r="C986" s="161"/>
      <c r="D986" s="161"/>
      <c r="E986" s="161"/>
      <c r="F986" s="161"/>
      <c r="H986">
        <f t="shared" si="16"/>
        <v>1089000</v>
      </c>
    </row>
    <row r="987" spans="1:8" x14ac:dyDescent="0.25">
      <c r="A987" s="161" t="s">
        <v>1461</v>
      </c>
      <c r="B987" s="161"/>
      <c r="C987" s="161"/>
      <c r="D987" s="161"/>
      <c r="E987" s="161"/>
      <c r="F987" s="161"/>
      <c r="H987">
        <f t="shared" si="16"/>
        <v>1089000</v>
      </c>
    </row>
    <row r="988" spans="1:8" x14ac:dyDescent="0.25">
      <c r="A988" s="170" t="s">
        <v>1379</v>
      </c>
      <c r="B988" s="170" t="s">
        <v>1380</v>
      </c>
      <c r="C988" s="170" t="s">
        <v>876</v>
      </c>
      <c r="D988" s="170" t="s">
        <v>91</v>
      </c>
      <c r="E988" s="171">
        <v>0</v>
      </c>
      <c r="H988">
        <f t="shared" si="16"/>
        <v>1089000</v>
      </c>
    </row>
    <row r="989" spans="1:8" x14ac:dyDescent="0.25">
      <c r="A989" s="170" t="s">
        <v>1379</v>
      </c>
      <c r="B989" s="170" t="s">
        <v>1380</v>
      </c>
      <c r="C989" s="170" t="s">
        <v>1292</v>
      </c>
      <c r="D989" s="170" t="s">
        <v>98</v>
      </c>
      <c r="E989" s="171">
        <v>0</v>
      </c>
      <c r="H989">
        <f t="shared" si="16"/>
        <v>1089000</v>
      </c>
    </row>
    <row r="990" spans="1:8" x14ac:dyDescent="0.25">
      <c r="A990" s="170" t="s">
        <v>1379</v>
      </c>
      <c r="B990" s="170" t="s">
        <v>1380</v>
      </c>
      <c r="C990" s="170" t="s">
        <v>1293</v>
      </c>
      <c r="D990" s="170" t="s">
        <v>91</v>
      </c>
      <c r="E990" s="171">
        <v>0</v>
      </c>
      <c r="H990">
        <f t="shared" si="16"/>
        <v>1089000</v>
      </c>
    </row>
    <row r="991" spans="1:8" x14ac:dyDescent="0.25">
      <c r="A991" s="170" t="s">
        <v>1379</v>
      </c>
      <c r="B991" s="170" t="s">
        <v>1380</v>
      </c>
      <c r="C991" s="170" t="s">
        <v>1294</v>
      </c>
      <c r="D991" s="170" t="s">
        <v>91</v>
      </c>
      <c r="E991" s="171">
        <v>0</v>
      </c>
      <c r="H991">
        <f t="shared" si="16"/>
        <v>1089000</v>
      </c>
    </row>
    <row r="992" spans="1:8" x14ac:dyDescent="0.25">
      <c r="A992" s="170" t="s">
        <v>1379</v>
      </c>
      <c r="B992" s="170" t="s">
        <v>1380</v>
      </c>
      <c r="C992" s="170" t="s">
        <v>1295</v>
      </c>
      <c r="D992" s="170" t="s">
        <v>146</v>
      </c>
      <c r="E992" s="171">
        <v>0</v>
      </c>
      <c r="H992">
        <f t="shared" si="16"/>
        <v>1089000</v>
      </c>
    </row>
    <row r="993" spans="1:8" x14ac:dyDescent="0.25">
      <c r="A993" s="170" t="s">
        <v>1379</v>
      </c>
      <c r="B993" s="170" t="s">
        <v>1380</v>
      </c>
      <c r="C993" s="170" t="s">
        <v>687</v>
      </c>
      <c r="D993" s="170" t="s">
        <v>146</v>
      </c>
      <c r="E993" s="171">
        <v>0</v>
      </c>
      <c r="H993">
        <f t="shared" si="16"/>
        <v>1089000</v>
      </c>
    </row>
    <row r="994" spans="1:8" x14ac:dyDescent="0.25">
      <c r="A994" s="170" t="s">
        <v>1379</v>
      </c>
      <c r="B994" s="170">
        <v>318</v>
      </c>
      <c r="C994" s="170" t="s">
        <v>793</v>
      </c>
      <c r="D994" s="170" t="s">
        <v>146</v>
      </c>
      <c r="E994" s="171">
        <v>0</v>
      </c>
      <c r="H994">
        <f t="shared" si="16"/>
        <v>1089000</v>
      </c>
    </row>
    <row r="995" spans="1:8" x14ac:dyDescent="0.25">
      <c r="A995" s="170" t="s">
        <v>1379</v>
      </c>
      <c r="B995" s="170" t="s">
        <v>1380</v>
      </c>
      <c r="C995" s="170" t="s">
        <v>1296</v>
      </c>
      <c r="D995" s="170" t="s">
        <v>141</v>
      </c>
      <c r="E995" s="171">
        <v>0</v>
      </c>
      <c r="H995">
        <f t="shared" si="16"/>
        <v>1089000</v>
      </c>
    </row>
    <row r="996" spans="1:8" x14ac:dyDescent="0.25">
      <c r="A996" s="170" t="s">
        <v>1379</v>
      </c>
      <c r="B996" s="170">
        <v>251</v>
      </c>
      <c r="C996" s="170" t="s">
        <v>724</v>
      </c>
      <c r="D996" s="170" t="s">
        <v>146</v>
      </c>
      <c r="E996" s="171">
        <v>0</v>
      </c>
      <c r="H996">
        <f t="shared" si="16"/>
        <v>1089000</v>
      </c>
    </row>
    <row r="997" spans="1:8" x14ac:dyDescent="0.25">
      <c r="A997" s="170" t="s">
        <v>1379</v>
      </c>
      <c r="B997" s="170" t="s">
        <v>1380</v>
      </c>
      <c r="C997" s="170" t="s">
        <v>1297</v>
      </c>
      <c r="D997" s="170" t="s">
        <v>91</v>
      </c>
      <c r="E997" s="171">
        <v>0</v>
      </c>
      <c r="H997">
        <f t="shared" si="16"/>
        <v>1089000</v>
      </c>
    </row>
    <row r="998" spans="1:8" x14ac:dyDescent="0.25">
      <c r="A998" s="170" t="s">
        <v>1379</v>
      </c>
      <c r="B998" s="170" t="s">
        <v>1380</v>
      </c>
      <c r="C998" s="170" t="s">
        <v>1298</v>
      </c>
      <c r="D998" s="170" t="s">
        <v>98</v>
      </c>
      <c r="E998" s="171">
        <v>0</v>
      </c>
      <c r="H998">
        <f t="shared" si="16"/>
        <v>1089000</v>
      </c>
    </row>
    <row r="999" spans="1:8" x14ac:dyDescent="0.25">
      <c r="A999" s="170" t="s">
        <v>1379</v>
      </c>
      <c r="B999" s="170" t="s">
        <v>1380</v>
      </c>
      <c r="C999" s="170" t="s">
        <v>1299</v>
      </c>
      <c r="D999" s="170" t="s">
        <v>88</v>
      </c>
      <c r="E999" s="171">
        <v>0</v>
      </c>
      <c r="H999">
        <f t="shared" si="16"/>
        <v>1089000</v>
      </c>
    </row>
    <row r="1000" spans="1:8" x14ac:dyDescent="0.25">
      <c r="A1000" s="170" t="s">
        <v>1379</v>
      </c>
      <c r="B1000" s="170" t="s">
        <v>1380</v>
      </c>
      <c r="C1000" s="170" t="s">
        <v>1300</v>
      </c>
      <c r="D1000" s="170" t="s">
        <v>96</v>
      </c>
      <c r="E1000" s="171">
        <v>0</v>
      </c>
      <c r="H1000">
        <f t="shared" si="16"/>
        <v>1089000</v>
      </c>
    </row>
    <row r="1001" spans="1:8" x14ac:dyDescent="0.25">
      <c r="A1001" s="170" t="s">
        <v>1379</v>
      </c>
      <c r="B1001" s="170" t="s">
        <v>1380</v>
      </c>
      <c r="C1001" s="170" t="s">
        <v>860</v>
      </c>
      <c r="D1001" s="170" t="s">
        <v>88</v>
      </c>
      <c r="E1001" s="171">
        <v>0</v>
      </c>
      <c r="H1001">
        <f t="shared" si="16"/>
        <v>1089000</v>
      </c>
    </row>
    <row r="1002" spans="1:8" x14ac:dyDescent="0.25">
      <c r="A1002" s="170" t="s">
        <v>1379</v>
      </c>
      <c r="B1002" s="170" t="s">
        <v>1380</v>
      </c>
      <c r="C1002" s="170" t="s">
        <v>1301</v>
      </c>
      <c r="D1002" s="170" t="s">
        <v>98</v>
      </c>
      <c r="E1002" s="171">
        <v>0</v>
      </c>
      <c r="H1002">
        <f t="shared" si="16"/>
        <v>1089000</v>
      </c>
    </row>
    <row r="1003" spans="1:8" x14ac:dyDescent="0.25">
      <c r="A1003" s="170" t="s">
        <v>1379</v>
      </c>
      <c r="B1003" s="170" t="s">
        <v>1380</v>
      </c>
      <c r="C1003" s="170" t="s">
        <v>1302</v>
      </c>
      <c r="D1003" s="170" t="s">
        <v>98</v>
      </c>
      <c r="E1003" s="171">
        <v>0</v>
      </c>
      <c r="H1003">
        <f t="shared" si="16"/>
        <v>1089000</v>
      </c>
    </row>
    <row r="1004" spans="1:8" x14ac:dyDescent="0.25">
      <c r="A1004" s="170" t="s">
        <v>1379</v>
      </c>
      <c r="B1004" s="170" t="s">
        <v>1380</v>
      </c>
      <c r="C1004" s="170" t="s">
        <v>1303</v>
      </c>
      <c r="D1004" s="170" t="s">
        <v>98</v>
      </c>
      <c r="E1004" s="171">
        <v>0</v>
      </c>
      <c r="H1004">
        <f t="shared" si="16"/>
        <v>1089000</v>
      </c>
    </row>
    <row r="1005" spans="1:8" x14ac:dyDescent="0.25">
      <c r="A1005" s="170" t="s">
        <v>1379</v>
      </c>
      <c r="B1005" s="170" t="s">
        <v>1380</v>
      </c>
      <c r="C1005" s="170" t="s">
        <v>1304</v>
      </c>
      <c r="D1005" s="170" t="s">
        <v>98</v>
      </c>
      <c r="E1005" s="171">
        <v>0</v>
      </c>
      <c r="H1005">
        <f t="shared" si="16"/>
        <v>1089000</v>
      </c>
    </row>
    <row r="1006" spans="1:8" x14ac:dyDescent="0.25">
      <c r="A1006" s="170" t="s">
        <v>1379</v>
      </c>
      <c r="B1006" s="170" t="s">
        <v>1380</v>
      </c>
      <c r="C1006" s="170" t="s">
        <v>1305</v>
      </c>
      <c r="D1006" s="170" t="s">
        <v>88</v>
      </c>
      <c r="E1006" s="171">
        <v>0</v>
      </c>
      <c r="H1006">
        <f t="shared" si="16"/>
        <v>1089000</v>
      </c>
    </row>
    <row r="1007" spans="1:8" x14ac:dyDescent="0.25">
      <c r="A1007" s="170" t="s">
        <v>1379</v>
      </c>
      <c r="B1007" s="170" t="s">
        <v>1380</v>
      </c>
      <c r="C1007" s="170" t="s">
        <v>1306</v>
      </c>
      <c r="D1007" s="170" t="s">
        <v>91</v>
      </c>
      <c r="E1007" s="171">
        <v>0</v>
      </c>
      <c r="H1007">
        <f t="shared" si="16"/>
        <v>1089000</v>
      </c>
    </row>
    <row r="1008" spans="1:8" x14ac:dyDescent="0.25">
      <c r="A1008" s="170" t="s">
        <v>1381</v>
      </c>
      <c r="B1008" s="170" t="s">
        <v>1382</v>
      </c>
      <c r="C1008" s="170" t="s">
        <v>1307</v>
      </c>
      <c r="D1008" s="170" t="s">
        <v>91</v>
      </c>
      <c r="E1008" s="171">
        <v>0</v>
      </c>
      <c r="H1008">
        <f t="shared" si="16"/>
        <v>1089000</v>
      </c>
    </row>
    <row r="1009" spans="1:8" x14ac:dyDescent="0.25">
      <c r="A1009" s="170" t="s">
        <v>1381</v>
      </c>
      <c r="B1009" s="170" t="s">
        <v>80</v>
      </c>
      <c r="C1009" s="170" t="s">
        <v>1383</v>
      </c>
      <c r="D1009" s="170" t="s">
        <v>105</v>
      </c>
      <c r="E1009" s="171">
        <v>0</v>
      </c>
      <c r="H1009">
        <f t="shared" si="16"/>
        <v>1089000</v>
      </c>
    </row>
    <row r="1010" spans="1:8" x14ac:dyDescent="0.25">
      <c r="A1010" s="170" t="s">
        <v>1381</v>
      </c>
      <c r="B1010" s="170" t="s">
        <v>1382</v>
      </c>
      <c r="C1010" s="170" t="s">
        <v>1308</v>
      </c>
      <c r="D1010" s="170" t="s">
        <v>91</v>
      </c>
      <c r="E1010" s="171">
        <v>0</v>
      </c>
      <c r="H1010">
        <f t="shared" si="16"/>
        <v>1089000</v>
      </c>
    </row>
    <row r="1011" spans="1:8" x14ac:dyDescent="0.25">
      <c r="A1011" s="170" t="s">
        <v>1381</v>
      </c>
      <c r="B1011" s="170" t="s">
        <v>1382</v>
      </c>
      <c r="C1011" s="170" t="s">
        <v>1310</v>
      </c>
      <c r="D1011" s="170" t="s">
        <v>91</v>
      </c>
      <c r="E1011" s="171">
        <v>0</v>
      </c>
      <c r="H1011">
        <f t="shared" si="16"/>
        <v>1089000</v>
      </c>
    </row>
    <row r="1012" spans="1:8" x14ac:dyDescent="0.25">
      <c r="A1012" s="170" t="s">
        <v>1381</v>
      </c>
      <c r="B1012" s="170" t="s">
        <v>1382</v>
      </c>
      <c r="C1012" s="170" t="s">
        <v>1311</v>
      </c>
      <c r="D1012" s="170" t="s">
        <v>91</v>
      </c>
      <c r="E1012" s="171">
        <v>0</v>
      </c>
      <c r="H1012">
        <f t="shared" si="16"/>
        <v>1089000</v>
      </c>
    </row>
    <row r="1013" spans="1:8" x14ac:dyDescent="0.25">
      <c r="A1013" s="170" t="s">
        <v>1381</v>
      </c>
      <c r="B1013" s="170" t="s">
        <v>80</v>
      </c>
      <c r="C1013" s="170" t="s">
        <v>1384</v>
      </c>
      <c r="D1013" s="170" t="s">
        <v>105</v>
      </c>
      <c r="E1013" s="171">
        <v>0</v>
      </c>
      <c r="H1013">
        <f t="shared" si="16"/>
        <v>1089000</v>
      </c>
    </row>
    <row r="1014" spans="1:8" x14ac:dyDescent="0.25">
      <c r="A1014" s="170" t="s">
        <v>1381</v>
      </c>
      <c r="B1014" s="170" t="s">
        <v>1382</v>
      </c>
      <c r="C1014" s="170" t="s">
        <v>1313</v>
      </c>
      <c r="D1014" s="170" t="s">
        <v>146</v>
      </c>
      <c r="E1014" s="171">
        <v>0</v>
      </c>
      <c r="H1014">
        <f t="shared" si="16"/>
        <v>1089000</v>
      </c>
    </row>
    <row r="1015" spans="1:8" x14ac:dyDescent="0.25">
      <c r="A1015" s="170" t="s">
        <v>1381</v>
      </c>
      <c r="B1015" s="170" t="s">
        <v>1382</v>
      </c>
      <c r="C1015" s="170" t="s">
        <v>1314</v>
      </c>
      <c r="D1015" s="170" t="s">
        <v>146</v>
      </c>
      <c r="E1015" s="171">
        <v>0</v>
      </c>
      <c r="H1015">
        <f t="shared" si="16"/>
        <v>1089000</v>
      </c>
    </row>
    <row r="1016" spans="1:8" x14ac:dyDescent="0.25">
      <c r="A1016" s="170" t="s">
        <v>1381</v>
      </c>
      <c r="B1016" s="170" t="s">
        <v>745</v>
      </c>
      <c r="C1016" s="170" t="s">
        <v>751</v>
      </c>
      <c r="D1016" s="170" t="s">
        <v>105</v>
      </c>
      <c r="E1016" s="171">
        <v>0</v>
      </c>
      <c r="H1016">
        <f t="shared" si="16"/>
        <v>1089000</v>
      </c>
    </row>
    <row r="1017" spans="1:8" x14ac:dyDescent="0.25">
      <c r="A1017" s="170" t="s">
        <v>1381</v>
      </c>
      <c r="B1017" s="170" t="s">
        <v>745</v>
      </c>
      <c r="C1017" s="170" t="s">
        <v>752</v>
      </c>
      <c r="D1017" s="170" t="s">
        <v>105</v>
      </c>
      <c r="E1017" s="171">
        <v>0</v>
      </c>
      <c r="H1017">
        <f t="shared" si="16"/>
        <v>1089000</v>
      </c>
    </row>
    <row r="1018" spans="1:8" x14ac:dyDescent="0.25">
      <c r="A1018" s="170" t="s">
        <v>1381</v>
      </c>
      <c r="B1018" s="170">
        <v>863</v>
      </c>
      <c r="C1018" s="170" t="s">
        <v>1317</v>
      </c>
      <c r="D1018" s="170" t="s">
        <v>144</v>
      </c>
      <c r="E1018" s="171">
        <v>0</v>
      </c>
      <c r="H1018">
        <f t="shared" si="16"/>
        <v>1089000</v>
      </c>
    </row>
    <row r="1019" spans="1:8" x14ac:dyDescent="0.25">
      <c r="A1019" s="170" t="s">
        <v>1385</v>
      </c>
      <c r="B1019" s="170">
        <v>864</v>
      </c>
      <c r="C1019" s="170" t="s">
        <v>1319</v>
      </c>
      <c r="D1019" s="170" t="s">
        <v>150</v>
      </c>
      <c r="E1019" s="171">
        <v>0</v>
      </c>
      <c r="H1019">
        <f t="shared" si="16"/>
        <v>1089000</v>
      </c>
    </row>
    <row r="1020" spans="1:8" x14ac:dyDescent="0.25">
      <c r="A1020" s="170" t="s">
        <v>1385</v>
      </c>
      <c r="B1020" s="170">
        <v>862</v>
      </c>
      <c r="C1020" s="170" t="s">
        <v>1315</v>
      </c>
      <c r="D1020" s="170" t="s">
        <v>91</v>
      </c>
      <c r="E1020" s="171">
        <v>0</v>
      </c>
      <c r="H1020">
        <f t="shared" si="16"/>
        <v>1089000</v>
      </c>
    </row>
    <row r="1021" spans="1:8" x14ac:dyDescent="0.25">
      <c r="H1021">
        <f t="shared" si="16"/>
        <v>1089000</v>
      </c>
    </row>
    <row r="1022" spans="1:8" x14ac:dyDescent="0.25">
      <c r="H1022">
        <f t="shared" si="16"/>
        <v>1089000</v>
      </c>
    </row>
    <row r="1023" spans="1:8" x14ac:dyDescent="0.25">
      <c r="H1023">
        <f t="shared" si="16"/>
        <v>1089000</v>
      </c>
    </row>
    <row r="1024" spans="1:8" x14ac:dyDescent="0.25">
      <c r="A1024" s="170" t="s">
        <v>1386</v>
      </c>
      <c r="H1024">
        <f t="shared" si="16"/>
        <v>1089000</v>
      </c>
    </row>
    <row r="1025" spans="1:8" x14ac:dyDescent="0.25">
      <c r="A1025" s="170" t="s">
        <v>1387</v>
      </c>
      <c r="H1025">
        <f t="shared" si="16"/>
        <v>1089000</v>
      </c>
    </row>
    <row r="1026" spans="1:8" x14ac:dyDescent="0.25">
      <c r="A1026" s="170" t="s">
        <v>1388</v>
      </c>
      <c r="H1026">
        <f t="shared" si="16"/>
        <v>1089000</v>
      </c>
    </row>
    <row r="1027" spans="1:8" x14ac:dyDescent="0.25">
      <c r="A1027" s="170" t="s">
        <v>1389</v>
      </c>
      <c r="H1027">
        <f t="shared" si="16"/>
        <v>1089000</v>
      </c>
    </row>
    <row r="1028" spans="1:8" x14ac:dyDescent="0.25">
      <c r="A1028" s="170" t="s">
        <v>1390</v>
      </c>
      <c r="H1028">
        <f t="shared" si="16"/>
        <v>1089000</v>
      </c>
    </row>
    <row r="1029" spans="1:8" x14ac:dyDescent="0.25">
      <c r="H1029">
        <f t="shared" si="16"/>
        <v>1089000</v>
      </c>
    </row>
    <row r="1030" spans="1:8" x14ac:dyDescent="0.25">
      <c r="A1030" s="170" t="s">
        <v>1391</v>
      </c>
      <c r="H1030">
        <f t="shared" si="16"/>
        <v>1089000</v>
      </c>
    </row>
    <row r="1031" spans="1:8" x14ac:dyDescent="0.25">
      <c r="A1031" s="170" t="s">
        <v>1387</v>
      </c>
      <c r="H1031">
        <f t="shared" si="16"/>
        <v>1089000</v>
      </c>
    </row>
    <row r="1032" spans="1:8" x14ac:dyDescent="0.25">
      <c r="A1032" s="170" t="s">
        <v>1388</v>
      </c>
      <c r="H1032">
        <f t="shared" si="16"/>
        <v>1089000</v>
      </c>
    </row>
    <row r="1033" spans="1:8" x14ac:dyDescent="0.25">
      <c r="A1033" s="170" t="s">
        <v>1392</v>
      </c>
      <c r="H1033">
        <f t="shared" si="16"/>
        <v>1089000</v>
      </c>
    </row>
    <row r="1034" spans="1:8" x14ac:dyDescent="0.25">
      <c r="A1034" s="170" t="s">
        <v>1390</v>
      </c>
      <c r="H1034">
        <f t="shared" si="16"/>
        <v>1089000</v>
      </c>
    </row>
    <row r="1035" spans="1:8" x14ac:dyDescent="0.25">
      <c r="A1035" s="170" t="s">
        <v>1393</v>
      </c>
      <c r="H1035">
        <f t="shared" ref="H1035:H1050" si="17">SUMPRODUCT((C$2:C$1090 &lt; C1179)+(C1179="")*1000)</f>
        <v>1089000</v>
      </c>
    </row>
    <row r="1036" spans="1:8" x14ac:dyDescent="0.25">
      <c r="A1036" s="170" t="s">
        <v>1394</v>
      </c>
      <c r="H1036">
        <f t="shared" si="17"/>
        <v>1089000</v>
      </c>
    </row>
    <row r="1037" spans="1:8" x14ac:dyDescent="0.25">
      <c r="A1037" s="170" t="s">
        <v>1395</v>
      </c>
      <c r="H1037">
        <f t="shared" si="17"/>
        <v>1089000</v>
      </c>
    </row>
    <row r="1038" spans="1:8" x14ac:dyDescent="0.25">
      <c r="A1038" s="170" t="s">
        <v>1396</v>
      </c>
      <c r="H1038">
        <f t="shared" si="17"/>
        <v>1089000</v>
      </c>
    </row>
    <row r="1039" spans="1:8" x14ac:dyDescent="0.25">
      <c r="A1039" s="170" t="s">
        <v>1397</v>
      </c>
      <c r="H1039">
        <f t="shared" si="17"/>
        <v>1089000</v>
      </c>
    </row>
    <row r="1040" spans="1:8" x14ac:dyDescent="0.25">
      <c r="A1040" s="170" t="s">
        <v>1398</v>
      </c>
      <c r="H1040">
        <f t="shared" si="17"/>
        <v>1089000</v>
      </c>
    </row>
    <row r="1041" spans="1:8" x14ac:dyDescent="0.25">
      <c r="A1041" s="170" t="s">
        <v>1399</v>
      </c>
      <c r="H1041">
        <f t="shared" si="17"/>
        <v>1089000</v>
      </c>
    </row>
    <row r="1042" spans="1:8" x14ac:dyDescent="0.25">
      <c r="A1042" s="170" t="s">
        <v>1400</v>
      </c>
      <c r="H1042">
        <f t="shared" si="17"/>
        <v>1089000</v>
      </c>
    </row>
    <row r="1043" spans="1:8" x14ac:dyDescent="0.25">
      <c r="A1043" s="170" t="s">
        <v>1401</v>
      </c>
      <c r="H1043">
        <f t="shared" si="17"/>
        <v>1089000</v>
      </c>
    </row>
    <row r="1044" spans="1:8" x14ac:dyDescent="0.25">
      <c r="A1044" s="170" t="s">
        <v>1402</v>
      </c>
      <c r="H1044">
        <f t="shared" si="17"/>
        <v>1089000</v>
      </c>
    </row>
    <row r="1045" spans="1:8" x14ac:dyDescent="0.25">
      <c r="A1045" s="170" t="s">
        <v>1403</v>
      </c>
      <c r="H1045">
        <f t="shared" si="17"/>
        <v>1089000</v>
      </c>
    </row>
    <row r="1046" spans="1:8" x14ac:dyDescent="0.25">
      <c r="A1046" s="170" t="s">
        <v>1404</v>
      </c>
      <c r="H1046">
        <f t="shared" si="17"/>
        <v>1089000</v>
      </c>
    </row>
    <row r="1047" spans="1:8" x14ac:dyDescent="0.25">
      <c r="A1047" s="170" t="s">
        <v>1405</v>
      </c>
      <c r="H1047">
        <f t="shared" si="17"/>
        <v>1089000</v>
      </c>
    </row>
    <row r="1048" spans="1:8" x14ac:dyDescent="0.25">
      <c r="A1048" s="170" t="s">
        <v>1406</v>
      </c>
      <c r="H1048">
        <f t="shared" si="17"/>
        <v>1089000</v>
      </c>
    </row>
    <row r="1049" spans="1:8" x14ac:dyDescent="0.25">
      <c r="A1049" s="170" t="s">
        <v>1407</v>
      </c>
      <c r="H1049">
        <f t="shared" si="17"/>
        <v>1089000</v>
      </c>
    </row>
    <row r="1050" spans="1:8" x14ac:dyDescent="0.25">
      <c r="A1050" s="170" t="s">
        <v>1408</v>
      </c>
      <c r="H1050">
        <f t="shared" si="17"/>
        <v>1089000</v>
      </c>
    </row>
    <row r="1051" spans="1:8" x14ac:dyDescent="0.25">
      <c r="A1051" s="170" t="s">
        <v>1409</v>
      </c>
    </row>
    <row r="1052" spans="1:8" x14ac:dyDescent="0.25">
      <c r="A1052" s="170" t="s">
        <v>1410</v>
      </c>
    </row>
    <row r="1053" spans="1:8" x14ac:dyDescent="0.25">
      <c r="A1053" s="170" t="s">
        <v>1411</v>
      </c>
    </row>
    <row r="1054" spans="1:8" x14ac:dyDescent="0.25">
      <c r="A1054" s="170" t="s">
        <v>1412</v>
      </c>
    </row>
    <row r="1055" spans="1:8" x14ac:dyDescent="0.25">
      <c r="A1055" s="170" t="s">
        <v>1413</v>
      </c>
    </row>
    <row r="1056" spans="1:8" x14ac:dyDescent="0.25">
      <c r="A1056" s="170" t="s">
        <v>1414</v>
      </c>
    </row>
    <row r="1057" spans="1:1" x14ac:dyDescent="0.25">
      <c r="A1057" s="170" t="s">
        <v>1415</v>
      </c>
    </row>
    <row r="1058" spans="1:1" x14ac:dyDescent="0.25">
      <c r="A1058" s="170" t="s">
        <v>1416</v>
      </c>
    </row>
    <row r="1059" spans="1:1" x14ac:dyDescent="0.25">
      <c r="A1059" s="170" t="s">
        <v>1417</v>
      </c>
    </row>
    <row r="1060" spans="1:1" x14ac:dyDescent="0.25">
      <c r="A1060" s="170" t="s">
        <v>1418</v>
      </c>
    </row>
    <row r="1061" spans="1:1" x14ac:dyDescent="0.25">
      <c r="A1061" s="170" t="s">
        <v>1419</v>
      </c>
    </row>
    <row r="1062" spans="1:1" x14ac:dyDescent="0.25">
      <c r="A1062" s="170" t="s">
        <v>1420</v>
      </c>
    </row>
    <row r="1063" spans="1:1" x14ac:dyDescent="0.25">
      <c r="A1063" s="170" t="s">
        <v>1421</v>
      </c>
    </row>
    <row r="1064" spans="1:1" x14ac:dyDescent="0.25">
      <c r="A1064" s="170" t="s">
        <v>1422</v>
      </c>
    </row>
    <row r="1065" spans="1:1" x14ac:dyDescent="0.25">
      <c r="A1065" s="170" t="s">
        <v>1423</v>
      </c>
    </row>
    <row r="1066" spans="1:1" x14ac:dyDescent="0.25">
      <c r="A1066" s="170" t="s">
        <v>1424</v>
      </c>
    </row>
    <row r="1067" spans="1:1" x14ac:dyDescent="0.25">
      <c r="A1067" s="170" t="s">
        <v>1425</v>
      </c>
    </row>
    <row r="1068" spans="1:1" x14ac:dyDescent="0.25">
      <c r="A1068" s="170" t="s">
        <v>1426</v>
      </c>
    </row>
    <row r="1069" spans="1:1" x14ac:dyDescent="0.25">
      <c r="A1069" s="170" t="s">
        <v>1427</v>
      </c>
    </row>
    <row r="1070" spans="1:1" x14ac:dyDescent="0.25">
      <c r="A1070" s="170" t="s">
        <v>1428</v>
      </c>
    </row>
    <row r="1071" spans="1:1" x14ac:dyDescent="0.25">
      <c r="A1071" s="170" t="s">
        <v>1429</v>
      </c>
    </row>
    <row r="1072" spans="1:1" x14ac:dyDescent="0.25">
      <c r="A1072" s="170" t="s">
        <v>1430</v>
      </c>
    </row>
    <row r="1073" spans="1:1" x14ac:dyDescent="0.25">
      <c r="A1073" s="170" t="s">
        <v>1431</v>
      </c>
    </row>
    <row r="1074" spans="1:1" x14ac:dyDescent="0.25">
      <c r="A1074" s="170" t="s">
        <v>1432</v>
      </c>
    </row>
    <row r="1075" spans="1:1" x14ac:dyDescent="0.25">
      <c r="A1075" s="170" t="s">
        <v>1433</v>
      </c>
    </row>
    <row r="1076" spans="1:1" x14ac:dyDescent="0.25">
      <c r="A1076" s="170" t="s">
        <v>1434</v>
      </c>
    </row>
    <row r="1077" spans="1:1" x14ac:dyDescent="0.25">
      <c r="A1077" s="170" t="s">
        <v>1435</v>
      </c>
    </row>
    <row r="1078" spans="1:1" x14ac:dyDescent="0.25">
      <c r="A1078" s="170" t="s">
        <v>1436</v>
      </c>
    </row>
    <row r="1079" spans="1:1" x14ac:dyDescent="0.25">
      <c r="A1079" s="170" t="s">
        <v>1437</v>
      </c>
    </row>
    <row r="1080" spans="1:1" x14ac:dyDescent="0.25">
      <c r="A1080" s="170" t="s">
        <v>1438</v>
      </c>
    </row>
    <row r="1081" spans="1:1" x14ac:dyDescent="0.25">
      <c r="A1081" s="170" t="s">
        <v>1439</v>
      </c>
    </row>
    <row r="1082" spans="1:1" x14ac:dyDescent="0.25">
      <c r="A1082" s="170" t="s">
        <v>1440</v>
      </c>
    </row>
    <row r="1083" spans="1:1" x14ac:dyDescent="0.25">
      <c r="A1083" s="170" t="s">
        <v>1441</v>
      </c>
    </row>
    <row r="1084" spans="1:1" x14ac:dyDescent="0.25">
      <c r="A1084" s="170" t="s">
        <v>1442</v>
      </c>
    </row>
    <row r="1085" spans="1:1" x14ac:dyDescent="0.25">
      <c r="A1085" s="170" t="s">
        <v>1443</v>
      </c>
    </row>
    <row r="1086" spans="1:1" x14ac:dyDescent="0.25">
      <c r="A1086" s="170" t="s">
        <v>1444</v>
      </c>
    </row>
    <row r="1087" spans="1:1" x14ac:dyDescent="0.25">
      <c r="A1087" s="170" t="s">
        <v>1445</v>
      </c>
    </row>
    <row r="1088" spans="1:1" x14ac:dyDescent="0.25">
      <c r="A1088" s="170" t="s">
        <v>1446</v>
      </c>
    </row>
    <row r="1089" spans="1:1" x14ac:dyDescent="0.25">
      <c r="A1089" s="170" t="s">
        <v>1447</v>
      </c>
    </row>
    <row r="1090" spans="1:1" x14ac:dyDescent="0.25">
      <c r="A1090" s="170" t="s">
        <v>1448</v>
      </c>
    </row>
    <row r="1091" spans="1:1" x14ac:dyDescent="0.25">
      <c r="A1091" s="170" t="s">
        <v>1449</v>
      </c>
    </row>
    <row r="1092" spans="1:1" x14ac:dyDescent="0.25">
      <c r="A1092" s="170" t="s">
        <v>1450</v>
      </c>
    </row>
    <row r="1093" spans="1:1" x14ac:dyDescent="0.25">
      <c r="A1093" s="170" t="s">
        <v>1451</v>
      </c>
    </row>
    <row r="1094" spans="1:1" x14ac:dyDescent="0.25">
      <c r="A1094" s="170" t="s">
        <v>1452</v>
      </c>
    </row>
    <row r="1095" spans="1:1" x14ac:dyDescent="0.25">
      <c r="A1095" s="170" t="s">
        <v>1453</v>
      </c>
    </row>
    <row r="1096" spans="1:1" x14ac:dyDescent="0.25">
      <c r="A1096" s="170" t="s">
        <v>1454</v>
      </c>
    </row>
    <row r="1097" spans="1:1" x14ac:dyDescent="0.25">
      <c r="A1097" s="170" t="s">
        <v>1455</v>
      </c>
    </row>
    <row r="1098" spans="1:1" x14ac:dyDescent="0.25">
      <c r="A1098" s="170" t="s">
        <v>1456</v>
      </c>
    </row>
    <row r="1099" spans="1:1" x14ac:dyDescent="0.25">
      <c r="A1099" s="170" t="s">
        <v>1457</v>
      </c>
    </row>
    <row r="1100" spans="1:1" x14ac:dyDescent="0.25">
      <c r="A1100" s="170" t="s">
        <v>1458</v>
      </c>
    </row>
    <row r="1101" spans="1:1" x14ac:dyDescent="0.25">
      <c r="A1101" s="170" t="s">
        <v>1459</v>
      </c>
    </row>
    <row r="1102" spans="1:1" x14ac:dyDescent="0.25">
      <c r="A1102" s="170" t="s">
        <v>1460</v>
      </c>
    </row>
    <row r="1103" spans="1:1" x14ac:dyDescent="0.25">
      <c r="A1103" s="170" t="s">
        <v>1461</v>
      </c>
    </row>
    <row r="1104" spans="1:1" x14ac:dyDescent="0.25">
      <c r="A1104" s="170" t="s">
        <v>1462</v>
      </c>
    </row>
    <row r="1105" spans="1:1" x14ac:dyDescent="0.25">
      <c r="A1105" s="170" t="s">
        <v>1463</v>
      </c>
    </row>
    <row r="1106" spans="1:1" x14ac:dyDescent="0.25">
      <c r="A1106" s="170" t="s">
        <v>1464</v>
      </c>
    </row>
    <row r="1107" spans="1:1" x14ac:dyDescent="0.25">
      <c r="A1107" s="170" t="s">
        <v>1465</v>
      </c>
    </row>
    <row r="1108" spans="1:1" x14ac:dyDescent="0.25">
      <c r="A1108" s="170" t="s">
        <v>1466</v>
      </c>
    </row>
    <row r="1109" spans="1:1" x14ac:dyDescent="0.25">
      <c r="A1109" s="170" t="s">
        <v>1467</v>
      </c>
    </row>
    <row r="1111" spans="1:1" x14ac:dyDescent="0.25">
      <c r="A1111" s="170" t="s">
        <v>1468</v>
      </c>
    </row>
    <row r="1112" spans="1:1" x14ac:dyDescent="0.25">
      <c r="A1112" s="170" t="s">
        <v>1469</v>
      </c>
    </row>
    <row r="1113" spans="1:1" x14ac:dyDescent="0.25">
      <c r="A1113" s="170" t="s">
        <v>1470</v>
      </c>
    </row>
    <row r="1114" spans="1:1" x14ac:dyDescent="0.25">
      <c r="A1114" s="170" t="s">
        <v>1471</v>
      </c>
    </row>
    <row r="1115" spans="1:1" x14ac:dyDescent="0.25">
      <c r="A1115" s="170" t="s">
        <v>1472</v>
      </c>
    </row>
    <row r="1116" spans="1:1" x14ac:dyDescent="0.25">
      <c r="A1116" s="170" t="s">
        <v>1473</v>
      </c>
    </row>
    <row r="1117" spans="1:1" x14ac:dyDescent="0.25">
      <c r="A1117" s="170" t="s">
        <v>1474</v>
      </c>
    </row>
    <row r="1118" spans="1:1" x14ac:dyDescent="0.25">
      <c r="A1118" s="170" t="s">
        <v>1475</v>
      </c>
    </row>
  </sheetData>
  <phoneticPr fontId="18" type="noConversion"/>
  <pageMargins left="0.7" right="0.7" top="0.78740157499999996" bottom="0.78740157499999996" header="0.3" footer="0.3"/>
  <pageSetup paperSize="9" scale="99" orientation="portrait" verticalDpi="599" r:id="rId1"/>
  <headerFooter>
    <oddHeader>&amp;C&amp;18Current World Ranking List</oddHead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G67"/>
  <sheetViews>
    <sheetView showRowColHeaders="0" zoomScaleNormal="100" workbookViewId="0">
      <selection activeCell="B1" sqref="B1"/>
    </sheetView>
  </sheetViews>
  <sheetFormatPr defaultRowHeight="15" x14ac:dyDescent="0.25"/>
  <cols>
    <col min="1" max="1" width="5.7109375" bestFit="1" customWidth="1"/>
    <col min="2" max="2" width="14.140625" bestFit="1" customWidth="1"/>
    <col min="3" max="5" width="13.140625" bestFit="1" customWidth="1"/>
    <col min="6" max="6" width="10.42578125" bestFit="1" customWidth="1"/>
    <col min="7" max="7" width="12.7109375" bestFit="1" customWidth="1"/>
    <col min="8" max="9" width="11.42578125" customWidth="1"/>
    <col min="10" max="10" width="13.42578125" customWidth="1"/>
    <col min="11" max="13" width="11.42578125" customWidth="1"/>
    <col min="14" max="14" width="23.7109375" bestFit="1" customWidth="1"/>
    <col min="15" max="256" width="11.42578125" customWidth="1"/>
  </cols>
  <sheetData>
    <row r="1" spans="1:7" x14ac:dyDescent="0.25">
      <c r="A1" t="s">
        <v>171</v>
      </c>
      <c r="B1" t="s">
        <v>172</v>
      </c>
      <c r="C1" t="s">
        <v>175</v>
      </c>
      <c r="D1" t="s">
        <v>177</v>
      </c>
      <c r="E1" t="s">
        <v>179</v>
      </c>
      <c r="F1" t="s">
        <v>181</v>
      </c>
      <c r="G1" t="s">
        <v>182</v>
      </c>
    </row>
    <row r="2" spans="1:7" x14ac:dyDescent="0.25">
      <c r="B2" t="s">
        <v>173</v>
      </c>
      <c r="C2" t="s">
        <v>176</v>
      </c>
      <c r="D2" s="136" t="s">
        <v>178</v>
      </c>
      <c r="E2" s="137" t="s">
        <v>180</v>
      </c>
    </row>
    <row r="3" spans="1:7" x14ac:dyDescent="0.25">
      <c r="A3" s="131"/>
      <c r="B3" s="131" t="s">
        <v>174</v>
      </c>
      <c r="C3" s="131" t="s">
        <v>174</v>
      </c>
      <c r="D3" s="131" t="s">
        <v>174</v>
      </c>
      <c r="E3" s="131" t="s">
        <v>174</v>
      </c>
      <c r="F3" s="131"/>
      <c r="G3" s="131"/>
    </row>
    <row r="4" spans="1:7" x14ac:dyDescent="0.25">
      <c r="A4" t="s">
        <v>278</v>
      </c>
      <c r="B4" s="138">
        <v>125</v>
      </c>
      <c r="C4" s="138">
        <v>100</v>
      </c>
      <c r="D4" s="138" t="s">
        <v>275</v>
      </c>
      <c r="E4" s="138" t="s">
        <v>279</v>
      </c>
      <c r="F4" s="138">
        <v>150</v>
      </c>
      <c r="G4" s="138">
        <v>200</v>
      </c>
    </row>
    <row r="5" spans="1:7" x14ac:dyDescent="0.25">
      <c r="A5" t="s">
        <v>280</v>
      </c>
      <c r="B5" s="138">
        <v>100</v>
      </c>
      <c r="C5" s="138">
        <v>80</v>
      </c>
      <c r="D5" s="138">
        <v>65</v>
      </c>
      <c r="E5" s="138">
        <v>50</v>
      </c>
      <c r="F5" s="138">
        <v>120</v>
      </c>
      <c r="G5" s="138">
        <v>160</v>
      </c>
    </row>
    <row r="6" spans="1:7" x14ac:dyDescent="0.25">
      <c r="A6" t="s">
        <v>281</v>
      </c>
      <c r="B6" s="138">
        <v>80</v>
      </c>
      <c r="C6" s="138">
        <v>64</v>
      </c>
      <c r="D6" s="138">
        <v>52</v>
      </c>
      <c r="E6" s="138">
        <v>40</v>
      </c>
      <c r="F6" s="138">
        <v>96</v>
      </c>
      <c r="G6" s="138">
        <v>128</v>
      </c>
    </row>
    <row r="7" spans="1:7" x14ac:dyDescent="0.25">
      <c r="A7" t="s">
        <v>282</v>
      </c>
      <c r="B7" s="138">
        <v>70</v>
      </c>
      <c r="C7" s="138">
        <v>56</v>
      </c>
      <c r="D7" s="138" t="s">
        <v>283</v>
      </c>
      <c r="E7" s="138">
        <v>35</v>
      </c>
      <c r="F7" s="138">
        <v>84</v>
      </c>
      <c r="G7" s="138">
        <v>112</v>
      </c>
    </row>
    <row r="8" spans="1:7" x14ac:dyDescent="0.25">
      <c r="A8" t="s">
        <v>284</v>
      </c>
      <c r="B8" s="138">
        <v>60</v>
      </c>
      <c r="C8" s="138">
        <v>48</v>
      </c>
      <c r="D8" s="138">
        <v>39</v>
      </c>
      <c r="E8" s="138">
        <v>30</v>
      </c>
      <c r="F8" s="138">
        <v>72</v>
      </c>
      <c r="G8" s="138">
        <v>96</v>
      </c>
    </row>
    <row r="9" spans="1:7" x14ac:dyDescent="0.25">
      <c r="A9" t="s">
        <v>285</v>
      </c>
      <c r="B9" s="138">
        <v>50</v>
      </c>
      <c r="C9" s="138">
        <v>40</v>
      </c>
      <c r="D9" s="138" t="s">
        <v>286</v>
      </c>
      <c r="E9" s="138">
        <v>25</v>
      </c>
      <c r="F9" s="138">
        <v>60</v>
      </c>
      <c r="G9" s="138">
        <v>80</v>
      </c>
    </row>
    <row r="10" spans="1:7" x14ac:dyDescent="0.25">
      <c r="A10" t="s">
        <v>287</v>
      </c>
      <c r="B10" s="138">
        <v>45</v>
      </c>
      <c r="C10" s="138">
        <v>36</v>
      </c>
      <c r="D10" s="138" t="s">
        <v>277</v>
      </c>
      <c r="E10" s="138" t="s">
        <v>288</v>
      </c>
      <c r="F10" s="138">
        <v>54</v>
      </c>
      <c r="G10" s="138">
        <v>72</v>
      </c>
    </row>
    <row r="11" spans="1:7" x14ac:dyDescent="0.25">
      <c r="A11" t="s">
        <v>289</v>
      </c>
      <c r="B11" s="138">
        <v>40</v>
      </c>
      <c r="C11" s="138">
        <v>32</v>
      </c>
      <c r="D11" s="138">
        <v>26</v>
      </c>
      <c r="E11" s="138">
        <v>20</v>
      </c>
      <c r="F11" s="138">
        <v>48</v>
      </c>
      <c r="G11" s="138">
        <v>64</v>
      </c>
    </row>
    <row r="12" spans="1:7" x14ac:dyDescent="0.25">
      <c r="A12" t="s">
        <v>290</v>
      </c>
      <c r="B12" s="138">
        <v>35</v>
      </c>
      <c r="C12" s="138">
        <v>28</v>
      </c>
      <c r="D12" s="138" t="s">
        <v>291</v>
      </c>
      <c r="E12" s="138" t="s">
        <v>292</v>
      </c>
      <c r="F12" s="138">
        <v>42</v>
      </c>
      <c r="G12" s="138">
        <v>56</v>
      </c>
    </row>
    <row r="13" spans="1:7" x14ac:dyDescent="0.25">
      <c r="A13" t="s">
        <v>293</v>
      </c>
      <c r="B13" s="138">
        <v>30</v>
      </c>
      <c r="C13" s="138">
        <v>24</v>
      </c>
      <c r="D13" s="138" t="s">
        <v>294</v>
      </c>
      <c r="E13" s="138"/>
      <c r="F13" s="138">
        <v>36</v>
      </c>
      <c r="G13" s="138">
        <v>48</v>
      </c>
    </row>
    <row r="14" spans="1:7" x14ac:dyDescent="0.25">
      <c r="A14" t="s">
        <v>295</v>
      </c>
      <c r="B14" s="138">
        <v>26</v>
      </c>
      <c r="C14" s="138" t="s">
        <v>296</v>
      </c>
      <c r="D14" s="138" t="s">
        <v>297</v>
      </c>
      <c r="E14" s="138"/>
      <c r="F14" s="138" t="s">
        <v>298</v>
      </c>
      <c r="G14" s="138" t="s">
        <v>299</v>
      </c>
    </row>
    <row r="15" spans="1:7" x14ac:dyDescent="0.25">
      <c r="A15" t="s">
        <v>300</v>
      </c>
      <c r="B15" s="138">
        <v>22</v>
      </c>
      <c r="C15" s="138" t="s">
        <v>301</v>
      </c>
      <c r="D15" s="138" t="s">
        <v>302</v>
      </c>
      <c r="E15" s="138"/>
      <c r="F15" s="138" t="s">
        <v>303</v>
      </c>
      <c r="G15" s="138" t="s">
        <v>304</v>
      </c>
    </row>
    <row r="16" spans="1:7" x14ac:dyDescent="0.25">
      <c r="A16" t="s">
        <v>305</v>
      </c>
      <c r="B16" s="138">
        <v>20</v>
      </c>
      <c r="C16" s="138">
        <v>16</v>
      </c>
      <c r="D16" s="138">
        <v>13</v>
      </c>
      <c r="E16" s="138"/>
      <c r="F16" s="138">
        <v>24</v>
      </c>
      <c r="G16" s="138">
        <v>32</v>
      </c>
    </row>
    <row r="17" spans="1:7" x14ac:dyDescent="0.25">
      <c r="A17" t="s">
        <v>306</v>
      </c>
      <c r="B17" s="138">
        <v>18</v>
      </c>
      <c r="C17" s="138" t="s">
        <v>307</v>
      </c>
      <c r="D17" s="138" t="s">
        <v>308</v>
      </c>
      <c r="E17" s="138"/>
      <c r="F17" s="138" t="s">
        <v>309</v>
      </c>
      <c r="G17" s="138" t="s">
        <v>310</v>
      </c>
    </row>
    <row r="18" spans="1:7" x14ac:dyDescent="0.25">
      <c r="A18" t="s">
        <v>311</v>
      </c>
      <c r="B18" s="138">
        <v>16</v>
      </c>
      <c r="C18" s="138" t="s">
        <v>312</v>
      </c>
      <c r="D18" s="138"/>
      <c r="E18" s="138"/>
      <c r="F18" s="138" t="s">
        <v>313</v>
      </c>
      <c r="G18" s="138" t="s">
        <v>314</v>
      </c>
    </row>
    <row r="19" spans="1:7" x14ac:dyDescent="0.25">
      <c r="A19" t="s">
        <v>315</v>
      </c>
      <c r="B19" s="138">
        <v>14</v>
      </c>
      <c r="C19" s="138" t="s">
        <v>316</v>
      </c>
      <c r="D19" s="138"/>
      <c r="E19" s="138"/>
      <c r="F19" s="138" t="s">
        <v>317</v>
      </c>
      <c r="G19" s="138" t="s">
        <v>318</v>
      </c>
    </row>
    <row r="20" spans="1:7" x14ac:dyDescent="0.25">
      <c r="A20" t="s">
        <v>319</v>
      </c>
      <c r="B20" s="138">
        <v>13</v>
      </c>
      <c r="C20" s="138" t="s">
        <v>320</v>
      </c>
      <c r="D20" s="138"/>
      <c r="E20" s="138"/>
      <c r="F20" s="138" t="s">
        <v>321</v>
      </c>
      <c r="G20" s="138" t="s">
        <v>296</v>
      </c>
    </row>
    <row r="21" spans="1:7" x14ac:dyDescent="0.25">
      <c r="A21" t="s">
        <v>322</v>
      </c>
      <c r="B21" s="138">
        <v>12</v>
      </c>
      <c r="C21" s="138" t="s">
        <v>323</v>
      </c>
      <c r="D21" s="138"/>
      <c r="E21" s="138"/>
      <c r="F21" s="138" t="s">
        <v>307</v>
      </c>
      <c r="G21" s="138" t="s">
        <v>313</v>
      </c>
    </row>
    <row r="22" spans="1:7" x14ac:dyDescent="0.25">
      <c r="A22" t="s">
        <v>324</v>
      </c>
      <c r="B22" s="138">
        <v>11</v>
      </c>
      <c r="C22" s="138" t="s">
        <v>325</v>
      </c>
      <c r="D22" s="138"/>
      <c r="E22" s="138"/>
      <c r="F22" s="138" t="s">
        <v>326</v>
      </c>
      <c r="G22" s="138" t="s">
        <v>301</v>
      </c>
    </row>
    <row r="23" spans="1:7" x14ac:dyDescent="0.25">
      <c r="A23" t="s">
        <v>327</v>
      </c>
      <c r="B23" s="138" t="s">
        <v>328</v>
      </c>
      <c r="C23" s="138"/>
      <c r="D23" s="138"/>
      <c r="E23" s="138"/>
      <c r="F23" s="138" t="s">
        <v>329</v>
      </c>
      <c r="G23" s="138" t="s">
        <v>317</v>
      </c>
    </row>
    <row r="24" spans="1:7" x14ac:dyDescent="0.25">
      <c r="A24" t="s">
        <v>330</v>
      </c>
      <c r="B24" s="138">
        <v>10</v>
      </c>
      <c r="C24" s="138"/>
      <c r="D24" s="138"/>
      <c r="E24" s="138"/>
      <c r="F24" s="138">
        <v>12</v>
      </c>
      <c r="G24" s="138">
        <v>16</v>
      </c>
    </row>
    <row r="25" spans="1:7" x14ac:dyDescent="0.25">
      <c r="A25" t="s">
        <v>331</v>
      </c>
      <c r="B25" s="138" t="s">
        <v>332</v>
      </c>
      <c r="C25" s="138"/>
      <c r="D25" s="138"/>
      <c r="E25" s="138"/>
      <c r="F25" s="138" t="s">
        <v>333</v>
      </c>
      <c r="G25" s="138" t="s">
        <v>334</v>
      </c>
    </row>
    <row r="26" spans="1:7" x14ac:dyDescent="0.25">
      <c r="A26" t="s">
        <v>335</v>
      </c>
      <c r="B26" s="138">
        <v>9</v>
      </c>
      <c r="C26" s="138"/>
      <c r="D26" s="138"/>
      <c r="E26" s="138"/>
      <c r="F26" s="138" t="s">
        <v>336</v>
      </c>
      <c r="G26" s="138" t="s">
        <v>307</v>
      </c>
    </row>
    <row r="27" spans="1:7" x14ac:dyDescent="0.25">
      <c r="A27" t="s">
        <v>337</v>
      </c>
      <c r="B27" s="138" t="s">
        <v>338</v>
      </c>
      <c r="C27" s="138"/>
      <c r="D27" s="138"/>
      <c r="E27" s="138"/>
      <c r="F27" s="138" t="s">
        <v>339</v>
      </c>
      <c r="G27" s="138" t="s">
        <v>340</v>
      </c>
    </row>
    <row r="28" spans="1:7" x14ac:dyDescent="0.25">
      <c r="A28" t="s">
        <v>341</v>
      </c>
      <c r="B28" s="138">
        <v>8</v>
      </c>
      <c r="C28" s="138"/>
      <c r="D28" s="138"/>
      <c r="E28" s="138"/>
      <c r="F28" s="138" t="s">
        <v>323</v>
      </c>
      <c r="G28" s="138" t="s">
        <v>312</v>
      </c>
    </row>
    <row r="29" spans="1:7" x14ac:dyDescent="0.25">
      <c r="A29" t="s">
        <v>342</v>
      </c>
      <c r="B29" s="138" t="s">
        <v>343</v>
      </c>
      <c r="C29" s="138"/>
      <c r="D29" s="138"/>
      <c r="E29" s="138"/>
      <c r="F29" s="138" t="s">
        <v>344</v>
      </c>
      <c r="G29" s="138" t="s">
        <v>345</v>
      </c>
    </row>
    <row r="30" spans="1:7" x14ac:dyDescent="0.25">
      <c r="A30" t="s">
        <v>346</v>
      </c>
      <c r="B30" s="138" t="s">
        <v>347</v>
      </c>
      <c r="C30" s="138"/>
      <c r="D30" s="138"/>
      <c r="E30" s="138"/>
      <c r="F30" s="138">
        <v>9</v>
      </c>
      <c r="G30" s="138">
        <v>12</v>
      </c>
    </row>
    <row r="31" spans="1:7" x14ac:dyDescent="0.25">
      <c r="A31" t="s">
        <v>348</v>
      </c>
      <c r="B31" s="138" t="s">
        <v>349</v>
      </c>
      <c r="C31" s="138"/>
      <c r="D31" s="138"/>
      <c r="E31" s="138"/>
      <c r="F31" s="138" t="s">
        <v>350</v>
      </c>
      <c r="G31" s="138" t="s">
        <v>351</v>
      </c>
    </row>
    <row r="32" spans="1:7" x14ac:dyDescent="0.25">
      <c r="A32" t="s">
        <v>352</v>
      </c>
      <c r="B32" s="138">
        <v>7</v>
      </c>
      <c r="C32" s="138"/>
      <c r="D32" s="138"/>
      <c r="E32" s="138"/>
      <c r="F32" s="138" t="s">
        <v>353</v>
      </c>
      <c r="G32" s="138" t="s">
        <v>316</v>
      </c>
    </row>
    <row r="33" spans="1:7" x14ac:dyDescent="0.25">
      <c r="A33" t="s">
        <v>354</v>
      </c>
      <c r="B33" s="138" t="s">
        <v>355</v>
      </c>
      <c r="C33" s="138"/>
      <c r="D33" s="138"/>
      <c r="E33" s="138"/>
      <c r="F33" s="138" t="s">
        <v>356</v>
      </c>
      <c r="G33" s="138" t="s">
        <v>336</v>
      </c>
    </row>
    <row r="34" spans="1:7" x14ac:dyDescent="0.25">
      <c r="A34" t="s">
        <v>357</v>
      </c>
      <c r="B34" s="138" t="s">
        <v>358</v>
      </c>
      <c r="C34" s="138"/>
      <c r="D34" s="138"/>
      <c r="E34" s="138"/>
      <c r="F34" s="138" t="s">
        <v>359</v>
      </c>
      <c r="G34" s="138" t="s">
        <v>320</v>
      </c>
    </row>
    <row r="35" spans="1:7" x14ac:dyDescent="0.25">
      <c r="A35" t="s">
        <v>360</v>
      </c>
      <c r="B35" s="138" t="s">
        <v>361</v>
      </c>
      <c r="C35" s="138"/>
      <c r="D35" s="138"/>
      <c r="E35" s="138"/>
      <c r="F35" s="138" t="s">
        <v>347</v>
      </c>
      <c r="G35" s="138">
        <v>10</v>
      </c>
    </row>
    <row r="36" spans="1:7" x14ac:dyDescent="0.25">
      <c r="A36" t="s">
        <v>362</v>
      </c>
      <c r="B36" s="138">
        <v>6</v>
      </c>
      <c r="C36" s="138"/>
      <c r="D36" s="138"/>
      <c r="E36" s="138"/>
      <c r="F36" s="138" t="s">
        <v>363</v>
      </c>
      <c r="G36" s="138" t="s">
        <v>323</v>
      </c>
    </row>
    <row r="37" spans="1:7" x14ac:dyDescent="0.25">
      <c r="A37" t="s">
        <v>364</v>
      </c>
      <c r="B37" s="138" t="s">
        <v>365</v>
      </c>
      <c r="C37" s="138"/>
      <c r="D37" s="138"/>
      <c r="E37" s="138"/>
      <c r="F37" s="138" t="s">
        <v>366</v>
      </c>
      <c r="G37" s="138" t="s">
        <v>367</v>
      </c>
    </row>
    <row r="38" spans="1:7" x14ac:dyDescent="0.25">
      <c r="A38" t="s">
        <v>368</v>
      </c>
      <c r="B38" s="138" t="s">
        <v>369</v>
      </c>
      <c r="C38" s="138"/>
      <c r="D38" s="138"/>
      <c r="E38" s="138"/>
      <c r="F38" s="138" t="s">
        <v>370</v>
      </c>
      <c r="G38" s="138" t="s">
        <v>325</v>
      </c>
    </row>
    <row r="39" spans="1:7" x14ac:dyDescent="0.25">
      <c r="A39" t="s">
        <v>371</v>
      </c>
      <c r="B39" s="138" t="s">
        <v>372</v>
      </c>
      <c r="C39" s="138"/>
      <c r="D39" s="138"/>
      <c r="E39" s="138"/>
      <c r="F39" s="138" t="s">
        <v>373</v>
      </c>
      <c r="G39" s="138" t="s">
        <v>353</v>
      </c>
    </row>
    <row r="40" spans="1:7" x14ac:dyDescent="0.25">
      <c r="A40" t="s">
        <v>374</v>
      </c>
      <c r="B40" s="138">
        <v>5</v>
      </c>
      <c r="C40" s="138"/>
      <c r="D40" s="138"/>
      <c r="E40" s="138"/>
      <c r="F40" s="138">
        <v>6</v>
      </c>
      <c r="G40" s="138">
        <v>8</v>
      </c>
    </row>
    <row r="41" spans="1:7" x14ac:dyDescent="0.25">
      <c r="A41" t="s">
        <v>375</v>
      </c>
      <c r="B41" s="138" t="s">
        <v>376</v>
      </c>
      <c r="C41" s="138"/>
      <c r="D41" s="138"/>
      <c r="E41" s="138"/>
      <c r="F41" s="138" t="s">
        <v>377</v>
      </c>
      <c r="G41" s="138" t="s">
        <v>378</v>
      </c>
    </row>
    <row r="42" spans="1:7" x14ac:dyDescent="0.25">
      <c r="A42" t="s">
        <v>379</v>
      </c>
      <c r="B42" s="138" t="s">
        <v>380</v>
      </c>
      <c r="C42" s="138"/>
      <c r="D42" s="138"/>
      <c r="E42" s="138"/>
      <c r="F42" s="138" t="s">
        <v>381</v>
      </c>
      <c r="G42" s="138" t="s">
        <v>363</v>
      </c>
    </row>
    <row r="43" spans="1:7" x14ac:dyDescent="0.25">
      <c r="A43" t="s">
        <v>382</v>
      </c>
      <c r="B43" s="138" t="s">
        <v>383</v>
      </c>
      <c r="C43" s="138"/>
      <c r="D43" s="138"/>
      <c r="E43" s="138"/>
      <c r="F43" s="138" t="s">
        <v>384</v>
      </c>
      <c r="G43" s="138" t="s">
        <v>385</v>
      </c>
    </row>
    <row r="44" spans="1:7" x14ac:dyDescent="0.25">
      <c r="A44" t="s">
        <v>386</v>
      </c>
      <c r="B44" s="138">
        <v>4</v>
      </c>
      <c r="C44" s="138"/>
      <c r="D44" s="138"/>
      <c r="E44" s="138"/>
      <c r="F44" s="138" t="s">
        <v>387</v>
      </c>
      <c r="G44" s="138" t="s">
        <v>388</v>
      </c>
    </row>
    <row r="45" spans="1:7" x14ac:dyDescent="0.25">
      <c r="A45" t="s">
        <v>389</v>
      </c>
      <c r="B45" s="138" t="s">
        <v>390</v>
      </c>
      <c r="C45" s="138"/>
      <c r="D45" s="138"/>
      <c r="E45" s="138"/>
      <c r="F45" s="138" t="s">
        <v>380</v>
      </c>
      <c r="G45" s="138">
        <v>6</v>
      </c>
    </row>
    <row r="46" spans="1:7" x14ac:dyDescent="0.25">
      <c r="A46" t="s">
        <v>391</v>
      </c>
      <c r="B46" s="138" t="s">
        <v>392</v>
      </c>
      <c r="C46" s="138"/>
      <c r="D46" s="138"/>
      <c r="E46" s="138"/>
      <c r="F46" s="138" t="s">
        <v>393</v>
      </c>
      <c r="G46" s="138" t="s">
        <v>394</v>
      </c>
    </row>
    <row r="47" spans="1:7" x14ac:dyDescent="0.25">
      <c r="A47" t="s">
        <v>395</v>
      </c>
      <c r="B47" s="138" t="s">
        <v>396</v>
      </c>
      <c r="C47" s="138"/>
      <c r="D47" s="138"/>
      <c r="E47" s="138"/>
      <c r="F47" s="138" t="s">
        <v>397</v>
      </c>
      <c r="G47" s="138" t="s">
        <v>398</v>
      </c>
    </row>
    <row r="48" spans="1:7" x14ac:dyDescent="0.25">
      <c r="A48" t="s">
        <v>399</v>
      </c>
      <c r="B48" s="138">
        <v>3</v>
      </c>
      <c r="C48" s="138"/>
      <c r="D48" s="138"/>
      <c r="E48" s="138"/>
      <c r="F48" s="138" t="s">
        <v>400</v>
      </c>
      <c r="G48" s="138" t="s">
        <v>387</v>
      </c>
    </row>
    <row r="49" spans="1:7" x14ac:dyDescent="0.25">
      <c r="A49" t="s">
        <v>401</v>
      </c>
      <c r="B49" s="138" t="s">
        <v>402</v>
      </c>
      <c r="C49" s="138"/>
      <c r="D49" s="138"/>
      <c r="E49" s="138"/>
      <c r="F49" s="138" t="s">
        <v>403</v>
      </c>
      <c r="G49" s="138" t="s">
        <v>404</v>
      </c>
    </row>
    <row r="50" spans="1:7" x14ac:dyDescent="0.25">
      <c r="A50" t="s">
        <v>405</v>
      </c>
      <c r="B50" s="138" t="s">
        <v>406</v>
      </c>
      <c r="C50" s="138"/>
      <c r="D50" s="138"/>
      <c r="E50" s="138"/>
      <c r="F50" s="138">
        <v>3</v>
      </c>
      <c r="G50" s="138">
        <v>4</v>
      </c>
    </row>
    <row r="51" spans="1:7" x14ac:dyDescent="0.25">
      <c r="A51" t="s">
        <v>407</v>
      </c>
      <c r="B51" s="138" t="s">
        <v>408</v>
      </c>
      <c r="C51" s="138"/>
      <c r="D51" s="138"/>
      <c r="E51" s="138"/>
      <c r="F51" s="138" t="s">
        <v>409</v>
      </c>
      <c r="G51" s="138" t="s">
        <v>400</v>
      </c>
    </row>
    <row r="52" spans="1:7" x14ac:dyDescent="0.25">
      <c r="A52" t="s">
        <v>410</v>
      </c>
      <c r="B52" s="138">
        <v>2</v>
      </c>
      <c r="C52" s="138"/>
      <c r="D52" s="138"/>
      <c r="E52" s="138"/>
      <c r="F52" s="138" t="s">
        <v>411</v>
      </c>
      <c r="G52" s="138" t="s">
        <v>412</v>
      </c>
    </row>
    <row r="53" spans="1:7" x14ac:dyDescent="0.25">
      <c r="A53" t="s">
        <v>413</v>
      </c>
      <c r="B53" s="138" t="s">
        <v>414</v>
      </c>
      <c r="C53" s="138"/>
      <c r="D53" s="138"/>
      <c r="E53" s="138"/>
      <c r="F53" s="138" t="s">
        <v>415</v>
      </c>
      <c r="G53" s="138" t="s">
        <v>416</v>
      </c>
    </row>
    <row r="54" spans="1:7" x14ac:dyDescent="0.25">
      <c r="A54" t="s">
        <v>417</v>
      </c>
      <c r="B54" s="138" t="s">
        <v>418</v>
      </c>
      <c r="C54" s="138"/>
      <c r="D54" s="138"/>
      <c r="E54" s="138"/>
      <c r="F54" s="138" t="s">
        <v>419</v>
      </c>
      <c r="G54" s="138" t="s">
        <v>420</v>
      </c>
    </row>
    <row r="55" spans="1:7" x14ac:dyDescent="0.25">
      <c r="A55" t="s">
        <v>421</v>
      </c>
      <c r="B55" s="138" t="s">
        <v>422</v>
      </c>
      <c r="C55" s="138"/>
      <c r="D55" s="138"/>
      <c r="E55" s="138"/>
      <c r="F55" s="138" t="s">
        <v>423</v>
      </c>
      <c r="G55" s="138" t="s">
        <v>424</v>
      </c>
    </row>
    <row r="56" spans="1:7" x14ac:dyDescent="0.25">
      <c r="A56" t="s">
        <v>425</v>
      </c>
      <c r="B56" s="138" t="s">
        <v>426</v>
      </c>
      <c r="C56" s="138"/>
      <c r="D56" s="138"/>
      <c r="E56" s="138"/>
      <c r="F56" s="138" t="s">
        <v>427</v>
      </c>
      <c r="G56" s="138" t="s">
        <v>428</v>
      </c>
    </row>
    <row r="57" spans="1:7" x14ac:dyDescent="0.25">
      <c r="A57" t="s">
        <v>429</v>
      </c>
      <c r="B57" s="138" t="s">
        <v>430</v>
      </c>
      <c r="C57" s="138"/>
      <c r="D57" s="138"/>
      <c r="E57" s="138"/>
      <c r="F57" s="138" t="s">
        <v>418</v>
      </c>
      <c r="G57" s="138" t="s">
        <v>411</v>
      </c>
    </row>
    <row r="58" spans="1:7" x14ac:dyDescent="0.25">
      <c r="A58" t="s">
        <v>431</v>
      </c>
      <c r="B58" s="138" t="s">
        <v>432</v>
      </c>
      <c r="C58" s="138"/>
      <c r="D58" s="138"/>
      <c r="E58" s="138"/>
      <c r="F58" s="138" t="s">
        <v>433</v>
      </c>
      <c r="G58" s="138" t="s">
        <v>434</v>
      </c>
    </row>
    <row r="59" spans="1:7" x14ac:dyDescent="0.25">
      <c r="A59" t="s">
        <v>435</v>
      </c>
      <c r="B59" s="138" t="s">
        <v>436</v>
      </c>
      <c r="C59" s="138"/>
      <c r="D59" s="138"/>
      <c r="E59" s="138"/>
      <c r="F59" s="138" t="s">
        <v>437</v>
      </c>
      <c r="G59" s="138" t="s">
        <v>438</v>
      </c>
    </row>
    <row r="60" spans="1:7" x14ac:dyDescent="0.25">
      <c r="A60" t="s">
        <v>439</v>
      </c>
      <c r="B60" s="138" t="s">
        <v>440</v>
      </c>
      <c r="C60" s="138"/>
      <c r="D60" s="138"/>
      <c r="E60" s="138"/>
      <c r="F60" s="138" t="s">
        <v>441</v>
      </c>
      <c r="G60" s="138" t="s">
        <v>427</v>
      </c>
    </row>
    <row r="61" spans="1:7" x14ac:dyDescent="0.25">
      <c r="A61" t="s">
        <v>442</v>
      </c>
      <c r="B61" s="138" t="s">
        <v>443</v>
      </c>
      <c r="C61" s="138"/>
      <c r="D61" s="138"/>
      <c r="E61" s="138"/>
      <c r="F61" s="138" t="s">
        <v>444</v>
      </c>
      <c r="G61" s="138" t="s">
        <v>445</v>
      </c>
    </row>
    <row r="62" spans="1:7" x14ac:dyDescent="0.25">
      <c r="A62" t="s">
        <v>446</v>
      </c>
      <c r="B62" s="138">
        <v>1</v>
      </c>
      <c r="C62" s="138"/>
      <c r="D62" s="138"/>
      <c r="E62" s="138"/>
      <c r="F62" s="138" t="s">
        <v>440</v>
      </c>
      <c r="G62" s="138" t="s">
        <v>426</v>
      </c>
    </row>
    <row r="63" spans="1:7" x14ac:dyDescent="0.25">
      <c r="A63" t="s">
        <v>447</v>
      </c>
      <c r="B63" s="138" t="s">
        <v>448</v>
      </c>
      <c r="C63" s="138"/>
      <c r="D63" s="138"/>
      <c r="E63" s="138"/>
      <c r="F63" s="138" t="s">
        <v>449</v>
      </c>
      <c r="G63" s="138" t="s">
        <v>450</v>
      </c>
    </row>
    <row r="64" spans="1:7" x14ac:dyDescent="0.25">
      <c r="A64" t="s">
        <v>451</v>
      </c>
      <c r="B64" s="138" t="s">
        <v>452</v>
      </c>
      <c r="C64" s="138"/>
      <c r="D64" s="138"/>
      <c r="E64" s="138"/>
      <c r="F64" s="138" t="s">
        <v>453</v>
      </c>
      <c r="G64" s="138" t="s">
        <v>454</v>
      </c>
    </row>
    <row r="65" spans="1:7" x14ac:dyDescent="0.25">
      <c r="A65" t="s">
        <v>455</v>
      </c>
      <c r="B65" s="138" t="s">
        <v>456</v>
      </c>
      <c r="C65" s="138"/>
      <c r="D65" s="138"/>
      <c r="E65" s="138"/>
      <c r="F65" s="138" t="s">
        <v>457</v>
      </c>
      <c r="G65" s="138" t="s">
        <v>458</v>
      </c>
    </row>
    <row r="66" spans="1:7" x14ac:dyDescent="0.25">
      <c r="A66" t="s">
        <v>459</v>
      </c>
      <c r="B66" s="138" t="s">
        <v>460</v>
      </c>
      <c r="C66" s="138"/>
      <c r="D66" s="138"/>
      <c r="E66" s="138"/>
      <c r="F66" s="138" t="s">
        <v>461</v>
      </c>
      <c r="G66" s="138" t="s">
        <v>462</v>
      </c>
    </row>
    <row r="67" spans="1:7" x14ac:dyDescent="0.25">
      <c r="A67" t="s">
        <v>463</v>
      </c>
      <c r="B67" s="138" t="s">
        <v>464</v>
      </c>
      <c r="C67" s="138"/>
      <c r="D67" s="138"/>
      <c r="E67" s="138"/>
      <c r="F67" s="138" t="s">
        <v>465</v>
      </c>
      <c r="G67" s="138">
        <v>1</v>
      </c>
    </row>
  </sheetData>
  <phoneticPr fontId="18" type="noConversion"/>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V439"/>
  <sheetViews>
    <sheetView view="pageLayout" zoomScaleNormal="100" workbookViewId="0">
      <selection activeCell="F7" sqref="F7"/>
    </sheetView>
  </sheetViews>
  <sheetFormatPr defaultRowHeight="15" x14ac:dyDescent="0.25"/>
  <cols>
    <col min="1" max="1" width="4.140625" customWidth="1"/>
    <col min="2" max="4" width="16.42578125" customWidth="1"/>
    <col min="5" max="5" width="9" customWidth="1"/>
    <col min="6" max="256" width="11.42578125" customWidth="1"/>
  </cols>
  <sheetData>
    <row r="1" spans="1:22" s="5" customFormat="1" ht="20.100000000000001" customHeight="1" thickBot="1" x14ac:dyDescent="0.3">
      <c r="A1" s="48" t="s">
        <v>9</v>
      </c>
      <c r="B1" s="46" t="s">
        <v>10</v>
      </c>
      <c r="C1" s="46" t="s">
        <v>11</v>
      </c>
      <c r="D1" s="47" t="s">
        <v>15</v>
      </c>
      <c r="E1" s="47" t="s">
        <v>170</v>
      </c>
      <c r="F1" s="50"/>
      <c r="G1" s="50"/>
      <c r="H1" s="13"/>
      <c r="I1" s="13"/>
      <c r="J1" s="13"/>
      <c r="K1" s="13"/>
      <c r="L1" s="13"/>
      <c r="M1" s="13"/>
      <c r="N1" s="13"/>
      <c r="O1" s="13"/>
      <c r="P1" s="13"/>
      <c r="Q1" s="13"/>
      <c r="R1" s="13"/>
      <c r="S1" s="13"/>
      <c r="T1" s="13"/>
      <c r="U1" s="13"/>
      <c r="V1" s="13"/>
    </row>
    <row r="2" spans="1:22" s="5" customFormat="1" ht="20.100000000000001" customHeight="1" x14ac:dyDescent="0.25">
      <c r="A2" s="35">
        <v>1</v>
      </c>
      <c r="B2" s="88"/>
      <c r="C2" s="88"/>
      <c r="D2" s="89"/>
      <c r="E2" s="89" t="e">
        <f>SUM((VLOOKUP(B2, Rankings!C:E,3,FALSE)),(VLOOKUP(C2, Rankings!C:E,3,FALSE)),(VLOOKUP(D2, Rankings!C:E,3,FALSE)))</f>
        <v>#N/A</v>
      </c>
      <c r="F2" s="13"/>
      <c r="G2" s="13"/>
      <c r="H2" s="13"/>
      <c r="I2"/>
      <c r="J2" s="13"/>
      <c r="K2" s="13"/>
      <c r="L2" s="13"/>
      <c r="M2" s="13"/>
      <c r="N2" s="13"/>
      <c r="O2" s="13"/>
      <c r="P2" s="13"/>
      <c r="Q2" s="13"/>
      <c r="R2" s="13"/>
      <c r="S2" s="13"/>
      <c r="T2" s="13"/>
      <c r="U2" s="13"/>
      <c r="V2" s="13"/>
    </row>
    <row r="3" spans="1:22" s="5" customFormat="1" ht="20.100000000000001" customHeight="1" x14ac:dyDescent="0.25">
      <c r="A3" s="36">
        <v>2</v>
      </c>
      <c r="B3" s="90"/>
      <c r="C3" s="90"/>
      <c r="D3" s="89"/>
      <c r="E3" s="89" t="e">
        <f>SUM((VLOOKUP(B3, Rankings!C:E,3,FALSE)),(VLOOKUP(C3, Rankings!C:E,3,FALSE)),(VLOOKUP(D3, Rankings!C:E,3,FALSE)))</f>
        <v>#N/A</v>
      </c>
      <c r="F3" s="159"/>
      <c r="G3" s="159"/>
      <c r="H3" s="13"/>
      <c r="I3" s="13"/>
      <c r="J3" s="13"/>
      <c r="K3" s="13"/>
      <c r="L3" s="13"/>
      <c r="M3"/>
      <c r="N3"/>
      <c r="O3" s="160"/>
      <c r="P3" s="13"/>
      <c r="Q3" s="13"/>
      <c r="R3" s="13"/>
      <c r="S3" s="13"/>
      <c r="T3" s="13"/>
      <c r="U3" s="13"/>
      <c r="V3" s="13"/>
    </row>
    <row r="4" spans="1:22" s="5" customFormat="1" ht="20.100000000000001" customHeight="1" x14ac:dyDescent="0.25">
      <c r="A4" s="36">
        <v>3</v>
      </c>
      <c r="B4" s="90"/>
      <c r="C4" s="90"/>
      <c r="D4" s="89"/>
      <c r="E4" s="89" t="e">
        <f>SUM((VLOOKUP(B4, Rankings!C:E,3,FALSE)),(VLOOKUP(C4, Rankings!C:E,3,FALSE)),(VLOOKUP(D4, Rankings!C:E,3,FALSE)))</f>
        <v>#N/A</v>
      </c>
      <c r="F4" s="159"/>
      <c r="G4" s="159"/>
      <c r="H4" s="159"/>
      <c r="I4" s="13"/>
      <c r="J4" s="13"/>
      <c r="K4" s="13"/>
      <c r="L4" s="13"/>
      <c r="M4"/>
      <c r="N4"/>
      <c r="O4" s="160"/>
      <c r="P4" s="13"/>
      <c r="Q4" s="13"/>
      <c r="R4" s="13"/>
      <c r="S4" s="13"/>
      <c r="T4" s="13"/>
      <c r="U4" s="13"/>
      <c r="V4" s="13"/>
    </row>
    <row r="5" spans="1:22" s="5" customFormat="1" ht="20.100000000000001" customHeight="1" x14ac:dyDescent="0.25">
      <c r="A5" s="36">
        <v>4</v>
      </c>
      <c r="B5" s="90"/>
      <c r="C5" s="90"/>
      <c r="D5" s="89"/>
      <c r="E5" s="89" t="e">
        <f>SUM((VLOOKUP(B5, Rankings!C:E,3,FALSE)),(VLOOKUP(C5, Rankings!C:E,3,FALSE)),(VLOOKUP(D5, Rankings!C:E,3,FALSE)))</f>
        <v>#N/A</v>
      </c>
      <c r="F5" s="13"/>
      <c r="G5" s="13"/>
      <c r="H5" s="13"/>
      <c r="I5" s="13"/>
      <c r="J5" s="13"/>
      <c r="K5" s="13"/>
      <c r="L5" s="13"/>
      <c r="M5"/>
      <c r="N5"/>
      <c r="O5" s="160"/>
      <c r="P5" s="13"/>
      <c r="Q5" s="13"/>
      <c r="R5" s="13"/>
      <c r="S5" s="13"/>
      <c r="T5" s="13"/>
      <c r="U5" s="13"/>
      <c r="V5" s="13"/>
    </row>
    <row r="6" spans="1:22" s="5" customFormat="1" ht="20.100000000000001" customHeight="1" x14ac:dyDescent="0.25">
      <c r="A6" s="36">
        <v>5</v>
      </c>
      <c r="B6" s="90"/>
      <c r="C6" s="90"/>
      <c r="D6" s="89"/>
      <c r="E6" s="89" t="e">
        <f>SUM((VLOOKUP(B6, Rankings!C:E,3,FALSE)),(VLOOKUP(C6, Rankings!C:E,3,FALSE)),(VLOOKUP(D6, Rankings!C:E,3,FALSE)))</f>
        <v>#N/A</v>
      </c>
      <c r="F6" s="13"/>
      <c r="G6" s="13"/>
      <c r="H6" s="13"/>
      <c r="I6" s="13"/>
      <c r="J6" s="13"/>
      <c r="K6" s="13"/>
      <c r="L6" s="13"/>
      <c r="M6"/>
      <c r="N6"/>
      <c r="O6" s="160"/>
      <c r="P6" s="13"/>
      <c r="Q6" s="13"/>
      <c r="R6" s="13"/>
      <c r="S6" s="13"/>
      <c r="T6" s="13"/>
      <c r="U6" s="13"/>
      <c r="V6" s="13"/>
    </row>
    <row r="7" spans="1:22" s="5" customFormat="1" ht="20.100000000000001" customHeight="1" x14ac:dyDescent="0.25">
      <c r="A7" s="36">
        <v>6</v>
      </c>
      <c r="B7" s="90"/>
      <c r="C7" s="90"/>
      <c r="D7" s="89"/>
      <c r="E7" s="89" t="e">
        <f>SUM((VLOOKUP(B7, Rankings!C:E,3,FALSE)),(VLOOKUP(C7, Rankings!C:E,3,FALSE)),(VLOOKUP(D7, Rankings!C:E,3,FALSE)))</f>
        <v>#N/A</v>
      </c>
      <c r="F7" s="13"/>
      <c r="G7" s="13"/>
      <c r="H7" s="13"/>
      <c r="I7" s="13"/>
      <c r="J7" s="13"/>
      <c r="K7" s="13"/>
      <c r="L7" s="13"/>
      <c r="M7"/>
      <c r="N7"/>
      <c r="O7" s="160"/>
      <c r="P7" s="13"/>
      <c r="Q7" s="13"/>
      <c r="R7" s="13"/>
      <c r="S7" s="13"/>
      <c r="T7" s="13"/>
      <c r="U7" s="13"/>
      <c r="V7" s="13"/>
    </row>
    <row r="8" spans="1:22" s="5" customFormat="1" ht="20.100000000000001" customHeight="1" x14ac:dyDescent="0.25">
      <c r="A8" s="36">
        <v>7</v>
      </c>
      <c r="B8" s="90"/>
      <c r="C8" s="90"/>
      <c r="D8" s="89"/>
      <c r="E8" s="89" t="e">
        <f>SUM((VLOOKUP(B8, Rankings!C:E,3,FALSE)),(VLOOKUP(C8, Rankings!C:E,3,FALSE)),(VLOOKUP(D8, Rankings!C:E,3,FALSE)))</f>
        <v>#N/A</v>
      </c>
      <c r="F8" s="13"/>
      <c r="G8" s="13"/>
      <c r="H8" s="13"/>
      <c r="I8" s="13"/>
      <c r="J8" s="13"/>
      <c r="K8" s="13"/>
      <c r="L8" s="13"/>
      <c r="M8"/>
      <c r="N8"/>
      <c r="O8" s="160"/>
      <c r="P8" s="13"/>
      <c r="Q8" s="13"/>
      <c r="R8" s="13"/>
      <c r="S8" s="13"/>
      <c r="T8" s="13"/>
      <c r="U8" s="13"/>
      <c r="V8" s="13"/>
    </row>
    <row r="9" spans="1:22" s="5" customFormat="1" ht="20.100000000000001" customHeight="1" x14ac:dyDescent="0.25">
      <c r="A9" s="36">
        <v>8</v>
      </c>
      <c r="B9" s="90"/>
      <c r="C9" s="90"/>
      <c r="D9" s="89"/>
      <c r="E9" s="89" t="e">
        <f>SUM((VLOOKUP(B9, Rankings!C:E,3,FALSE)),(VLOOKUP(C9, Rankings!C:E,3,FALSE)),(VLOOKUP(D9, Rankings!C:E,3,FALSE)))</f>
        <v>#N/A</v>
      </c>
      <c r="F9" s="13"/>
      <c r="G9" s="13"/>
      <c r="H9" s="13"/>
      <c r="I9" s="13"/>
      <c r="J9" s="13"/>
      <c r="K9" s="13"/>
      <c r="L9" s="13"/>
      <c r="M9"/>
      <c r="N9"/>
      <c r="O9" s="160"/>
      <c r="P9" s="13"/>
      <c r="Q9" s="13"/>
      <c r="R9" s="13"/>
      <c r="S9" s="13"/>
      <c r="T9" s="13"/>
      <c r="U9" s="13"/>
      <c r="V9" s="13"/>
    </row>
    <row r="10" spans="1:22" s="5" customFormat="1" ht="19.5" customHeight="1" x14ac:dyDescent="0.25">
      <c r="A10" s="36">
        <v>9</v>
      </c>
      <c r="B10" s="90"/>
      <c r="C10" s="90"/>
      <c r="D10" s="89"/>
      <c r="E10" s="89" t="e">
        <f>SUM((VLOOKUP(B10, Rankings!C:E,3,FALSE)),(VLOOKUP(C10, Rankings!C:E,3,FALSE)),(VLOOKUP(D10, Rankings!C:E,3,FALSE)))</f>
        <v>#N/A</v>
      </c>
      <c r="F10" s="13"/>
      <c r="G10" s="13"/>
      <c r="H10" s="13"/>
      <c r="I10" s="13"/>
      <c r="J10" s="13"/>
      <c r="K10" s="13"/>
      <c r="L10" s="13"/>
      <c r="M10"/>
      <c r="N10"/>
      <c r="O10" s="160"/>
      <c r="P10" s="13"/>
      <c r="Q10" s="13"/>
      <c r="R10" s="13"/>
      <c r="S10" s="13"/>
      <c r="T10" s="13"/>
      <c r="U10" s="13"/>
      <c r="V10" s="13"/>
    </row>
    <row r="11" spans="1:22" s="5" customFormat="1" ht="19.5" customHeight="1" x14ac:dyDescent="0.25">
      <c r="A11" s="36">
        <v>10</v>
      </c>
      <c r="B11" s="90"/>
      <c r="C11" s="90"/>
      <c r="D11" s="89"/>
      <c r="E11" s="89" t="e">
        <f>SUM((VLOOKUP(B11, Rankings!C:E,3,FALSE)),(VLOOKUP(C11, Rankings!C:E,3,FALSE)),(VLOOKUP(D11, Rankings!C:E,3,FALSE)))</f>
        <v>#N/A</v>
      </c>
      <c r="F11" s="13"/>
      <c r="G11" s="13"/>
      <c r="H11" s="13"/>
      <c r="I11" s="13"/>
      <c r="J11" s="13"/>
      <c r="K11" s="13"/>
      <c r="L11" s="13"/>
      <c r="M11"/>
      <c r="N11"/>
      <c r="O11" s="160"/>
      <c r="P11" s="13"/>
      <c r="Q11" s="13"/>
      <c r="R11" s="13"/>
      <c r="S11" s="13"/>
      <c r="T11" s="13"/>
      <c r="U11" s="13"/>
      <c r="V11" s="13"/>
    </row>
    <row r="12" spans="1:22" s="5" customFormat="1" ht="16.5" hidden="1" customHeight="1" x14ac:dyDescent="0.25">
      <c r="A12" s="13"/>
      <c r="B12" t="e">
        <f>Competitors!#REF!</f>
        <v>#REF!</v>
      </c>
      <c r="C12" t="e">
        <f>Competitors!#REF!</f>
        <v>#REF!</v>
      </c>
      <c r="D12" s="13" t="e">
        <f>Competitors!#REF!</f>
        <v>#REF!</v>
      </c>
      <c r="E12" s="13" t="e">
        <f>SUM((VLOOKUP(B12, Rankings!C:E,3,FALSE)),(VLOOKUP(C12, Rankings!C:E,3,FALSE)),(VLOOKUP(D12, Rankings!C:E,3,FALSE)))</f>
        <v>#REF!</v>
      </c>
      <c r="F12" s="13"/>
      <c r="G12" s="13"/>
      <c r="H12" s="13"/>
      <c r="I12" s="13"/>
      <c r="J12" s="13"/>
      <c r="K12" s="13"/>
      <c r="L12" s="13"/>
      <c r="M12"/>
      <c r="N12"/>
      <c r="O12" s="138"/>
      <c r="P12" s="13"/>
      <c r="Q12" s="13"/>
      <c r="R12" s="13"/>
      <c r="S12" s="13"/>
      <c r="T12" s="13"/>
      <c r="U12" s="13"/>
      <c r="V12" s="13"/>
    </row>
    <row r="13" spans="1:22" s="5" customFormat="1" ht="16.5" hidden="1" customHeight="1" x14ac:dyDescent="0.25">
      <c r="A13" s="13"/>
      <c r="B13" t="e">
        <f>Competitors!#REF!</f>
        <v>#REF!</v>
      </c>
      <c r="C13" t="e">
        <f>Competitors!#REF!</f>
        <v>#REF!</v>
      </c>
      <c r="D13" s="13" t="e">
        <f>Competitors!#REF!</f>
        <v>#REF!</v>
      </c>
      <c r="E13" s="13" t="e">
        <f>SUM((VLOOKUP(B13, Rankings!C:E,3,FALSE)),(VLOOKUP(C13, Rankings!C:E,3,FALSE)),(VLOOKUP(D13, Rankings!C:E,3,FALSE)))</f>
        <v>#REF!</v>
      </c>
      <c r="F13" s="13"/>
      <c r="G13" s="13"/>
      <c r="H13" s="13"/>
      <c r="I13" s="13"/>
      <c r="J13" s="13"/>
      <c r="K13" s="13"/>
      <c r="L13" s="13"/>
      <c r="M13"/>
      <c r="N13"/>
      <c r="O13" s="138"/>
      <c r="P13" s="13"/>
      <c r="Q13" s="13"/>
      <c r="R13" s="13"/>
      <c r="S13" s="13"/>
      <c r="T13" s="13"/>
      <c r="U13" s="13"/>
      <c r="V13" s="13"/>
    </row>
    <row r="14" spans="1:22" s="5" customFormat="1" ht="16.5" hidden="1" customHeight="1" x14ac:dyDescent="0.25">
      <c r="A14" s="13"/>
      <c r="B14" t="e">
        <f>Competitors!#REF!</f>
        <v>#REF!</v>
      </c>
      <c r="C14" t="e">
        <f>Competitors!#REF!</f>
        <v>#REF!</v>
      </c>
      <c r="D14" s="13" t="e">
        <f>Competitors!#REF!</f>
        <v>#REF!</v>
      </c>
      <c r="E14" s="13" t="e">
        <f>SUM((VLOOKUP(B14, Rankings!C:E,3,FALSE)),(VLOOKUP(C14, Rankings!C:E,3,FALSE)),(VLOOKUP(D14, Rankings!C:E,3,FALSE)))</f>
        <v>#REF!</v>
      </c>
      <c r="F14" s="13"/>
      <c r="G14" s="13"/>
      <c r="H14" s="13"/>
      <c r="I14" s="13"/>
      <c r="J14" s="13"/>
      <c r="K14" s="13"/>
      <c r="L14" s="13"/>
      <c r="M14"/>
      <c r="N14"/>
      <c r="O14" s="138"/>
      <c r="P14" s="13"/>
      <c r="Q14" s="13"/>
      <c r="R14" s="13"/>
      <c r="S14" s="13"/>
      <c r="T14" s="13"/>
      <c r="U14" s="13"/>
      <c r="V14" s="13"/>
    </row>
    <row r="15" spans="1:22" s="5" customFormat="1" ht="16.5" hidden="1" customHeight="1" x14ac:dyDescent="0.25">
      <c r="A15" s="13"/>
      <c r="B15" t="e">
        <f>Competitors!#REF!</f>
        <v>#REF!</v>
      </c>
      <c r="C15" t="e">
        <f>Competitors!#REF!</f>
        <v>#REF!</v>
      </c>
      <c r="D15" s="13" t="e">
        <f>Competitors!#REF!</f>
        <v>#REF!</v>
      </c>
      <c r="E15" s="13" t="e">
        <f>SUM((VLOOKUP(B15, Rankings!C:E,3,FALSE)),(VLOOKUP(C15, Rankings!C:E,3,FALSE)),(VLOOKUP(D15, Rankings!C:E,3,FALSE)))</f>
        <v>#REF!</v>
      </c>
      <c r="F15" s="13"/>
      <c r="G15" s="13"/>
      <c r="H15" s="13"/>
      <c r="I15" s="13"/>
      <c r="J15" s="13"/>
      <c r="K15" s="13"/>
      <c r="L15" s="13"/>
      <c r="M15"/>
      <c r="N15"/>
      <c r="O15" s="138"/>
      <c r="P15" s="13"/>
      <c r="Q15" s="13"/>
      <c r="R15" s="13"/>
      <c r="S15" s="13"/>
      <c r="T15" s="13"/>
      <c r="U15" s="13"/>
      <c r="V15" s="13"/>
    </row>
    <row r="16" spans="1:22" s="5" customFormat="1" ht="16.5" hidden="1" customHeight="1" x14ac:dyDescent="0.25">
      <c r="A16" s="13"/>
      <c r="B16" t="e">
        <f>Competitors!#REF!</f>
        <v>#REF!</v>
      </c>
      <c r="C16" t="e">
        <f>Competitors!#REF!</f>
        <v>#REF!</v>
      </c>
      <c r="D16" s="13" t="e">
        <f>Competitors!#REF!</f>
        <v>#REF!</v>
      </c>
      <c r="E16" s="13" t="e">
        <f>SUM((VLOOKUP(B16, Rankings!C:E,3,FALSE)),(VLOOKUP(C16, Rankings!C:E,3,FALSE)),(VLOOKUP(D16, Rankings!C:E,3,FALSE)))</f>
        <v>#REF!</v>
      </c>
      <c r="F16" s="13"/>
      <c r="G16" s="13"/>
      <c r="H16" s="13"/>
      <c r="I16" s="13"/>
      <c r="J16" s="13"/>
      <c r="K16" s="13"/>
      <c r="L16" s="13"/>
      <c r="M16"/>
      <c r="N16"/>
      <c r="O16" s="138"/>
      <c r="P16" s="13"/>
      <c r="Q16" s="13"/>
      <c r="R16" s="13"/>
      <c r="S16" s="13"/>
      <c r="T16" s="13"/>
      <c r="U16" s="13"/>
      <c r="V16" s="13"/>
    </row>
    <row r="17" spans="1:22" s="5" customFormat="1" ht="16.5" hidden="1" customHeight="1" x14ac:dyDescent="0.25">
      <c r="A17" s="13"/>
      <c r="B17" t="e">
        <f>Competitors!#REF!</f>
        <v>#REF!</v>
      </c>
      <c r="C17" t="e">
        <f>Competitors!#REF!</f>
        <v>#REF!</v>
      </c>
      <c r="D17" s="13" t="e">
        <f>Competitors!#REF!</f>
        <v>#REF!</v>
      </c>
      <c r="E17" s="13" t="e">
        <f>SUM((VLOOKUP(B17, Rankings!C:E,3,FALSE)),(VLOOKUP(C17, Rankings!C:E,3,FALSE)),(VLOOKUP(D17, Rankings!C:E,3,FALSE)))</f>
        <v>#REF!</v>
      </c>
      <c r="F17" s="13"/>
      <c r="G17" s="13"/>
      <c r="H17" s="13"/>
      <c r="I17" s="13"/>
      <c r="J17" s="13"/>
      <c r="K17" s="13"/>
      <c r="L17" s="13"/>
      <c r="M17"/>
      <c r="N17"/>
      <c r="O17" s="138"/>
      <c r="P17" s="13"/>
      <c r="Q17" s="13"/>
      <c r="R17" s="13"/>
      <c r="S17" s="13"/>
      <c r="T17" s="13"/>
      <c r="U17" s="13"/>
      <c r="V17" s="13"/>
    </row>
    <row r="18" spans="1:22" s="5" customFormat="1" ht="16.5" hidden="1" customHeight="1" x14ac:dyDescent="0.25">
      <c r="A18" s="13"/>
      <c r="B18" t="e">
        <f>Competitors!#REF!</f>
        <v>#REF!</v>
      </c>
      <c r="C18" t="e">
        <f>Competitors!#REF!</f>
        <v>#REF!</v>
      </c>
      <c r="D18" s="13" t="e">
        <f>Competitors!#REF!</f>
        <v>#REF!</v>
      </c>
      <c r="E18" s="13" t="e">
        <f>SUM((VLOOKUP(B18, Rankings!C:E,3,FALSE)),(VLOOKUP(C18, Rankings!C:E,3,FALSE)),(VLOOKUP(D18, Rankings!C:E,3,FALSE)))</f>
        <v>#REF!</v>
      </c>
      <c r="F18" s="13"/>
      <c r="G18" s="13"/>
      <c r="H18" s="13"/>
      <c r="I18" s="13"/>
      <c r="J18" s="13"/>
      <c r="K18" s="13"/>
      <c r="L18" s="13"/>
      <c r="M18"/>
      <c r="N18"/>
      <c r="O18" s="138"/>
      <c r="P18" s="13"/>
      <c r="Q18" s="13"/>
      <c r="R18" s="13"/>
      <c r="S18" s="13"/>
      <c r="T18" s="13"/>
      <c r="U18" s="13"/>
      <c r="V18" s="13"/>
    </row>
    <row r="19" spans="1:22" s="5" customFormat="1" ht="16.5" hidden="1" customHeight="1" x14ac:dyDescent="0.25">
      <c r="A19" s="13"/>
      <c r="B19" t="e">
        <f>Competitors!#REF!</f>
        <v>#REF!</v>
      </c>
      <c r="C19" t="e">
        <f>Competitors!#REF!</f>
        <v>#REF!</v>
      </c>
      <c r="D19" s="13" t="e">
        <f>Competitors!#REF!</f>
        <v>#REF!</v>
      </c>
      <c r="E19" s="13" t="e">
        <f>SUM((VLOOKUP(B19, Rankings!C:E,3,FALSE)),(VLOOKUP(C19, Rankings!C:E,3,FALSE)),(VLOOKUP(D19, Rankings!C:E,3,FALSE)))</f>
        <v>#REF!</v>
      </c>
      <c r="F19" s="13"/>
      <c r="G19" s="13"/>
      <c r="H19" s="13"/>
      <c r="I19" s="13"/>
      <c r="J19" s="13"/>
      <c r="K19" s="13"/>
      <c r="L19" s="13"/>
      <c r="M19"/>
      <c r="N19"/>
      <c r="O19" s="138"/>
      <c r="P19" s="13"/>
      <c r="Q19" s="13"/>
      <c r="R19" s="13"/>
      <c r="S19" s="13"/>
      <c r="T19" s="13"/>
      <c r="U19" s="13"/>
      <c r="V19" s="13"/>
    </row>
    <row r="20" spans="1:22" s="5" customFormat="1" ht="16.5" hidden="1" customHeight="1" x14ac:dyDescent="0.25">
      <c r="A20" s="13"/>
      <c r="B20" t="e">
        <f>Competitors!#REF!</f>
        <v>#REF!</v>
      </c>
      <c r="C20" t="e">
        <f>Competitors!#REF!</f>
        <v>#REF!</v>
      </c>
      <c r="D20" s="13" t="e">
        <f>Competitors!#REF!</f>
        <v>#REF!</v>
      </c>
      <c r="E20" s="13" t="e">
        <f>SUM((VLOOKUP(B20, Rankings!C:E,3,FALSE)),(VLOOKUP(C20, Rankings!C:E,3,FALSE)),(VLOOKUP(D20, Rankings!C:E,3,FALSE)))</f>
        <v>#REF!</v>
      </c>
      <c r="F20" s="13"/>
      <c r="G20" s="13"/>
      <c r="H20" s="13"/>
      <c r="I20" s="13"/>
      <c r="J20" s="13"/>
      <c r="K20" s="13"/>
      <c r="L20" s="13"/>
      <c r="M20"/>
      <c r="N20"/>
      <c r="O20" s="138"/>
      <c r="P20" s="13"/>
      <c r="Q20" s="13"/>
      <c r="R20" s="13"/>
      <c r="S20" s="13"/>
      <c r="T20" s="13"/>
      <c r="U20" s="13"/>
      <c r="V20" s="13"/>
    </row>
    <row r="21" spans="1:22" s="5" customFormat="1" hidden="1" x14ac:dyDescent="0.25">
      <c r="B21" t="str">
        <f>Competitors!A1</f>
        <v>Name</v>
      </c>
      <c r="C21" t="str">
        <f>Competitors!A1</f>
        <v>Name</v>
      </c>
      <c r="D21" s="13" t="str">
        <f>Competitors!A1</f>
        <v>Name</v>
      </c>
      <c r="E21" s="13" t="e">
        <f>SUM((VLOOKUP(B21, Rankings!C:E,3,FALSE)),(VLOOKUP(C21, Rankings!C:E,3,FALSE)),(VLOOKUP(D21, Rankings!C:E,3,FALSE)))</f>
        <v>#VALUE!</v>
      </c>
      <c r="F21" s="13"/>
      <c r="G21" s="13"/>
      <c r="H21" s="13"/>
      <c r="I21" s="13"/>
      <c r="J21" s="13"/>
      <c r="K21" s="13"/>
      <c r="L21" s="13"/>
      <c r="M21"/>
      <c r="N21"/>
      <c r="O21" s="138"/>
      <c r="P21" s="13"/>
      <c r="Q21" s="13"/>
      <c r="R21" s="13"/>
      <c r="S21" s="13"/>
      <c r="T21" s="13"/>
      <c r="U21" s="13"/>
      <c r="V21" s="13"/>
    </row>
    <row r="22" spans="1:22" s="5" customFormat="1" hidden="1" x14ac:dyDescent="0.25">
      <c r="B22" t="str">
        <f>Competitors!A2</f>
        <v>Wiseman, James</v>
      </c>
      <c r="C22" t="str">
        <f>Competitors!A2</f>
        <v>Wiseman, James</v>
      </c>
      <c r="D22" s="13" t="str">
        <f>Competitors!A2</f>
        <v>Wiseman, James</v>
      </c>
      <c r="E22" s="13" t="e">
        <f>SUM((VLOOKUP(B22, Rankings!C:E,3,FALSE)),(VLOOKUP(C22, Rankings!C:E,3,FALSE)),(VLOOKUP(D22, Rankings!C:E,3,FALSE)))</f>
        <v>#N/A</v>
      </c>
      <c r="M22"/>
      <c r="N22"/>
      <c r="O22" s="138"/>
    </row>
    <row r="23" spans="1:22" s="5" customFormat="1" hidden="1" x14ac:dyDescent="0.25">
      <c r="B23" t="str">
        <f>Competitors!A3</f>
        <v>Gauthier, Jake</v>
      </c>
      <c r="C23" t="str">
        <f>Competitors!A3</f>
        <v>Gauthier, Jake</v>
      </c>
      <c r="D23" s="13" t="str">
        <f>Competitors!A3</f>
        <v>Gauthier, Jake</v>
      </c>
      <c r="E23" s="13" t="e">
        <f>SUM((VLOOKUP(B23, Rankings!C:E,3,FALSE)),(VLOOKUP(C23, Rankings!C:E,3,FALSE)),(VLOOKUP(D23, Rankings!C:E,3,FALSE)))</f>
        <v>#N/A</v>
      </c>
      <c r="M23"/>
      <c r="N23"/>
      <c r="O23" s="138"/>
    </row>
    <row r="24" spans="1:22" s="5" customFormat="1" hidden="1" x14ac:dyDescent="0.25">
      <c r="B24" t="str">
        <f>Competitors!A4</f>
        <v>Coddington, Arthur</v>
      </c>
      <c r="C24" t="str">
        <f>Competitors!A4</f>
        <v>Coddington, Arthur</v>
      </c>
      <c r="D24" s="13" t="str">
        <f>Competitors!A4</f>
        <v>Coddington, Arthur</v>
      </c>
      <c r="E24" s="13" t="e">
        <f>SUM((VLOOKUP(B24, Rankings!C:E,3,FALSE)),(VLOOKUP(C24, Rankings!C:E,3,FALSE)),(VLOOKUP(D24, Rankings!C:E,3,FALSE)))</f>
        <v>#N/A</v>
      </c>
      <c r="M24"/>
      <c r="N24"/>
      <c r="O24" s="138"/>
    </row>
    <row r="25" spans="1:22" s="5" customFormat="1" hidden="1" x14ac:dyDescent="0.25">
      <c r="B25" t="str">
        <f>Competitors!A5</f>
        <v>Kenny, Paul</v>
      </c>
      <c r="C25" t="str">
        <f>Competitors!A5</f>
        <v>Kenny, Paul</v>
      </c>
      <c r="D25" s="13" t="str">
        <f>Competitors!A5</f>
        <v>Kenny, Paul</v>
      </c>
      <c r="E25" s="13" t="e">
        <f>SUM((VLOOKUP(B25, Rankings!C:E,3,FALSE)),(VLOOKUP(C25, Rankings!C:E,3,FALSE)),(VLOOKUP(D25, Rankings!C:E,3,FALSE)))</f>
        <v>#N/A</v>
      </c>
    </row>
    <row r="26" spans="1:22" s="5" customFormat="1" hidden="1" x14ac:dyDescent="0.25">
      <c r="B26" t="str">
        <f>Competitors!A6</f>
        <v>Gauthier, Matt</v>
      </c>
      <c r="C26" t="str">
        <f>Competitors!A6</f>
        <v>Gauthier, Matt</v>
      </c>
      <c r="D26" s="13" t="str">
        <f>Competitors!A6</f>
        <v>Gauthier, Matt</v>
      </c>
      <c r="E26" s="13" t="e">
        <f>SUM((VLOOKUP(B26, Rankings!C:E,3,FALSE)),(VLOOKUP(C26, Rankings!C:E,3,FALSE)),(VLOOKUP(D26, Rankings!C:E,3,FALSE)))</f>
        <v>#N/A</v>
      </c>
    </row>
    <row r="27" spans="1:22" s="5" customFormat="1" hidden="1" x14ac:dyDescent="0.25">
      <c r="B27" t="str">
        <f>Competitors!A7</f>
        <v>Collerà, Clay</v>
      </c>
      <c r="C27" t="str">
        <f>Competitors!A7</f>
        <v>Collerà, Clay</v>
      </c>
      <c r="D27" s="13" t="str">
        <f>Competitors!A7</f>
        <v>Collerà, Clay</v>
      </c>
      <c r="E27" s="13" t="e">
        <f>SUM((VLOOKUP(B27, Rankings!C:E,3,FALSE)),(VLOOKUP(C27, Rankings!C:E,3,FALSE)),(VLOOKUP(D27, Rankings!C:E,3,FALSE)))</f>
        <v>#N/A</v>
      </c>
    </row>
    <row r="28" spans="1:22" s="5" customFormat="1" hidden="1" x14ac:dyDescent="0.25">
      <c r="B28" t="str">
        <f>Competitors!A8</f>
        <v>Prati, Marco</v>
      </c>
      <c r="C28" t="str">
        <f>Competitors!A8</f>
        <v>Prati, Marco</v>
      </c>
      <c r="D28" s="13" t="str">
        <f>Competitors!A8</f>
        <v>Prati, Marco</v>
      </c>
      <c r="E28" s="13" t="e">
        <f>SUM((VLOOKUP(B28, Rankings!C:E,3,FALSE)),(VLOOKUP(C28, Rankings!C:E,3,FALSE)),(VLOOKUP(D28, Rankings!C:E,3,FALSE)))</f>
        <v>#N/A</v>
      </c>
    </row>
    <row r="29" spans="1:22" s="5" customFormat="1" hidden="1" x14ac:dyDescent="0.25">
      <c r="B29" t="str">
        <f>Competitors!A9</f>
        <v>Leitner, Tom</v>
      </c>
      <c r="C29" t="str">
        <f>Competitors!A9</f>
        <v>Leitner, Tom</v>
      </c>
      <c r="D29" s="13" t="str">
        <f>Competitors!A9</f>
        <v>Leitner, Tom</v>
      </c>
      <c r="E29" s="13" t="e">
        <f>SUM((VLOOKUP(B29, Rankings!C:E,3,FALSE)),(VLOOKUP(C29, Rankings!C:E,3,FALSE)),(VLOOKUP(D29, Rankings!C:E,3,FALSE)))</f>
        <v>#N/A</v>
      </c>
    </row>
    <row r="30" spans="1:22" s="5" customFormat="1" hidden="1" x14ac:dyDescent="0.25">
      <c r="B30" t="str">
        <f>Competitors!A10</f>
        <v>Cesari, Manuel</v>
      </c>
      <c r="C30" t="str">
        <f>Competitors!A10</f>
        <v>Cesari, Manuel</v>
      </c>
      <c r="D30" s="13" t="str">
        <f>Competitors!A10</f>
        <v>Cesari, Manuel</v>
      </c>
      <c r="E30" s="13" t="e">
        <f>SUM((VLOOKUP(B30, Rankings!C:E,3,FALSE)),(VLOOKUP(C30, Rankings!C:E,3,FALSE)),(VLOOKUP(D30, Rankings!C:E,3,FALSE)))</f>
        <v>#N/A</v>
      </c>
    </row>
    <row r="31" spans="1:22" s="5" customFormat="1" hidden="1" x14ac:dyDescent="0.25">
      <c r="B31" t="str">
        <f>Competitors!A11</f>
        <v>Silvey, Randy</v>
      </c>
      <c r="C31" t="str">
        <f>Competitors!A11</f>
        <v>Silvey, Randy</v>
      </c>
      <c r="D31" s="13" t="str">
        <f>Competitors!A11</f>
        <v>Silvey, Randy</v>
      </c>
      <c r="E31" s="13" t="e">
        <f>SUM((VLOOKUP(B31, Rankings!C:E,3,FALSE)),(VLOOKUP(C31, Rankings!C:E,3,FALSE)),(VLOOKUP(D31, Rankings!C:E,3,FALSE)))</f>
        <v>#N/A</v>
      </c>
    </row>
    <row r="32" spans="1:22" s="5" customFormat="1" hidden="1" x14ac:dyDescent="0.25">
      <c r="B32" t="str">
        <f>Competitors!A12</f>
        <v>Hess, Florian</v>
      </c>
      <c r="C32" t="str">
        <f>Competitors!A12</f>
        <v>Hess, Florian</v>
      </c>
      <c r="D32" s="13" t="str">
        <f>Competitors!A12</f>
        <v>Hess, Florian</v>
      </c>
      <c r="E32" s="13" t="e">
        <f>SUM((VLOOKUP(B32, Rankings!C:E,3,FALSE)),(VLOOKUP(C32, Rankings!C:E,3,FALSE)),(VLOOKUP(D32, Rankings!C:E,3,FALSE)))</f>
        <v>#N/A</v>
      </c>
    </row>
    <row r="33" spans="2:5" s="5" customFormat="1" hidden="1" x14ac:dyDescent="0.25">
      <c r="B33" t="str">
        <f>Competitors!A13</f>
        <v>Cigna, Claudio</v>
      </c>
      <c r="C33" t="str">
        <f>Competitors!A13</f>
        <v>Cigna, Claudio</v>
      </c>
      <c r="D33" s="13" t="str">
        <f>Competitors!A13</f>
        <v>Cigna, Claudio</v>
      </c>
      <c r="E33" s="13" t="e">
        <f>SUM((VLOOKUP(B33, Rankings!C:E,3,FALSE)),(VLOOKUP(C33, Rankings!C:E,3,FALSE)),(VLOOKUP(D33, Rankings!C:E,3,FALSE)))</f>
        <v>#N/A</v>
      </c>
    </row>
    <row r="34" spans="2:5" s="5" customFormat="1" hidden="1" x14ac:dyDescent="0.25">
      <c r="B34" t="str">
        <f>Competitors!A14</f>
        <v>Dini, Andrea</v>
      </c>
      <c r="C34" t="str">
        <f>Competitors!A14</f>
        <v>Dini, Andrea</v>
      </c>
      <c r="D34" s="13" t="str">
        <f>Competitors!A14</f>
        <v>Dini, Andrea</v>
      </c>
      <c r="E34" s="13" t="e">
        <f>SUM((VLOOKUP(B34, Rankings!C:E,3,FALSE)),(VLOOKUP(C34, Rankings!C:E,3,FALSE)),(VLOOKUP(D34, Rankings!C:E,3,FALSE)))</f>
        <v>#N/A</v>
      </c>
    </row>
    <row r="35" spans="2:5" s="5" customFormat="1" hidden="1" x14ac:dyDescent="0.25">
      <c r="B35" t="str">
        <f>Competitors!A15</f>
        <v>O'Neill, Daniel</v>
      </c>
      <c r="C35" t="str">
        <f>Competitors!A15</f>
        <v>O'Neill, Daniel</v>
      </c>
      <c r="D35" s="13" t="str">
        <f>Competitors!A15</f>
        <v>O'Neill, Daniel</v>
      </c>
      <c r="E35" s="13" t="e">
        <f>SUM((VLOOKUP(B35, Rankings!C:E,3,FALSE)),(VLOOKUP(C35, Rankings!C:E,3,FALSE)),(VLOOKUP(D35, Rankings!C:E,3,FALSE)))</f>
        <v>#N/A</v>
      </c>
    </row>
    <row r="36" spans="2:5" s="5" customFormat="1" hidden="1" x14ac:dyDescent="0.25">
      <c r="B36" t="str">
        <f>Competitors!A16</f>
        <v>Arveskär, Joakim</v>
      </c>
      <c r="C36" t="str">
        <f>Competitors!A16</f>
        <v>Arveskär, Joakim</v>
      </c>
      <c r="D36" s="13" t="str">
        <f>Competitors!A16</f>
        <v>Arveskär, Joakim</v>
      </c>
      <c r="E36" s="13" t="e">
        <f>SUM((VLOOKUP(B36, Rankings!C:E,3,FALSE)),(VLOOKUP(C36, Rankings!C:E,3,FALSE)),(VLOOKUP(D36, Rankings!C:E,3,FALSE)))</f>
        <v>#N/A</v>
      </c>
    </row>
    <row r="37" spans="2:5" s="5" customFormat="1" hidden="1" x14ac:dyDescent="0.25">
      <c r="B37" t="str">
        <f>Competitors!A17</f>
        <v>Sanna, Fabio</v>
      </c>
      <c r="C37" t="str">
        <f>Competitors!A17</f>
        <v>Sanna, Fabio</v>
      </c>
      <c r="D37" s="13" t="str">
        <f>Competitors!A17</f>
        <v>Sanna, Fabio</v>
      </c>
      <c r="E37" s="13" t="e">
        <f>SUM((VLOOKUP(B37, Rankings!C:E,3,FALSE)),(VLOOKUP(C37, Rankings!C:E,3,FALSE)),(VLOOKUP(D37, Rankings!C:E,3,FALSE)))</f>
        <v>#N/A</v>
      </c>
    </row>
    <row r="38" spans="2:5" s="5" customFormat="1" hidden="1" x14ac:dyDescent="0.25">
      <c r="B38" t="str">
        <f>Competitors!A18</f>
        <v>Lamred, Christian</v>
      </c>
      <c r="C38" t="str">
        <f>Competitors!A18</f>
        <v>Lamred, Christian</v>
      </c>
      <c r="D38" s="13" t="str">
        <f>Competitors!A18</f>
        <v>Lamred, Christian</v>
      </c>
      <c r="E38" s="13" t="e">
        <f>SUM((VLOOKUP(B38, Rankings!C:E,3,FALSE)),(VLOOKUP(C38, Rankings!C:E,3,FALSE)),(VLOOKUP(D38, Rankings!C:E,3,FALSE)))</f>
        <v>#N/A</v>
      </c>
    </row>
    <row r="39" spans="2:5" s="5" customFormat="1" hidden="1" x14ac:dyDescent="0.25">
      <c r="B39" t="str">
        <f>Competitors!A19</f>
        <v>Finner, Freddy</v>
      </c>
      <c r="C39" t="str">
        <f>Competitors!A19</f>
        <v>Finner, Freddy</v>
      </c>
      <c r="D39" s="13" t="str">
        <f>Competitors!A19</f>
        <v>Finner, Freddy</v>
      </c>
      <c r="E39" s="13" t="e">
        <f>SUM((VLOOKUP(B39, Rankings!C:E,3,FALSE)),(VLOOKUP(C39, Rankings!C:E,3,FALSE)),(VLOOKUP(D39, Rankings!C:E,3,FALSE)))</f>
        <v>#N/A</v>
      </c>
    </row>
    <row r="40" spans="2:5" s="5" customFormat="1" hidden="1" x14ac:dyDescent="0.25">
      <c r="B40" t="str">
        <f>Competitors!A20</f>
        <v>Baranyk, Pavel</v>
      </c>
      <c r="C40" t="str">
        <f>Competitors!A20</f>
        <v>Baranyk, Pavel</v>
      </c>
      <c r="D40" s="13" t="str">
        <f>Competitors!A20</f>
        <v>Baranyk, Pavel</v>
      </c>
      <c r="E40" s="13" t="e">
        <f>SUM((VLOOKUP(B40, Rankings!C:E,3,FALSE)),(VLOOKUP(C40, Rankings!C:E,3,FALSE)),(VLOOKUP(D40, Rankings!C:E,3,FALSE)))</f>
        <v>#N/A</v>
      </c>
    </row>
    <row r="41" spans="2:5" s="5" customFormat="1" hidden="1" x14ac:dyDescent="0.25">
      <c r="B41" t="str">
        <f>Competitors!A21</f>
        <v>Zimmerman, Reto</v>
      </c>
      <c r="C41" t="str">
        <f>Competitors!A21</f>
        <v>Zimmerman, Reto</v>
      </c>
      <c r="D41" s="13" t="str">
        <f>Competitors!A21</f>
        <v>Zimmerman, Reto</v>
      </c>
      <c r="E41" s="13" t="e">
        <f>SUM((VLOOKUP(B41, Rankings!C:E,3,FALSE)),(VLOOKUP(C41, Rankings!C:E,3,FALSE)),(VLOOKUP(D41, Rankings!C:E,3,FALSE)))</f>
        <v>#N/A</v>
      </c>
    </row>
    <row r="42" spans="2:5" s="5" customFormat="1" hidden="1" x14ac:dyDescent="0.25">
      <c r="B42" t="str">
        <f>Competitors!A22</f>
        <v>Murphy, Dave</v>
      </c>
      <c r="C42" t="str">
        <f>Competitors!A22</f>
        <v>Murphy, Dave</v>
      </c>
      <c r="D42" s="13" t="str">
        <f>Competitors!A22</f>
        <v>Murphy, Dave</v>
      </c>
      <c r="E42" s="13" t="e">
        <f>SUM((VLOOKUP(B42, Rankings!C:E,3,FALSE)),(VLOOKUP(C42, Rankings!C:E,3,FALSE)),(VLOOKUP(D42, Rankings!C:E,3,FALSE)))</f>
        <v>#N/A</v>
      </c>
    </row>
    <row r="43" spans="2:5" s="5" customFormat="1" hidden="1" x14ac:dyDescent="0.25">
      <c r="B43" t="str">
        <f>Competitors!A23</f>
        <v>Major, Balu</v>
      </c>
      <c r="C43" t="str">
        <f>Competitors!A23</f>
        <v>Major, Balu</v>
      </c>
      <c r="D43" s="13" t="str">
        <f>Competitors!A23</f>
        <v>Major, Balu</v>
      </c>
      <c r="E43" s="13" t="e">
        <f>SUM((VLOOKUP(B43, Rankings!C:E,3,FALSE)),(VLOOKUP(C43, Rankings!C:E,3,FALSE)),(VLOOKUP(D43, Rankings!C:E,3,FALSE)))</f>
        <v>#N/A</v>
      </c>
    </row>
    <row r="44" spans="2:5" s="5" customFormat="1" hidden="1" x14ac:dyDescent="0.25">
      <c r="B44" t="str">
        <f>Competitors!A24</f>
        <v>Hosseinian, Mehrdad</v>
      </c>
      <c r="C44" t="str">
        <f>Competitors!A24</f>
        <v>Hosseinian, Mehrdad</v>
      </c>
      <c r="D44" s="13" t="str">
        <f>Competitors!A24</f>
        <v>Hosseinian, Mehrdad</v>
      </c>
      <c r="E44" s="13" t="e">
        <f>SUM((VLOOKUP(B44, Rankings!C:E,3,FALSE)),(VLOOKUP(C44, Rankings!C:E,3,FALSE)),(VLOOKUP(D44, Rankings!C:E,3,FALSE)))</f>
        <v>#N/A</v>
      </c>
    </row>
    <row r="45" spans="2:5" s="5" customFormat="1" hidden="1" x14ac:dyDescent="0.25">
      <c r="B45" t="str">
        <f>Competitors!A25</f>
        <v>Leist, Alex</v>
      </c>
      <c r="C45" t="str">
        <f>Competitors!A25</f>
        <v>Leist, Alex</v>
      </c>
      <c r="D45" s="13" t="str">
        <f>Competitors!A25</f>
        <v>Leist, Alex</v>
      </c>
      <c r="E45" s="13" t="e">
        <f>SUM((VLOOKUP(B45, Rankings!C:E,3,FALSE)),(VLOOKUP(C45, Rankings!C:E,3,FALSE)),(VLOOKUP(D45, Rankings!C:E,3,FALSE)))</f>
        <v>#N/A</v>
      </c>
    </row>
    <row r="46" spans="2:5" s="5" customFormat="1" hidden="1" x14ac:dyDescent="0.25">
      <c r="B46" t="str">
        <f>Competitors!A26</f>
        <v>Höhne, Sascha</v>
      </c>
      <c r="C46" t="str">
        <f>Competitors!A26</f>
        <v>Höhne, Sascha</v>
      </c>
      <c r="D46" s="13" t="str">
        <f>Competitors!A26</f>
        <v>Höhne, Sascha</v>
      </c>
      <c r="E46" s="13" t="e">
        <f>SUM((VLOOKUP(B46, Rankings!C:E,3,FALSE)),(VLOOKUP(C46, Rankings!C:E,3,FALSE)),(VLOOKUP(D46, Rankings!C:E,3,FALSE)))</f>
        <v>#N/A</v>
      </c>
    </row>
    <row r="47" spans="2:5" s="5" customFormat="1" hidden="1" x14ac:dyDescent="0.25">
      <c r="B47" t="str">
        <f>Competitors!A27</f>
        <v>Imperiale, Larry</v>
      </c>
      <c r="C47" t="str">
        <f>Competitors!A27</f>
        <v>Imperiale, Larry</v>
      </c>
      <c r="D47" s="13" t="str">
        <f>Competitors!A27</f>
        <v>Imperiale, Larry</v>
      </c>
      <c r="E47" s="13" t="e">
        <f>SUM((VLOOKUP(B47, Rankings!C:E,3,FALSE)),(VLOOKUP(C47, Rankings!C:E,3,FALSE)),(VLOOKUP(D47, Rankings!C:E,3,FALSE)))</f>
        <v>#N/A</v>
      </c>
    </row>
    <row r="48" spans="2:5" s="5" customFormat="1" hidden="1" x14ac:dyDescent="0.25">
      <c r="B48" t="str">
        <f>Competitors!A28</f>
        <v>Young, Ryan</v>
      </c>
      <c r="C48" t="str">
        <f>Competitors!A28</f>
        <v>Young, Ryan</v>
      </c>
      <c r="D48" s="13" t="str">
        <f>Competitors!A28</f>
        <v>Young, Ryan</v>
      </c>
      <c r="E48" s="13" t="e">
        <f>SUM((VLOOKUP(B48, Rankings!C:E,3,FALSE)),(VLOOKUP(C48, Rankings!C:E,3,FALSE)),(VLOOKUP(D48, Rankings!C:E,3,FALSE)))</f>
        <v>#N/A</v>
      </c>
    </row>
    <row r="49" spans="2:5" s="5" customFormat="1" hidden="1" x14ac:dyDescent="0.25">
      <c r="B49" t="str">
        <f>Competitors!A29</f>
        <v>Wright, Bill</v>
      </c>
      <c r="C49" t="str">
        <f>Competitors!A29</f>
        <v>Wright, Bill</v>
      </c>
      <c r="D49" s="13" t="str">
        <f>Competitors!A29</f>
        <v>Wright, Bill</v>
      </c>
      <c r="E49" s="13" t="e">
        <f>SUM((VLOOKUP(B49, Rankings!C:E,3,FALSE)),(VLOOKUP(C49, Rankings!C:E,3,FALSE)),(VLOOKUP(D49, Rankings!C:E,3,FALSE)))</f>
        <v>#N/A</v>
      </c>
    </row>
    <row r="50" spans="2:5" s="5" customFormat="1" hidden="1" x14ac:dyDescent="0.25">
      <c r="B50" t="str">
        <f>Competitors!A30</f>
        <v>O'Brien, Jeff</v>
      </c>
      <c r="C50" t="str">
        <f>Competitors!A30</f>
        <v>O'Brien, Jeff</v>
      </c>
      <c r="D50" s="13" t="str">
        <f>Competitors!A30</f>
        <v>O'Brien, Jeff</v>
      </c>
      <c r="E50" s="13" t="e">
        <f>SUM((VLOOKUP(B50, Rankings!C:E,3,FALSE)),(VLOOKUP(C50, Rankings!C:E,3,FALSE)),(VLOOKUP(D50, Rankings!C:E,3,FALSE)))</f>
        <v>#N/A</v>
      </c>
    </row>
    <row r="51" spans="2:5" s="5" customFormat="1" hidden="1" x14ac:dyDescent="0.25">
      <c r="B51" t="str">
        <f>Competitors!A31</f>
        <v>Krüger, Philipp</v>
      </c>
      <c r="C51" t="str">
        <f>Competitors!A31</f>
        <v>Krüger, Philipp</v>
      </c>
      <c r="D51" s="13" t="str">
        <f>Competitors!A31</f>
        <v>Krüger, Philipp</v>
      </c>
      <c r="E51" s="13" t="e">
        <f>SUM((VLOOKUP(B51, Rankings!C:E,3,FALSE)),(VLOOKUP(C51, Rankings!C:E,3,FALSE)),(VLOOKUP(D51, Rankings!C:E,3,FALSE)))</f>
        <v>#N/A</v>
      </c>
    </row>
    <row r="52" spans="2:5" s="5" customFormat="1" hidden="1" x14ac:dyDescent="0.25">
      <c r="B52" t="str">
        <f>Competitors!A32</f>
        <v>Capellmann, Anton</v>
      </c>
      <c r="C52" t="str">
        <f>Competitors!A32</f>
        <v>Capellmann, Anton</v>
      </c>
      <c r="D52" s="13" t="str">
        <f>Competitors!A32</f>
        <v>Capellmann, Anton</v>
      </c>
      <c r="E52" s="13" t="e">
        <f>SUM((VLOOKUP(B52, Rankings!C:E,3,FALSE)),(VLOOKUP(C52, Rankings!C:E,3,FALSE)),(VLOOKUP(D52, Rankings!C:E,3,FALSE)))</f>
        <v>#N/A</v>
      </c>
    </row>
    <row r="53" spans="2:5" s="5" customFormat="1" hidden="1" x14ac:dyDescent="0.25">
      <c r="B53" t="str">
        <f>Competitors!A33</f>
        <v>Poli, Andrea</v>
      </c>
      <c r="C53" t="str">
        <f>Competitors!A33</f>
        <v>Poli, Andrea</v>
      </c>
      <c r="D53" s="13" t="str">
        <f>Competitors!A33</f>
        <v>Poli, Andrea</v>
      </c>
      <c r="E53" s="13" t="e">
        <f>SUM((VLOOKUP(B53, Rankings!C:E,3,FALSE)),(VLOOKUP(C53, Rankings!C:E,3,FALSE)),(VLOOKUP(D53, Rankings!C:E,3,FALSE)))</f>
        <v>#N/A</v>
      </c>
    </row>
    <row r="54" spans="2:5" s="5" customFormat="1" hidden="1" x14ac:dyDescent="0.25">
      <c r="B54" t="str">
        <f>Competitors!A34</f>
        <v>Wunder, Woo</v>
      </c>
      <c r="C54" t="str">
        <f>Competitors!A34</f>
        <v>Wunder, Woo</v>
      </c>
      <c r="D54" s="13" t="str">
        <f>Competitors!A34</f>
        <v>Wunder, Woo</v>
      </c>
      <c r="E54" s="13" t="e">
        <f>SUM((VLOOKUP(B54, Rankings!C:E,3,FALSE)),(VLOOKUP(C54, Rankings!C:E,3,FALSE)),(VLOOKUP(D54, Rankings!C:E,3,FALSE)))</f>
        <v>#N/A</v>
      </c>
    </row>
    <row r="55" spans="2:5" s="5" customFormat="1" hidden="1" x14ac:dyDescent="0.25">
      <c r="B55" t="str">
        <f>Competitors!A35</f>
        <v>Vogt, Heiko</v>
      </c>
      <c r="C55" t="str">
        <f>Competitors!A35</f>
        <v>Vogt, Heiko</v>
      </c>
      <c r="D55" s="13" t="str">
        <f>Competitors!A35</f>
        <v>Vogt, Heiko</v>
      </c>
      <c r="E55" s="13" t="e">
        <f>SUM((VLOOKUP(B55, Rankings!C:E,3,FALSE)),(VLOOKUP(C55, Rankings!C:E,3,FALSE)),(VLOOKUP(D55, Rankings!C:E,3,FALSE)))</f>
        <v>#N/A</v>
      </c>
    </row>
    <row r="56" spans="2:5" s="5" customFormat="1" hidden="1" x14ac:dyDescent="0.25">
      <c r="B56" t="str">
        <f>Competitors!A36</f>
        <v>Heim, Carsten</v>
      </c>
      <c r="C56" t="str">
        <f>Competitors!A36</f>
        <v>Heim, Carsten</v>
      </c>
      <c r="D56" s="13" t="str">
        <f>Competitors!A36</f>
        <v>Heim, Carsten</v>
      </c>
      <c r="E56" s="13" t="e">
        <f>SUM((VLOOKUP(B56, Rankings!C:E,3,FALSE)),(VLOOKUP(C56, Rankings!C:E,3,FALSE)),(VLOOKUP(D56, Rankings!C:E,3,FALSE)))</f>
        <v>#N/A</v>
      </c>
    </row>
    <row r="57" spans="2:5" s="5" customFormat="1" hidden="1" x14ac:dyDescent="0.25">
      <c r="B57" t="str">
        <f>Competitors!A37</f>
        <v>Dittrich, Robert</v>
      </c>
      <c r="C57" t="str">
        <f>Competitors!A37</f>
        <v>Dittrich, Robert</v>
      </c>
      <c r="D57" s="13" t="str">
        <f>Competitors!A37</f>
        <v>Dittrich, Robert</v>
      </c>
      <c r="E57" s="13" t="e">
        <f>SUM((VLOOKUP(B57, Rankings!C:E,3,FALSE)),(VLOOKUP(C57, Rankings!C:E,3,FALSE)),(VLOOKUP(D57, Rankings!C:E,3,FALSE)))</f>
        <v>#N/A</v>
      </c>
    </row>
    <row r="58" spans="2:5" s="5" customFormat="1" hidden="1" x14ac:dyDescent="0.25">
      <c r="B58" t="str">
        <f>Competitors!A38</f>
        <v>Goetz, Markus</v>
      </c>
      <c r="C58" t="str">
        <f>Competitors!A38</f>
        <v>Goetz, Markus</v>
      </c>
      <c r="D58" s="13" t="str">
        <f>Competitors!A38</f>
        <v>Goetz, Markus</v>
      </c>
      <c r="E58" s="13" t="e">
        <f>SUM((VLOOKUP(B58, Rankings!C:E,3,FALSE)),(VLOOKUP(C58, Rankings!C:E,3,FALSE)),(VLOOKUP(D58, Rankings!C:E,3,FALSE)))</f>
        <v>#N/A</v>
      </c>
    </row>
    <row r="59" spans="2:5" s="5" customFormat="1" hidden="1" x14ac:dyDescent="0.25">
      <c r="B59" t="str">
        <f>Competitors!A39</f>
        <v>Skomroch, Harald</v>
      </c>
      <c r="C59" t="str">
        <f>Competitors!A39</f>
        <v>Skomroch, Harald</v>
      </c>
      <c r="D59" s="13" t="str">
        <f>Competitors!A39</f>
        <v>Skomroch, Harald</v>
      </c>
      <c r="E59" s="13" t="e">
        <f>SUM((VLOOKUP(B59, Rankings!C:E,3,FALSE)),(VLOOKUP(C59, Rankings!C:E,3,FALSE)),(VLOOKUP(D59, Rankings!C:E,3,FALSE)))</f>
        <v>#N/A</v>
      </c>
    </row>
    <row r="60" spans="2:5" s="5" customFormat="1" hidden="1" x14ac:dyDescent="0.25">
      <c r="B60" t="str">
        <f>Competitors!A40</f>
        <v>Strunz, Bianca</v>
      </c>
      <c r="C60" t="str">
        <f>Competitors!A40</f>
        <v>Strunz, Bianca</v>
      </c>
      <c r="D60" s="13" t="str">
        <f>Competitors!A40</f>
        <v>Strunz, Bianca</v>
      </c>
      <c r="E60" s="13" t="e">
        <f>SUM((VLOOKUP(B60, Rankings!C:E,3,FALSE)),(VLOOKUP(C60, Rankings!C:E,3,FALSE)),(VLOOKUP(D60, Rankings!C:E,3,FALSE)))</f>
        <v>#N/A</v>
      </c>
    </row>
    <row r="61" spans="2:5" s="5" customFormat="1" hidden="1" x14ac:dyDescent="0.25">
      <c r="B61" t="str">
        <f>Competitors!A41</f>
        <v>Occorsio, Valerio</v>
      </c>
      <c r="C61" t="str">
        <f>Competitors!A41</f>
        <v>Occorsio, Valerio</v>
      </c>
      <c r="D61" s="13" t="str">
        <f>Competitors!A41</f>
        <v>Occorsio, Valerio</v>
      </c>
      <c r="E61" s="13" t="e">
        <f>SUM((VLOOKUP(B61, Rankings!C:E,3,FALSE)),(VLOOKUP(C61, Rankings!C:E,3,FALSE)),(VLOOKUP(D61, Rankings!C:E,3,FALSE)))</f>
        <v>#N/A</v>
      </c>
    </row>
    <row r="62" spans="2:5" s="5" customFormat="1" hidden="1" x14ac:dyDescent="0.25">
      <c r="B62" t="str">
        <f>Competitors!A42</f>
        <v>Künzel, Toby</v>
      </c>
      <c r="C62" t="str">
        <f>Competitors!A42</f>
        <v>Künzel, Toby</v>
      </c>
      <c r="D62" s="13" t="str">
        <f>Competitors!A42</f>
        <v>Künzel, Toby</v>
      </c>
      <c r="E62" s="13" t="e">
        <f>SUM((VLOOKUP(B62, Rankings!C:E,3,FALSE)),(VLOOKUP(C62, Rankings!C:E,3,FALSE)),(VLOOKUP(D62, Rankings!C:E,3,FALSE)))</f>
        <v>#N/A</v>
      </c>
    </row>
    <row r="63" spans="2:5" s="5" customFormat="1" hidden="1" x14ac:dyDescent="0.25">
      <c r="B63" t="str">
        <f>Competitors!A43</f>
        <v>Schreck, Jan</v>
      </c>
      <c r="C63" t="str">
        <f>Competitors!A43</f>
        <v>Schreck, Jan</v>
      </c>
      <c r="D63" s="13" t="str">
        <f>Competitors!A43</f>
        <v>Schreck, Jan</v>
      </c>
      <c r="E63" s="13" t="e">
        <f>SUM((VLOOKUP(B63, Rankings!C:E,3,FALSE)),(VLOOKUP(C63, Rankings!C:E,3,FALSE)),(VLOOKUP(D63, Rankings!C:E,3,FALSE)))</f>
        <v>#N/A</v>
      </c>
    </row>
    <row r="64" spans="2:5" s="5" customFormat="1" hidden="1" x14ac:dyDescent="0.25">
      <c r="B64" t="str">
        <f>Competitors!A44</f>
        <v>Lustiger, Dan</v>
      </c>
      <c r="C64" t="str">
        <f>Competitors!A44</f>
        <v>Lustiger, Dan</v>
      </c>
      <c r="D64" s="13" t="str">
        <f>Competitors!A44</f>
        <v>Lustiger, Dan</v>
      </c>
      <c r="E64" s="13" t="e">
        <f>SUM((VLOOKUP(B64, Rankings!C:E,3,FALSE)),(VLOOKUP(C64, Rankings!C:E,3,FALSE)),(VLOOKUP(D64, Rankings!C:E,3,FALSE)))</f>
        <v>#N/A</v>
      </c>
    </row>
    <row r="65" spans="2:5" s="5" customFormat="1" hidden="1" x14ac:dyDescent="0.25">
      <c r="B65" t="str">
        <f>Competitors!A45</f>
        <v>Weissenberger, Dominique</v>
      </c>
      <c r="C65" t="str">
        <f>Competitors!A45</f>
        <v>Weissenberger, Dominique</v>
      </c>
      <c r="D65" s="13" t="str">
        <f>Competitors!A45</f>
        <v>Weissenberger, Dominique</v>
      </c>
      <c r="E65" s="13" t="e">
        <f>SUM((VLOOKUP(B65, Rankings!C:E,3,FALSE)),(VLOOKUP(C65, Rankings!C:E,3,FALSE)),(VLOOKUP(D65, Rankings!C:E,3,FALSE)))</f>
        <v>#N/A</v>
      </c>
    </row>
    <row r="66" spans="2:5" s="5" customFormat="1" hidden="1" x14ac:dyDescent="0.25">
      <c r="B66" t="str">
        <f>Competitors!A46</f>
        <v>Nizzo, Fabio</v>
      </c>
      <c r="C66" t="str">
        <f>Competitors!A46</f>
        <v>Nizzo, Fabio</v>
      </c>
      <c r="D66" s="13" t="str">
        <f>Competitors!A46</f>
        <v>Nizzo, Fabio</v>
      </c>
      <c r="E66" s="13" t="e">
        <f>SUM((VLOOKUP(B66, Rankings!C:E,3,FALSE)),(VLOOKUP(C66, Rankings!C:E,3,FALSE)),(VLOOKUP(D66, Rankings!C:E,3,FALSE)))</f>
        <v>#N/A</v>
      </c>
    </row>
    <row r="67" spans="2:5" s="5" customFormat="1" hidden="1" x14ac:dyDescent="0.25">
      <c r="B67" t="str">
        <f>Competitors!A47</f>
        <v>Hein, Markus</v>
      </c>
      <c r="C67" t="str">
        <f>Competitors!A47</f>
        <v>Hein, Markus</v>
      </c>
      <c r="D67" s="13" t="str">
        <f>Competitors!A47</f>
        <v>Hein, Markus</v>
      </c>
      <c r="E67" s="13" t="e">
        <f>SUM((VLOOKUP(B67, Rankings!C:E,3,FALSE)),(VLOOKUP(C67, Rankings!C:E,3,FALSE)),(VLOOKUP(D67, Rankings!C:E,3,FALSE)))</f>
        <v>#N/A</v>
      </c>
    </row>
    <row r="68" spans="2:5" s="5" customFormat="1" hidden="1" x14ac:dyDescent="0.25">
      <c r="B68" t="str">
        <f>Competitors!A48</f>
        <v>Notzel, Thomas</v>
      </c>
      <c r="C68" t="str">
        <f>Competitors!A48</f>
        <v>Notzel, Thomas</v>
      </c>
      <c r="D68" s="13" t="str">
        <f>Competitors!A48</f>
        <v>Notzel, Thomas</v>
      </c>
      <c r="E68" s="13" t="e">
        <f>SUM((VLOOKUP(B68, Rankings!C:E,3,FALSE)),(VLOOKUP(C68, Rankings!C:E,3,FALSE)),(VLOOKUP(D68, Rankings!C:E,3,FALSE)))</f>
        <v>#N/A</v>
      </c>
    </row>
    <row r="69" spans="2:5" s="5" customFormat="1" hidden="1" x14ac:dyDescent="0.25">
      <c r="B69" t="str">
        <f>Competitors!A49</f>
        <v>Doerr, Rainer</v>
      </c>
      <c r="C69" t="str">
        <f>Competitors!A49</f>
        <v>Doerr, Rainer</v>
      </c>
      <c r="D69" s="13" t="str">
        <f>Competitors!A49</f>
        <v>Doerr, Rainer</v>
      </c>
      <c r="E69" s="13" t="e">
        <f>SUM((VLOOKUP(B69, Rankings!C:E,3,FALSE)),(VLOOKUP(C69, Rankings!C:E,3,FALSE)),(VLOOKUP(D69, Rankings!C:E,3,FALSE)))</f>
        <v>#N/A</v>
      </c>
    </row>
    <row r="70" spans="2:5" s="5" customFormat="1" hidden="1" x14ac:dyDescent="0.25">
      <c r="B70">
        <f>Competitors!A50</f>
        <v>0</v>
      </c>
      <c r="C70">
        <f>Competitors!A50</f>
        <v>0</v>
      </c>
      <c r="D70" s="13">
        <f>Competitors!A50</f>
        <v>0</v>
      </c>
      <c r="E70" s="13" t="e">
        <f>SUM((VLOOKUP(B70, Rankings!C:E,3,FALSE)),(VLOOKUP(C70, Rankings!C:E,3,FALSE)),(VLOOKUP(D70, Rankings!C:E,3,FALSE)))</f>
        <v>#N/A</v>
      </c>
    </row>
    <row r="71" spans="2:5" s="5" customFormat="1" hidden="1" x14ac:dyDescent="0.25">
      <c r="B71">
        <f>Competitors!A51</f>
        <v>0</v>
      </c>
      <c r="C71">
        <f>Competitors!A51</f>
        <v>0</v>
      </c>
      <c r="D71" s="13">
        <f>Competitors!A51</f>
        <v>0</v>
      </c>
      <c r="E71" s="13" t="e">
        <f>SUM((VLOOKUP(B71, Rankings!C:E,3,FALSE)),(VLOOKUP(C71, Rankings!C:E,3,FALSE)),(VLOOKUP(D71, Rankings!C:E,3,FALSE)))</f>
        <v>#N/A</v>
      </c>
    </row>
    <row r="72" spans="2:5" s="5" customFormat="1" hidden="1" x14ac:dyDescent="0.25">
      <c r="B72">
        <f>Competitors!A52</f>
        <v>0</v>
      </c>
      <c r="C72">
        <f>Competitors!A52</f>
        <v>0</v>
      </c>
      <c r="D72" s="13">
        <f>Competitors!A52</f>
        <v>0</v>
      </c>
      <c r="E72" s="13" t="e">
        <f>SUM((VLOOKUP(B72, Rankings!C:E,3,FALSE)),(VLOOKUP(C72, Rankings!C:E,3,FALSE)),(VLOOKUP(D72, Rankings!C:E,3,FALSE)))</f>
        <v>#N/A</v>
      </c>
    </row>
    <row r="73" spans="2:5" s="5" customFormat="1" hidden="1" x14ac:dyDescent="0.25">
      <c r="B73">
        <f>Competitors!A53</f>
        <v>0</v>
      </c>
      <c r="C73">
        <f>Competitors!A53</f>
        <v>0</v>
      </c>
      <c r="D73" s="13">
        <f>Competitors!A53</f>
        <v>0</v>
      </c>
      <c r="E73" s="13" t="e">
        <f>SUM((VLOOKUP(B73, Rankings!C:E,3,FALSE)),(VLOOKUP(C73, Rankings!C:E,3,FALSE)),(VLOOKUP(D73, Rankings!C:E,3,FALSE)))</f>
        <v>#N/A</v>
      </c>
    </row>
    <row r="74" spans="2:5" s="5" customFormat="1" hidden="1" x14ac:dyDescent="0.25">
      <c r="B74">
        <f>Competitors!A54</f>
        <v>0</v>
      </c>
      <c r="C74">
        <f>Competitors!A54</f>
        <v>0</v>
      </c>
      <c r="D74" s="13">
        <f>Competitors!A54</f>
        <v>0</v>
      </c>
      <c r="E74" s="13" t="e">
        <f>SUM((VLOOKUP(B74, Rankings!C:E,3,FALSE)),(VLOOKUP(C74, Rankings!C:E,3,FALSE)),(VLOOKUP(D74, Rankings!C:E,3,FALSE)))</f>
        <v>#N/A</v>
      </c>
    </row>
    <row r="75" spans="2:5" s="5" customFormat="1" hidden="1" x14ac:dyDescent="0.25">
      <c r="B75">
        <f>Competitors!A55</f>
        <v>0</v>
      </c>
      <c r="C75">
        <f>Competitors!A55</f>
        <v>0</v>
      </c>
      <c r="D75" s="13">
        <f>Competitors!A55</f>
        <v>0</v>
      </c>
      <c r="E75" s="13" t="e">
        <f>SUM((VLOOKUP(B75, Rankings!C:E,3,FALSE)),(VLOOKUP(C75, Rankings!C:E,3,FALSE)),(VLOOKUP(D75, Rankings!C:E,3,FALSE)))</f>
        <v>#N/A</v>
      </c>
    </row>
    <row r="76" spans="2:5" s="5" customFormat="1" hidden="1" x14ac:dyDescent="0.25">
      <c r="B76">
        <f>Competitors!A56</f>
        <v>0</v>
      </c>
      <c r="C76">
        <f>Competitors!A56</f>
        <v>0</v>
      </c>
      <c r="D76" s="13">
        <f>Competitors!A56</f>
        <v>0</v>
      </c>
      <c r="E76" s="13" t="e">
        <f>SUM((VLOOKUP(B76, Rankings!C:E,3,FALSE)),(VLOOKUP(C76, Rankings!C:E,3,FALSE)),(VLOOKUP(D76, Rankings!C:E,3,FALSE)))</f>
        <v>#N/A</v>
      </c>
    </row>
    <row r="77" spans="2:5" s="5" customFormat="1" hidden="1" x14ac:dyDescent="0.25">
      <c r="B77">
        <f>Competitors!A57</f>
        <v>0</v>
      </c>
      <c r="C77">
        <f>Competitors!A57</f>
        <v>0</v>
      </c>
      <c r="D77" s="13">
        <f>Competitors!A57</f>
        <v>0</v>
      </c>
      <c r="E77" s="13" t="e">
        <f>SUM((VLOOKUP(B77, Rankings!C:E,3,FALSE)),(VLOOKUP(C77, Rankings!C:E,3,FALSE)),(VLOOKUP(D77, Rankings!C:E,3,FALSE)))</f>
        <v>#N/A</v>
      </c>
    </row>
    <row r="78" spans="2:5" s="5" customFormat="1" hidden="1" x14ac:dyDescent="0.25">
      <c r="B78">
        <f>Competitors!A58</f>
        <v>0</v>
      </c>
      <c r="C78">
        <f>Competitors!A58</f>
        <v>0</v>
      </c>
      <c r="D78" s="13">
        <f>Competitors!A58</f>
        <v>0</v>
      </c>
      <c r="E78" s="13" t="e">
        <f>SUM((VLOOKUP(B78, Rankings!C:E,3,FALSE)),(VLOOKUP(C78, Rankings!C:E,3,FALSE)),(VLOOKUP(D78, Rankings!C:E,3,FALSE)))</f>
        <v>#N/A</v>
      </c>
    </row>
    <row r="79" spans="2:5" s="5" customFormat="1" hidden="1" x14ac:dyDescent="0.25">
      <c r="B79">
        <f>Competitors!A59</f>
        <v>0</v>
      </c>
      <c r="C79">
        <f>Competitors!A59</f>
        <v>0</v>
      </c>
      <c r="D79" s="13">
        <f>Competitors!A59</f>
        <v>0</v>
      </c>
      <c r="E79" s="13" t="e">
        <f>SUM((VLOOKUP(B79, Rankings!C:E,3,FALSE)),(VLOOKUP(C79, Rankings!C:E,3,FALSE)),(VLOOKUP(D79, Rankings!C:E,3,FALSE)))</f>
        <v>#N/A</v>
      </c>
    </row>
    <row r="80" spans="2:5" s="5" customFormat="1" hidden="1" x14ac:dyDescent="0.25">
      <c r="B80">
        <f>Competitors!A60</f>
        <v>0</v>
      </c>
      <c r="C80">
        <f>Competitors!A60</f>
        <v>0</v>
      </c>
      <c r="D80" s="13">
        <f>Competitors!A60</f>
        <v>0</v>
      </c>
      <c r="E80" s="13" t="e">
        <f>SUM((VLOOKUP(B80, Rankings!C:E,3,FALSE)),(VLOOKUP(C80, Rankings!C:E,3,FALSE)),(VLOOKUP(D80, Rankings!C:E,3,FALSE)))</f>
        <v>#N/A</v>
      </c>
    </row>
    <row r="81" spans="2:5" s="5" customFormat="1" hidden="1" x14ac:dyDescent="0.25">
      <c r="B81">
        <f>Competitors!A61</f>
        <v>0</v>
      </c>
      <c r="C81">
        <f>Competitors!A61</f>
        <v>0</v>
      </c>
      <c r="D81" s="13">
        <f>Competitors!A61</f>
        <v>0</v>
      </c>
      <c r="E81" s="13" t="e">
        <f>SUM((VLOOKUP(B81, Rankings!C:E,3,FALSE)),(VLOOKUP(C81, Rankings!C:E,3,FALSE)),(VLOOKUP(D81, Rankings!C:E,3,FALSE)))</f>
        <v>#N/A</v>
      </c>
    </row>
    <row r="82" spans="2:5" s="5" customFormat="1" hidden="1" x14ac:dyDescent="0.25">
      <c r="B82">
        <f>Competitors!A62</f>
        <v>0</v>
      </c>
      <c r="C82">
        <f>Competitors!A62</f>
        <v>0</v>
      </c>
      <c r="D82" s="13">
        <f>Competitors!A62</f>
        <v>0</v>
      </c>
      <c r="E82" s="13" t="e">
        <f>SUM((VLOOKUP(B82, Rankings!C:E,3,FALSE)),(VLOOKUP(C82, Rankings!C:E,3,FALSE)),(VLOOKUP(D82, Rankings!C:E,3,FALSE)))</f>
        <v>#N/A</v>
      </c>
    </row>
    <row r="83" spans="2:5" s="5" customFormat="1" hidden="1" x14ac:dyDescent="0.25">
      <c r="B83">
        <f>Competitors!A63</f>
        <v>0</v>
      </c>
      <c r="C83">
        <f>Competitors!A63</f>
        <v>0</v>
      </c>
      <c r="D83" s="13">
        <f>Competitors!A63</f>
        <v>0</v>
      </c>
      <c r="E83" s="13" t="e">
        <f>SUM((VLOOKUP(B83, Rankings!C:E,3,FALSE)),(VLOOKUP(C83, Rankings!C:E,3,FALSE)),(VLOOKUP(D83, Rankings!C:E,3,FALSE)))</f>
        <v>#N/A</v>
      </c>
    </row>
    <row r="84" spans="2:5" s="5" customFormat="1" hidden="1" x14ac:dyDescent="0.25">
      <c r="B84">
        <f>Competitors!A64</f>
        <v>0</v>
      </c>
      <c r="C84">
        <f>Competitors!A64</f>
        <v>0</v>
      </c>
      <c r="D84" s="13">
        <f>Competitors!A64</f>
        <v>0</v>
      </c>
      <c r="E84" s="13" t="e">
        <f>SUM((VLOOKUP(B84, Rankings!C:E,3,FALSE)),(VLOOKUP(C84, Rankings!C:E,3,FALSE)),(VLOOKUP(D84, Rankings!C:E,3,FALSE)))</f>
        <v>#N/A</v>
      </c>
    </row>
    <row r="85" spans="2:5" s="5" customFormat="1" hidden="1" x14ac:dyDescent="0.25">
      <c r="B85">
        <f>Competitors!A65</f>
        <v>0</v>
      </c>
      <c r="C85">
        <f>Competitors!A65</f>
        <v>0</v>
      </c>
      <c r="D85" s="13">
        <f>Competitors!A65</f>
        <v>0</v>
      </c>
      <c r="E85" s="13" t="e">
        <f>SUM((VLOOKUP(B85, Rankings!C:E,3,FALSE)),(VLOOKUP(C85, Rankings!C:E,3,FALSE)),(VLOOKUP(D85, Rankings!C:E,3,FALSE)))</f>
        <v>#N/A</v>
      </c>
    </row>
    <row r="86" spans="2:5" s="5" customFormat="1" hidden="1" x14ac:dyDescent="0.25">
      <c r="B86">
        <f>Competitors!A66</f>
        <v>0</v>
      </c>
      <c r="C86">
        <f>Competitors!A66</f>
        <v>0</v>
      </c>
      <c r="D86" s="13">
        <f>Competitors!A66</f>
        <v>0</v>
      </c>
      <c r="E86" s="13" t="e">
        <f>SUM((VLOOKUP(B86, Rankings!C:E,3,FALSE)),(VLOOKUP(C86, Rankings!C:E,3,FALSE)),(VLOOKUP(D86, Rankings!C:E,3,FALSE)))</f>
        <v>#N/A</v>
      </c>
    </row>
    <row r="87" spans="2:5" s="5" customFormat="1" hidden="1" x14ac:dyDescent="0.25">
      <c r="B87">
        <f>Competitors!A67</f>
        <v>0</v>
      </c>
      <c r="C87">
        <f>Competitors!A67</f>
        <v>0</v>
      </c>
      <c r="D87" s="13">
        <f>Competitors!A67</f>
        <v>0</v>
      </c>
      <c r="E87" s="13" t="e">
        <f>SUM((VLOOKUP(B87, Rankings!C:E,3,FALSE)),(VLOOKUP(C87, Rankings!C:E,3,FALSE)),(VLOOKUP(D87, Rankings!C:E,3,FALSE)))</f>
        <v>#N/A</v>
      </c>
    </row>
    <row r="88" spans="2:5" s="5" customFormat="1" hidden="1" x14ac:dyDescent="0.25">
      <c r="B88">
        <f>Competitors!A68</f>
        <v>0</v>
      </c>
      <c r="C88">
        <f>Competitors!A68</f>
        <v>0</v>
      </c>
      <c r="D88" s="13">
        <f>Competitors!A68</f>
        <v>0</v>
      </c>
      <c r="E88" s="13" t="e">
        <f>SUM((VLOOKUP(B88, Rankings!C:E,3,FALSE)),(VLOOKUP(C88, Rankings!C:E,3,FALSE)),(VLOOKUP(D88, Rankings!C:E,3,FALSE)))</f>
        <v>#N/A</v>
      </c>
    </row>
    <row r="89" spans="2:5" s="5" customFormat="1" hidden="1" x14ac:dyDescent="0.25">
      <c r="B89">
        <f>Competitors!A69</f>
        <v>0</v>
      </c>
      <c r="C89">
        <f>Competitors!A69</f>
        <v>0</v>
      </c>
      <c r="D89" s="13">
        <f>Competitors!A69</f>
        <v>0</v>
      </c>
      <c r="E89" s="13" t="e">
        <f>SUM((VLOOKUP(B89, Rankings!C:E,3,FALSE)),(VLOOKUP(C89, Rankings!C:E,3,FALSE)),(VLOOKUP(D89, Rankings!C:E,3,FALSE)))</f>
        <v>#N/A</v>
      </c>
    </row>
    <row r="90" spans="2:5" s="5" customFormat="1" hidden="1" x14ac:dyDescent="0.25">
      <c r="B90">
        <f>Competitors!A70</f>
        <v>0</v>
      </c>
      <c r="C90">
        <f>Competitors!A70</f>
        <v>0</v>
      </c>
      <c r="D90" s="13">
        <f>Competitors!A70</f>
        <v>0</v>
      </c>
      <c r="E90" s="13" t="e">
        <f>SUM((VLOOKUP(B90, Rankings!C:E,3,FALSE)),(VLOOKUP(C90, Rankings!C:E,3,FALSE)),(VLOOKUP(D90, Rankings!C:E,3,FALSE)))</f>
        <v>#N/A</v>
      </c>
    </row>
    <row r="91" spans="2:5" s="5" customFormat="1" hidden="1" x14ac:dyDescent="0.25">
      <c r="B91">
        <f>Competitors!A71</f>
        <v>0</v>
      </c>
      <c r="C91">
        <f>Competitors!A71</f>
        <v>0</v>
      </c>
      <c r="D91" s="13">
        <f>Competitors!A71</f>
        <v>0</v>
      </c>
      <c r="E91" s="13" t="e">
        <f>SUM((VLOOKUP(B91, Rankings!C:E,3,FALSE)),(VLOOKUP(C91, Rankings!C:E,3,FALSE)),(VLOOKUP(D91, Rankings!C:E,3,FALSE)))</f>
        <v>#N/A</v>
      </c>
    </row>
    <row r="92" spans="2:5" s="5" customFormat="1" hidden="1" x14ac:dyDescent="0.25">
      <c r="B92">
        <f>Competitors!A72</f>
        <v>0</v>
      </c>
      <c r="C92">
        <f>Competitors!A72</f>
        <v>0</v>
      </c>
      <c r="D92" s="13">
        <f>Competitors!A72</f>
        <v>0</v>
      </c>
      <c r="E92" s="13" t="e">
        <f>SUM((VLOOKUP(B92, Rankings!C:E,3,FALSE)),(VLOOKUP(C92, Rankings!C:E,3,FALSE)),(VLOOKUP(D92, Rankings!C:E,3,FALSE)))</f>
        <v>#N/A</v>
      </c>
    </row>
    <row r="93" spans="2:5" s="5" customFormat="1" hidden="1" x14ac:dyDescent="0.25">
      <c r="B93">
        <f>Competitors!A73</f>
        <v>0</v>
      </c>
      <c r="C93">
        <f>Competitors!A73</f>
        <v>0</v>
      </c>
      <c r="D93" s="13">
        <f>Competitors!A73</f>
        <v>0</v>
      </c>
      <c r="E93" s="13" t="e">
        <f>SUM((VLOOKUP(B93, Rankings!C:E,3,FALSE)),(VLOOKUP(C93, Rankings!C:E,3,FALSE)),(VLOOKUP(D93, Rankings!C:E,3,FALSE)))</f>
        <v>#N/A</v>
      </c>
    </row>
    <row r="94" spans="2:5" s="5" customFormat="1" hidden="1" x14ac:dyDescent="0.25">
      <c r="B94">
        <f>Competitors!A74</f>
        <v>0</v>
      </c>
      <c r="C94">
        <f>Competitors!A74</f>
        <v>0</v>
      </c>
      <c r="D94" s="13">
        <f>Competitors!A74</f>
        <v>0</v>
      </c>
      <c r="E94" s="13" t="e">
        <f>SUM((VLOOKUP(B94, Rankings!C:E,3,FALSE)),(VLOOKUP(C94, Rankings!C:E,3,FALSE)),(VLOOKUP(D94, Rankings!C:E,3,FALSE)))</f>
        <v>#N/A</v>
      </c>
    </row>
    <row r="95" spans="2:5" s="5" customFormat="1" hidden="1" x14ac:dyDescent="0.25">
      <c r="B95">
        <f>Competitors!A75</f>
        <v>0</v>
      </c>
      <c r="C95">
        <f>Competitors!A75</f>
        <v>0</v>
      </c>
      <c r="D95" s="13">
        <f>Competitors!A75</f>
        <v>0</v>
      </c>
      <c r="E95" s="13" t="e">
        <f>SUM((VLOOKUP(B95, Rankings!C:E,3,FALSE)),(VLOOKUP(C95, Rankings!C:E,3,FALSE)),(VLOOKUP(D95, Rankings!C:E,3,FALSE)))</f>
        <v>#N/A</v>
      </c>
    </row>
    <row r="96" spans="2:5" s="5" customFormat="1" hidden="1" x14ac:dyDescent="0.25">
      <c r="B96">
        <f>Competitors!A76</f>
        <v>0</v>
      </c>
      <c r="C96">
        <f>Competitors!A76</f>
        <v>0</v>
      </c>
      <c r="D96" s="13">
        <f>Competitors!A76</f>
        <v>0</v>
      </c>
      <c r="E96" s="13" t="e">
        <f>SUM((VLOOKUP(B96, Rankings!C:E,3,FALSE)),(VLOOKUP(C96, Rankings!C:E,3,FALSE)),(VLOOKUP(D96, Rankings!C:E,3,FALSE)))</f>
        <v>#N/A</v>
      </c>
    </row>
    <row r="97" spans="2:5" s="5" customFormat="1" hidden="1" x14ac:dyDescent="0.25">
      <c r="B97">
        <f>Competitors!A77</f>
        <v>0</v>
      </c>
      <c r="C97">
        <f>Competitors!A77</f>
        <v>0</v>
      </c>
      <c r="D97" s="13">
        <f>Competitors!A77</f>
        <v>0</v>
      </c>
      <c r="E97" s="13" t="e">
        <f>SUM((VLOOKUP(B97, Rankings!C:E,3,FALSE)),(VLOOKUP(C97, Rankings!C:E,3,FALSE)),(VLOOKUP(D97, Rankings!C:E,3,FALSE)))</f>
        <v>#N/A</v>
      </c>
    </row>
    <row r="98" spans="2:5" s="5" customFormat="1" hidden="1" x14ac:dyDescent="0.25">
      <c r="B98">
        <f>Competitors!A78</f>
        <v>0</v>
      </c>
      <c r="C98">
        <f>Competitors!A78</f>
        <v>0</v>
      </c>
      <c r="D98" s="13">
        <f>Competitors!A78</f>
        <v>0</v>
      </c>
      <c r="E98" s="13" t="e">
        <f>SUM((VLOOKUP(B98, Rankings!C:E,3,FALSE)),(VLOOKUP(C98, Rankings!C:E,3,FALSE)),(VLOOKUP(D98, Rankings!C:E,3,FALSE)))</f>
        <v>#N/A</v>
      </c>
    </row>
    <row r="99" spans="2:5" s="5" customFormat="1" hidden="1" x14ac:dyDescent="0.25">
      <c r="B99">
        <f>Competitors!A79</f>
        <v>0</v>
      </c>
      <c r="C99">
        <f>Competitors!A79</f>
        <v>0</v>
      </c>
      <c r="D99" s="13">
        <f>Competitors!A79</f>
        <v>0</v>
      </c>
      <c r="E99" s="13" t="e">
        <f>SUM((VLOOKUP(B99, Rankings!C:E,3,FALSE)),(VLOOKUP(C99, Rankings!C:E,3,FALSE)),(VLOOKUP(D99, Rankings!C:E,3,FALSE)))</f>
        <v>#N/A</v>
      </c>
    </row>
    <row r="100" spans="2:5" s="5" customFormat="1" hidden="1" x14ac:dyDescent="0.25">
      <c r="B100">
        <f>Competitors!A80</f>
        <v>0</v>
      </c>
      <c r="C100">
        <f>Competitors!A80</f>
        <v>0</v>
      </c>
      <c r="D100" s="13">
        <f>Competitors!A80</f>
        <v>0</v>
      </c>
      <c r="E100" s="13" t="e">
        <f>SUM((VLOOKUP(B100, Rankings!C:E,3,FALSE)),(VLOOKUP(C100, Rankings!C:E,3,FALSE)),(VLOOKUP(D100, Rankings!C:E,3,FALSE)))</f>
        <v>#N/A</v>
      </c>
    </row>
    <row r="101" spans="2:5" s="5" customFormat="1" hidden="1" x14ac:dyDescent="0.25">
      <c r="B101">
        <f>Competitors!A81</f>
        <v>0</v>
      </c>
      <c r="C101">
        <f>Competitors!A81</f>
        <v>0</v>
      </c>
      <c r="D101" s="13">
        <f>Competitors!A81</f>
        <v>0</v>
      </c>
      <c r="E101" s="13" t="e">
        <f>SUM((VLOOKUP(B101, Rankings!C:E,3,FALSE)),(VLOOKUP(C101, Rankings!C:E,3,FALSE)),(VLOOKUP(D101, Rankings!C:E,3,FALSE)))</f>
        <v>#N/A</v>
      </c>
    </row>
    <row r="102" spans="2:5" s="5" customFormat="1" hidden="1" x14ac:dyDescent="0.25">
      <c r="B102">
        <f>Competitors!A82</f>
        <v>0</v>
      </c>
      <c r="C102">
        <f>Competitors!A82</f>
        <v>0</v>
      </c>
      <c r="D102" s="13">
        <f>Competitors!A82</f>
        <v>0</v>
      </c>
      <c r="E102" s="13" t="e">
        <f>SUM((VLOOKUP(B102, Rankings!C:E,3,FALSE)),(VLOOKUP(C102, Rankings!C:E,3,FALSE)),(VLOOKUP(D102, Rankings!C:E,3,FALSE)))</f>
        <v>#N/A</v>
      </c>
    </row>
    <row r="103" spans="2:5" s="5" customFormat="1" hidden="1" x14ac:dyDescent="0.25">
      <c r="B103">
        <f>Competitors!A83</f>
        <v>0</v>
      </c>
      <c r="C103">
        <f>Competitors!A83</f>
        <v>0</v>
      </c>
      <c r="D103" s="13">
        <f>Competitors!A83</f>
        <v>0</v>
      </c>
      <c r="E103" s="13" t="e">
        <f>SUM((VLOOKUP(B103, Rankings!C:E,3,FALSE)),(VLOOKUP(C103, Rankings!C:E,3,FALSE)),(VLOOKUP(D103, Rankings!C:E,3,FALSE)))</f>
        <v>#N/A</v>
      </c>
    </row>
    <row r="104" spans="2:5" s="5" customFormat="1" hidden="1" x14ac:dyDescent="0.25">
      <c r="B104">
        <f>Competitors!A84</f>
        <v>0</v>
      </c>
      <c r="C104">
        <f>Competitors!A84</f>
        <v>0</v>
      </c>
      <c r="D104" s="13">
        <f>Competitors!A84</f>
        <v>0</v>
      </c>
      <c r="E104" s="13" t="e">
        <f>SUM((VLOOKUP(B104, Rankings!C:E,3,FALSE)),(VLOOKUP(C104, Rankings!C:E,3,FALSE)),(VLOOKUP(D104, Rankings!C:E,3,FALSE)))</f>
        <v>#N/A</v>
      </c>
    </row>
    <row r="105" spans="2:5" s="5" customFormat="1" hidden="1" x14ac:dyDescent="0.25">
      <c r="B105">
        <f>Competitors!A85</f>
        <v>0</v>
      </c>
      <c r="C105">
        <f>Competitors!A85</f>
        <v>0</v>
      </c>
      <c r="D105" s="13">
        <f>Competitors!A85</f>
        <v>0</v>
      </c>
      <c r="E105" s="13" t="e">
        <f>SUM((VLOOKUP(B105, Rankings!C:E,3,FALSE)),(VLOOKUP(C105, Rankings!C:E,3,FALSE)),(VLOOKUP(D105, Rankings!C:E,3,FALSE)))</f>
        <v>#N/A</v>
      </c>
    </row>
    <row r="106" spans="2:5" s="5" customFormat="1" hidden="1" x14ac:dyDescent="0.25">
      <c r="B106">
        <f>Competitors!A86</f>
        <v>0</v>
      </c>
      <c r="C106">
        <f>Competitors!A86</f>
        <v>0</v>
      </c>
      <c r="D106" s="13">
        <f>Competitors!A86</f>
        <v>0</v>
      </c>
      <c r="E106" s="13" t="e">
        <f>SUM((VLOOKUP(B106, Rankings!C:E,3,FALSE)),(VLOOKUP(C106, Rankings!C:E,3,FALSE)),(VLOOKUP(D106, Rankings!C:E,3,FALSE)))</f>
        <v>#N/A</v>
      </c>
    </row>
    <row r="107" spans="2:5" s="5" customFormat="1" hidden="1" x14ac:dyDescent="0.25">
      <c r="B107">
        <f>Competitors!A87</f>
        <v>0</v>
      </c>
      <c r="C107">
        <f>Competitors!A87</f>
        <v>0</v>
      </c>
      <c r="D107" s="13">
        <f>Competitors!A87</f>
        <v>0</v>
      </c>
      <c r="E107" s="13" t="e">
        <f>SUM((VLOOKUP(B107, Rankings!C:E,3,FALSE)),(VLOOKUP(C107, Rankings!C:E,3,FALSE)),(VLOOKUP(D107, Rankings!C:E,3,FALSE)))</f>
        <v>#N/A</v>
      </c>
    </row>
    <row r="108" spans="2:5" s="5" customFormat="1" hidden="1" x14ac:dyDescent="0.25">
      <c r="B108">
        <f>Competitors!A88</f>
        <v>0</v>
      </c>
      <c r="C108">
        <f>Competitors!A88</f>
        <v>0</v>
      </c>
      <c r="D108" s="13">
        <f>Competitors!A88</f>
        <v>0</v>
      </c>
      <c r="E108" s="13" t="e">
        <f>SUM((VLOOKUP(B108, Rankings!C:E,3,FALSE)),(VLOOKUP(C108, Rankings!C:E,3,FALSE)),(VLOOKUP(D108, Rankings!C:E,3,FALSE)))</f>
        <v>#N/A</v>
      </c>
    </row>
    <row r="109" spans="2:5" s="5" customFormat="1" hidden="1" x14ac:dyDescent="0.25">
      <c r="B109">
        <f>Competitors!A89</f>
        <v>0</v>
      </c>
      <c r="C109">
        <f>Competitors!A89</f>
        <v>0</v>
      </c>
      <c r="D109" s="13">
        <f>Competitors!A89</f>
        <v>0</v>
      </c>
      <c r="E109" s="13" t="e">
        <f>SUM((VLOOKUP(B109, Rankings!C:E,3,FALSE)),(VLOOKUP(C109, Rankings!C:E,3,FALSE)),(VLOOKUP(D109, Rankings!C:E,3,FALSE)))</f>
        <v>#N/A</v>
      </c>
    </row>
    <row r="110" spans="2:5" s="5" customFormat="1" hidden="1" x14ac:dyDescent="0.25">
      <c r="B110">
        <f>Competitors!A90</f>
        <v>0</v>
      </c>
      <c r="C110">
        <f>Competitors!A90</f>
        <v>0</v>
      </c>
      <c r="D110" s="13">
        <f>Competitors!A90</f>
        <v>0</v>
      </c>
      <c r="E110" s="13" t="e">
        <f>SUM((VLOOKUP(B110, Rankings!C:E,3,FALSE)),(VLOOKUP(C110, Rankings!C:E,3,FALSE)),(VLOOKUP(D110, Rankings!C:E,3,FALSE)))</f>
        <v>#N/A</v>
      </c>
    </row>
    <row r="111" spans="2:5" s="5" customFormat="1" hidden="1" x14ac:dyDescent="0.25">
      <c r="B111">
        <f>Competitors!A91</f>
        <v>0</v>
      </c>
      <c r="C111">
        <f>Competitors!A91</f>
        <v>0</v>
      </c>
      <c r="D111" s="13">
        <f>Competitors!A91</f>
        <v>0</v>
      </c>
      <c r="E111" s="13" t="e">
        <f>SUM((VLOOKUP(B111, Rankings!C:E,3,FALSE)),(VLOOKUP(C111, Rankings!C:E,3,FALSE)),(VLOOKUP(D111, Rankings!C:E,3,FALSE)))</f>
        <v>#N/A</v>
      </c>
    </row>
    <row r="112" spans="2:5" s="5" customFormat="1" hidden="1" x14ac:dyDescent="0.25">
      <c r="B112">
        <f>Competitors!A92</f>
        <v>0</v>
      </c>
      <c r="C112">
        <f>Competitors!A92</f>
        <v>0</v>
      </c>
      <c r="D112" s="13">
        <f>Competitors!A92</f>
        <v>0</v>
      </c>
      <c r="E112" s="13" t="e">
        <f>SUM((VLOOKUP(B112, Rankings!C:E,3,FALSE)),(VLOOKUP(C112, Rankings!C:E,3,FALSE)),(VLOOKUP(D112, Rankings!C:E,3,FALSE)))</f>
        <v>#N/A</v>
      </c>
    </row>
    <row r="113" spans="2:5" s="5" customFormat="1" hidden="1" x14ac:dyDescent="0.25">
      <c r="B113">
        <f>Competitors!A93</f>
        <v>0</v>
      </c>
      <c r="C113">
        <f>Competitors!A93</f>
        <v>0</v>
      </c>
      <c r="D113" s="13">
        <f>Competitors!A93</f>
        <v>0</v>
      </c>
      <c r="E113" s="13" t="e">
        <f>SUM((VLOOKUP(B113, Rankings!C:E,3,FALSE)),(VLOOKUP(C113, Rankings!C:E,3,FALSE)),(VLOOKUP(D113, Rankings!C:E,3,FALSE)))</f>
        <v>#N/A</v>
      </c>
    </row>
    <row r="114" spans="2:5" s="5" customFormat="1" hidden="1" x14ac:dyDescent="0.25">
      <c r="B114">
        <f>Competitors!A94</f>
        <v>0</v>
      </c>
      <c r="C114">
        <f>Competitors!A94</f>
        <v>0</v>
      </c>
      <c r="D114" s="13">
        <f>Competitors!A94</f>
        <v>0</v>
      </c>
      <c r="E114" s="13" t="e">
        <f>SUM((VLOOKUP(B114, Rankings!C:E,3,FALSE)),(VLOOKUP(C114, Rankings!C:E,3,FALSE)),(VLOOKUP(D114, Rankings!C:E,3,FALSE)))</f>
        <v>#N/A</v>
      </c>
    </row>
    <row r="115" spans="2:5" s="5" customFormat="1" hidden="1" x14ac:dyDescent="0.25">
      <c r="B115">
        <f>Competitors!A95</f>
        <v>0</v>
      </c>
      <c r="C115">
        <f>Competitors!A95</f>
        <v>0</v>
      </c>
      <c r="D115" s="13">
        <f>Competitors!A95</f>
        <v>0</v>
      </c>
      <c r="E115" s="13" t="e">
        <f>SUM((VLOOKUP(B115, Rankings!C:E,3,FALSE)),(VLOOKUP(C115, Rankings!C:E,3,FALSE)),(VLOOKUP(D115, Rankings!C:E,3,FALSE)))</f>
        <v>#N/A</v>
      </c>
    </row>
    <row r="116" spans="2:5" s="5" customFormat="1" hidden="1" x14ac:dyDescent="0.25">
      <c r="B116">
        <f>Competitors!A96</f>
        <v>0</v>
      </c>
      <c r="C116">
        <f>Competitors!A96</f>
        <v>0</v>
      </c>
      <c r="D116" s="13">
        <f>Competitors!A96</f>
        <v>0</v>
      </c>
      <c r="E116" s="13" t="e">
        <f>SUM((VLOOKUP(B116, Rankings!C:E,3,FALSE)),(VLOOKUP(C116, Rankings!C:E,3,FALSE)),(VLOOKUP(D116, Rankings!C:E,3,FALSE)))</f>
        <v>#N/A</v>
      </c>
    </row>
    <row r="117" spans="2:5" s="5" customFormat="1" hidden="1" x14ac:dyDescent="0.25">
      <c r="B117">
        <f>Competitors!A97</f>
        <v>0</v>
      </c>
      <c r="C117">
        <f>Competitors!A97</f>
        <v>0</v>
      </c>
      <c r="D117" s="13">
        <f>Competitors!A97</f>
        <v>0</v>
      </c>
      <c r="E117" s="13" t="e">
        <f>SUM((VLOOKUP(B117, Rankings!C:E,3,FALSE)),(VLOOKUP(C117, Rankings!C:E,3,FALSE)),(VLOOKUP(D117, Rankings!C:E,3,FALSE)))</f>
        <v>#N/A</v>
      </c>
    </row>
    <row r="118" spans="2:5" s="5" customFormat="1" hidden="1" x14ac:dyDescent="0.25">
      <c r="B118">
        <f>Competitors!A98</f>
        <v>0</v>
      </c>
      <c r="C118">
        <f>Competitors!A98</f>
        <v>0</v>
      </c>
      <c r="D118" s="13">
        <f>Competitors!A98</f>
        <v>0</v>
      </c>
      <c r="E118" s="13" t="e">
        <f>SUM((VLOOKUP(B118, Rankings!C:E,3,FALSE)),(VLOOKUP(C118, Rankings!C:E,3,FALSE)),(VLOOKUP(D118, Rankings!C:E,3,FALSE)))</f>
        <v>#N/A</v>
      </c>
    </row>
    <row r="119" spans="2:5" s="5" customFormat="1" hidden="1" x14ac:dyDescent="0.25">
      <c r="B119">
        <f>Competitors!A99</f>
        <v>0</v>
      </c>
      <c r="C119">
        <f>Competitors!A99</f>
        <v>0</v>
      </c>
      <c r="D119" s="13">
        <f>Competitors!A99</f>
        <v>0</v>
      </c>
      <c r="E119" s="13" t="e">
        <f>SUM((VLOOKUP(B119, Rankings!C:E,3,FALSE)),(VLOOKUP(C119, Rankings!C:E,3,FALSE)),(VLOOKUP(D119, Rankings!C:E,3,FALSE)))</f>
        <v>#N/A</v>
      </c>
    </row>
    <row r="120" spans="2:5" s="5" customFormat="1" hidden="1" x14ac:dyDescent="0.25">
      <c r="B120">
        <f>Competitors!A100</f>
        <v>0</v>
      </c>
      <c r="C120">
        <f>Competitors!A100</f>
        <v>0</v>
      </c>
      <c r="D120" s="13">
        <f>Competitors!A100</f>
        <v>0</v>
      </c>
      <c r="E120" s="13" t="e">
        <f>SUM((VLOOKUP(B120, Rankings!C:E,3,FALSE)),(VLOOKUP(C120, Rankings!C:E,3,FALSE)),(VLOOKUP(D120, Rankings!C:E,3,FALSE)))</f>
        <v>#N/A</v>
      </c>
    </row>
    <row r="121" spans="2:5" s="5" customFormat="1" hidden="1" x14ac:dyDescent="0.25">
      <c r="B121">
        <f>Competitors!A101</f>
        <v>0</v>
      </c>
      <c r="C121">
        <f>Competitors!A101</f>
        <v>0</v>
      </c>
      <c r="D121" s="13">
        <f>Competitors!A101</f>
        <v>0</v>
      </c>
      <c r="E121" s="13" t="e">
        <f>SUM((VLOOKUP(B121, Rankings!C:E,3,FALSE)),(VLOOKUP(C121, Rankings!C:E,3,FALSE)),(VLOOKUP(D121, Rankings!C:E,3,FALSE)))</f>
        <v>#N/A</v>
      </c>
    </row>
    <row r="122" spans="2:5" s="5" customFormat="1" hidden="1" x14ac:dyDescent="0.25">
      <c r="B122">
        <f>Competitors!A102</f>
        <v>0</v>
      </c>
      <c r="C122">
        <f>Competitors!A102</f>
        <v>0</v>
      </c>
      <c r="D122" s="13">
        <f>Competitors!A102</f>
        <v>0</v>
      </c>
      <c r="E122" s="13" t="e">
        <f>SUM((VLOOKUP(B122, Rankings!C:E,3,FALSE)),(VLOOKUP(C122, Rankings!C:E,3,FALSE)),(VLOOKUP(D122, Rankings!C:E,3,FALSE)))</f>
        <v>#N/A</v>
      </c>
    </row>
    <row r="123" spans="2:5" s="5" customFormat="1" hidden="1" x14ac:dyDescent="0.25">
      <c r="B123">
        <f>Competitors!A103</f>
        <v>0</v>
      </c>
      <c r="C123">
        <f>Competitors!A103</f>
        <v>0</v>
      </c>
      <c r="D123" s="13">
        <f>Competitors!A103</f>
        <v>0</v>
      </c>
      <c r="E123" s="13" t="e">
        <f>SUM((VLOOKUP(B123, Rankings!C:E,3,FALSE)),(VLOOKUP(C123, Rankings!C:E,3,FALSE)),(VLOOKUP(D123, Rankings!C:E,3,FALSE)))</f>
        <v>#N/A</v>
      </c>
    </row>
    <row r="124" spans="2:5" s="5" customFormat="1" hidden="1" x14ac:dyDescent="0.25">
      <c r="B124">
        <f>Competitors!A104</f>
        <v>0</v>
      </c>
      <c r="C124">
        <f>Competitors!A104</f>
        <v>0</v>
      </c>
      <c r="D124" s="13">
        <f>Competitors!A104</f>
        <v>0</v>
      </c>
      <c r="E124" s="13" t="e">
        <f>SUM((VLOOKUP(B124, Rankings!C:E,3,FALSE)),(VLOOKUP(C124, Rankings!C:E,3,FALSE)),(VLOOKUP(D124, Rankings!C:E,3,FALSE)))</f>
        <v>#N/A</v>
      </c>
    </row>
    <row r="125" spans="2:5" s="5" customFormat="1" hidden="1" x14ac:dyDescent="0.25">
      <c r="B125">
        <f>Competitors!A105</f>
        <v>0</v>
      </c>
      <c r="C125">
        <f>Competitors!A105</f>
        <v>0</v>
      </c>
      <c r="D125" s="13">
        <f>Competitors!A105</f>
        <v>0</v>
      </c>
      <c r="E125" s="13" t="e">
        <f>SUM((VLOOKUP(B125, Rankings!C:E,3,FALSE)),(VLOOKUP(C125, Rankings!C:E,3,FALSE)),(VLOOKUP(D125, Rankings!C:E,3,FALSE)))</f>
        <v>#N/A</v>
      </c>
    </row>
    <row r="126" spans="2:5" s="5" customFormat="1" hidden="1" x14ac:dyDescent="0.25">
      <c r="B126">
        <f>Competitors!A106</f>
        <v>0</v>
      </c>
      <c r="C126">
        <f>Competitors!A106</f>
        <v>0</v>
      </c>
      <c r="D126" s="13">
        <f>Competitors!A106</f>
        <v>0</v>
      </c>
      <c r="E126" s="13" t="e">
        <f>SUM((VLOOKUP(B126, Rankings!C:E,3,FALSE)),(VLOOKUP(C126, Rankings!C:E,3,FALSE)),(VLOOKUP(D126, Rankings!C:E,3,FALSE)))</f>
        <v>#N/A</v>
      </c>
    </row>
    <row r="127" spans="2:5" s="5" customFormat="1" hidden="1" x14ac:dyDescent="0.25">
      <c r="B127">
        <f>Competitors!A107</f>
        <v>0</v>
      </c>
      <c r="C127">
        <f>Competitors!A107</f>
        <v>0</v>
      </c>
      <c r="D127" s="13">
        <f>Competitors!A107</f>
        <v>0</v>
      </c>
      <c r="E127" s="13" t="e">
        <f>SUM((VLOOKUP(B127, Rankings!C:E,3,FALSE)),(VLOOKUP(C127, Rankings!C:E,3,FALSE)),(VLOOKUP(D127, Rankings!C:E,3,FALSE)))</f>
        <v>#N/A</v>
      </c>
    </row>
    <row r="128" spans="2:5" s="5" customFormat="1" hidden="1" x14ac:dyDescent="0.25">
      <c r="B128">
        <f>Competitors!A108</f>
        <v>0</v>
      </c>
      <c r="C128">
        <f>Competitors!A108</f>
        <v>0</v>
      </c>
      <c r="D128" s="13">
        <f>Competitors!A108</f>
        <v>0</v>
      </c>
      <c r="E128" s="13" t="e">
        <f>SUM((VLOOKUP(B128, Rankings!C:E,3,FALSE)),(VLOOKUP(C128, Rankings!C:E,3,FALSE)),(VLOOKUP(D128, Rankings!C:E,3,FALSE)))</f>
        <v>#N/A</v>
      </c>
    </row>
    <row r="129" spans="2:5" s="5" customFormat="1" hidden="1" x14ac:dyDescent="0.25">
      <c r="B129">
        <f>Competitors!A109</f>
        <v>0</v>
      </c>
      <c r="C129">
        <f>Competitors!A109</f>
        <v>0</v>
      </c>
      <c r="D129" s="13">
        <f>Competitors!A109</f>
        <v>0</v>
      </c>
      <c r="E129" s="13" t="e">
        <f>SUM((VLOOKUP(B129, Rankings!C:E,3,FALSE)),(VLOOKUP(C129, Rankings!C:E,3,FALSE)),(VLOOKUP(D129, Rankings!C:E,3,FALSE)))</f>
        <v>#N/A</v>
      </c>
    </row>
    <row r="130" spans="2:5" s="5" customFormat="1" hidden="1" x14ac:dyDescent="0.25">
      <c r="B130">
        <f>Competitors!A110</f>
        <v>0</v>
      </c>
      <c r="C130">
        <f>Competitors!A110</f>
        <v>0</v>
      </c>
      <c r="D130" s="13">
        <f>Competitors!A110</f>
        <v>0</v>
      </c>
      <c r="E130" s="13" t="e">
        <f>SUM((VLOOKUP(B130, Rankings!C:E,3,FALSE)),(VLOOKUP(C130, Rankings!C:E,3,FALSE)),(VLOOKUP(D130, Rankings!C:E,3,FALSE)))</f>
        <v>#N/A</v>
      </c>
    </row>
    <row r="131" spans="2:5" s="5" customFormat="1" hidden="1" x14ac:dyDescent="0.25">
      <c r="B131">
        <f>Competitors!A111</f>
        <v>0</v>
      </c>
      <c r="C131">
        <f>Competitors!A111</f>
        <v>0</v>
      </c>
      <c r="D131" s="13">
        <f>Competitors!A111</f>
        <v>0</v>
      </c>
      <c r="E131" s="13" t="e">
        <f>SUM((VLOOKUP(B131, Rankings!C:E,3,FALSE)),(VLOOKUP(C131, Rankings!C:E,3,FALSE)),(VLOOKUP(D131, Rankings!C:E,3,FALSE)))</f>
        <v>#N/A</v>
      </c>
    </row>
    <row r="132" spans="2:5" s="5" customFormat="1" hidden="1" x14ac:dyDescent="0.25">
      <c r="B132">
        <f>Competitors!A112</f>
        <v>0</v>
      </c>
      <c r="C132">
        <f>Competitors!A112</f>
        <v>0</v>
      </c>
      <c r="D132" s="13">
        <f>Competitors!A112</f>
        <v>0</v>
      </c>
      <c r="E132" s="13" t="e">
        <f>SUM((VLOOKUP(B132, Rankings!C:E,3,FALSE)),(VLOOKUP(C132, Rankings!C:E,3,FALSE)),(VLOOKUP(D132, Rankings!C:E,3,FALSE)))</f>
        <v>#N/A</v>
      </c>
    </row>
    <row r="133" spans="2:5" s="5" customFormat="1" hidden="1" x14ac:dyDescent="0.25">
      <c r="B133">
        <f>Competitors!A113</f>
        <v>0</v>
      </c>
      <c r="C133">
        <f>Competitors!A113</f>
        <v>0</v>
      </c>
      <c r="D133" s="13">
        <f>Competitors!A113</f>
        <v>0</v>
      </c>
      <c r="E133" s="13" t="e">
        <f>SUM((VLOOKUP(B133, Rankings!C:E,3,FALSE)),(VLOOKUP(C133, Rankings!C:E,3,FALSE)),(VLOOKUP(D133, Rankings!C:E,3,FALSE)))</f>
        <v>#N/A</v>
      </c>
    </row>
    <row r="134" spans="2:5" s="5" customFormat="1" hidden="1" x14ac:dyDescent="0.25">
      <c r="B134">
        <f>Competitors!A114</f>
        <v>0</v>
      </c>
      <c r="C134">
        <f>Competitors!A114</f>
        <v>0</v>
      </c>
      <c r="D134" s="13">
        <f>Competitors!A114</f>
        <v>0</v>
      </c>
      <c r="E134" s="13" t="e">
        <f>SUM((VLOOKUP(B134, Rankings!C:E,3,FALSE)),(VLOOKUP(C134, Rankings!C:E,3,FALSE)),(VLOOKUP(D134, Rankings!C:E,3,FALSE)))</f>
        <v>#N/A</v>
      </c>
    </row>
    <row r="135" spans="2:5" s="5" customFormat="1" hidden="1" x14ac:dyDescent="0.25">
      <c r="B135">
        <f>Competitors!A115</f>
        <v>0</v>
      </c>
      <c r="C135">
        <f>Competitors!A115</f>
        <v>0</v>
      </c>
      <c r="D135" s="13">
        <f>Competitors!A115</f>
        <v>0</v>
      </c>
      <c r="E135" s="13" t="e">
        <f>SUM((VLOOKUP(B135, Rankings!C:E,3,FALSE)),(VLOOKUP(C135, Rankings!C:E,3,FALSE)),(VLOOKUP(D135, Rankings!C:E,3,FALSE)))</f>
        <v>#N/A</v>
      </c>
    </row>
    <row r="136" spans="2:5" s="5" customFormat="1" hidden="1" x14ac:dyDescent="0.25">
      <c r="B136">
        <f>Competitors!A116</f>
        <v>0</v>
      </c>
      <c r="C136">
        <f>Competitors!A116</f>
        <v>0</v>
      </c>
      <c r="D136" s="13">
        <f>Competitors!A116</f>
        <v>0</v>
      </c>
      <c r="E136" s="13" t="e">
        <f>SUM((VLOOKUP(B136, Rankings!C:E,3,FALSE)),(VLOOKUP(C136, Rankings!C:E,3,FALSE)),(VLOOKUP(D136, Rankings!C:E,3,FALSE)))</f>
        <v>#N/A</v>
      </c>
    </row>
    <row r="137" spans="2:5" s="5" customFormat="1" hidden="1" x14ac:dyDescent="0.25">
      <c r="B137">
        <f>Competitors!A117</f>
        <v>0</v>
      </c>
      <c r="C137">
        <f>Competitors!A117</f>
        <v>0</v>
      </c>
      <c r="D137" s="13">
        <f>Competitors!A117</f>
        <v>0</v>
      </c>
      <c r="E137" s="13" t="e">
        <f>SUM((VLOOKUP(B137, Rankings!C:E,3,FALSE)),(VLOOKUP(C137, Rankings!C:E,3,FALSE)),(VLOOKUP(D137, Rankings!C:E,3,FALSE)))</f>
        <v>#N/A</v>
      </c>
    </row>
    <row r="138" spans="2:5" s="5" customFormat="1" hidden="1" x14ac:dyDescent="0.25">
      <c r="B138">
        <f>Competitors!A118</f>
        <v>0</v>
      </c>
      <c r="C138">
        <f>Competitors!A118</f>
        <v>0</v>
      </c>
      <c r="D138" s="13">
        <f>Competitors!A118</f>
        <v>0</v>
      </c>
      <c r="E138" s="13" t="e">
        <f>SUM((VLOOKUP(B138, Rankings!C:E,3,FALSE)),(VLOOKUP(C138, Rankings!C:E,3,FALSE)),(VLOOKUP(D138, Rankings!C:E,3,FALSE)))</f>
        <v>#N/A</v>
      </c>
    </row>
    <row r="139" spans="2:5" s="5" customFormat="1" hidden="1" x14ac:dyDescent="0.25">
      <c r="B139">
        <f>Competitors!A119</f>
        <v>0</v>
      </c>
      <c r="C139">
        <f>Competitors!A119</f>
        <v>0</v>
      </c>
      <c r="D139" s="13">
        <f>Competitors!A119</f>
        <v>0</v>
      </c>
      <c r="E139" s="13" t="e">
        <f>SUM((VLOOKUP(B139, Rankings!C:E,3,FALSE)),(VLOOKUP(C139, Rankings!C:E,3,FALSE)),(VLOOKUP(D139, Rankings!C:E,3,FALSE)))</f>
        <v>#N/A</v>
      </c>
    </row>
    <row r="140" spans="2:5" s="5" customFormat="1" hidden="1" x14ac:dyDescent="0.25">
      <c r="B140">
        <f>Competitors!A120</f>
        <v>0</v>
      </c>
      <c r="C140">
        <f>Competitors!A120</f>
        <v>0</v>
      </c>
      <c r="D140" s="13">
        <f>Competitors!A120</f>
        <v>0</v>
      </c>
      <c r="E140" s="13" t="e">
        <f>SUM((VLOOKUP(B140, Rankings!C:E,3,FALSE)),(VLOOKUP(C140, Rankings!C:E,3,FALSE)),(VLOOKUP(D140, Rankings!C:E,3,FALSE)))</f>
        <v>#N/A</v>
      </c>
    </row>
    <row r="141" spans="2:5" s="5" customFormat="1" hidden="1" x14ac:dyDescent="0.25">
      <c r="B141">
        <f>Competitors!A121</f>
        <v>0</v>
      </c>
      <c r="C141">
        <f>Competitors!A121</f>
        <v>0</v>
      </c>
      <c r="D141" s="13">
        <f>Competitors!A121</f>
        <v>0</v>
      </c>
      <c r="E141" s="13" t="e">
        <f>SUM((VLOOKUP(B141, Rankings!C:E,3,FALSE)),(VLOOKUP(C141, Rankings!C:E,3,FALSE)),(VLOOKUP(D141, Rankings!C:E,3,FALSE)))</f>
        <v>#N/A</v>
      </c>
    </row>
    <row r="142" spans="2:5" s="5" customFormat="1" hidden="1" x14ac:dyDescent="0.25">
      <c r="B142">
        <f>Competitors!A122</f>
        <v>0</v>
      </c>
      <c r="C142">
        <f>Competitors!A122</f>
        <v>0</v>
      </c>
      <c r="D142" s="13">
        <f>Competitors!A122</f>
        <v>0</v>
      </c>
      <c r="E142" s="13" t="e">
        <f>SUM((VLOOKUP(B142, Rankings!C:E,3,FALSE)),(VLOOKUP(C142, Rankings!C:E,3,FALSE)),(VLOOKUP(D142, Rankings!C:E,3,FALSE)))</f>
        <v>#N/A</v>
      </c>
    </row>
    <row r="143" spans="2:5" s="5" customFormat="1" hidden="1" x14ac:dyDescent="0.25">
      <c r="B143">
        <f>Competitors!A123</f>
        <v>0</v>
      </c>
      <c r="C143">
        <f>Competitors!A123</f>
        <v>0</v>
      </c>
      <c r="D143" s="13">
        <f>Competitors!A123</f>
        <v>0</v>
      </c>
      <c r="E143" s="13" t="e">
        <f>SUM((VLOOKUP(B143, Rankings!C:E,3,FALSE)),(VLOOKUP(C143, Rankings!C:E,3,FALSE)),(VLOOKUP(D143, Rankings!C:E,3,FALSE)))</f>
        <v>#N/A</v>
      </c>
    </row>
    <row r="144" spans="2:5" s="5" customFormat="1" hidden="1" x14ac:dyDescent="0.25">
      <c r="B144">
        <f>Competitors!A124</f>
        <v>0</v>
      </c>
      <c r="C144">
        <f>Competitors!A124</f>
        <v>0</v>
      </c>
      <c r="D144" s="13">
        <f>Competitors!A124</f>
        <v>0</v>
      </c>
      <c r="E144" s="13" t="e">
        <f>SUM((VLOOKUP(B144, Rankings!C:E,3,FALSE)),(VLOOKUP(C144, Rankings!C:E,3,FALSE)),(VLOOKUP(D144, Rankings!C:E,3,FALSE)))</f>
        <v>#N/A</v>
      </c>
    </row>
    <row r="145" spans="2:5" s="5" customFormat="1" hidden="1" x14ac:dyDescent="0.25">
      <c r="B145">
        <f>Competitors!A125</f>
        <v>0</v>
      </c>
      <c r="C145">
        <f>Competitors!A125</f>
        <v>0</v>
      </c>
      <c r="D145" s="13">
        <f>Competitors!A125</f>
        <v>0</v>
      </c>
      <c r="E145" s="13" t="e">
        <f>SUM((VLOOKUP(B145, Rankings!C:E,3,FALSE)),(VLOOKUP(C145, Rankings!C:E,3,FALSE)),(VLOOKUP(D145, Rankings!C:E,3,FALSE)))</f>
        <v>#N/A</v>
      </c>
    </row>
    <row r="146" spans="2:5" s="5" customFormat="1" hidden="1" x14ac:dyDescent="0.25">
      <c r="B146">
        <f>Competitors!A126</f>
        <v>0</v>
      </c>
      <c r="C146">
        <f>Competitors!A126</f>
        <v>0</v>
      </c>
      <c r="D146" s="13">
        <f>Competitors!A126</f>
        <v>0</v>
      </c>
      <c r="E146" s="13" t="e">
        <f>SUM((VLOOKUP(B146, Rankings!C:E,3,FALSE)),(VLOOKUP(C146, Rankings!C:E,3,FALSE)),(VLOOKUP(D146, Rankings!C:E,3,FALSE)))</f>
        <v>#N/A</v>
      </c>
    </row>
    <row r="147" spans="2:5" s="5" customFormat="1" hidden="1" x14ac:dyDescent="0.25">
      <c r="B147">
        <f>Competitors!A127</f>
        <v>0</v>
      </c>
      <c r="C147">
        <f>Competitors!A127</f>
        <v>0</v>
      </c>
      <c r="D147" s="13">
        <f>Competitors!A127</f>
        <v>0</v>
      </c>
      <c r="E147" s="13" t="e">
        <f>SUM((VLOOKUP(B147, Rankings!C:E,3,FALSE)),(VLOOKUP(C147, Rankings!C:E,3,FALSE)),(VLOOKUP(D147, Rankings!C:E,3,FALSE)))</f>
        <v>#N/A</v>
      </c>
    </row>
    <row r="148" spans="2:5" s="5" customFormat="1" hidden="1" x14ac:dyDescent="0.25">
      <c r="B148">
        <f>Competitors!A128</f>
        <v>0</v>
      </c>
      <c r="C148">
        <f>Competitors!A128</f>
        <v>0</v>
      </c>
      <c r="D148" s="13">
        <f>Competitors!A128</f>
        <v>0</v>
      </c>
      <c r="E148" s="13" t="e">
        <f>SUM((VLOOKUP(B148, Rankings!C:E,3,FALSE)),(VLOOKUP(C148, Rankings!C:E,3,FALSE)),(VLOOKUP(D148, Rankings!C:E,3,FALSE)))</f>
        <v>#N/A</v>
      </c>
    </row>
    <row r="149" spans="2:5" s="5" customFormat="1" hidden="1" x14ac:dyDescent="0.25">
      <c r="B149">
        <f>Competitors!A129</f>
        <v>0</v>
      </c>
      <c r="C149">
        <f>Competitors!A129</f>
        <v>0</v>
      </c>
      <c r="D149" s="13">
        <f>Competitors!A129</f>
        <v>0</v>
      </c>
      <c r="E149" s="13" t="e">
        <f>SUM((VLOOKUP(B149, Rankings!C:E,3,FALSE)),(VLOOKUP(C149, Rankings!C:E,3,FALSE)),(VLOOKUP(D149, Rankings!C:E,3,FALSE)))</f>
        <v>#N/A</v>
      </c>
    </row>
    <row r="150" spans="2:5" s="5" customFormat="1" hidden="1" x14ac:dyDescent="0.25">
      <c r="B150">
        <f>Competitors!A130</f>
        <v>0</v>
      </c>
      <c r="C150">
        <f>Competitors!A130</f>
        <v>0</v>
      </c>
      <c r="D150" s="13">
        <f>Competitors!A130</f>
        <v>0</v>
      </c>
      <c r="E150" s="13" t="e">
        <f>SUM((VLOOKUP(B150, Rankings!C:E,3,FALSE)),(VLOOKUP(C150, Rankings!C:E,3,FALSE)),(VLOOKUP(D150, Rankings!C:E,3,FALSE)))</f>
        <v>#N/A</v>
      </c>
    </row>
    <row r="151" spans="2:5" s="5" customFormat="1" hidden="1" x14ac:dyDescent="0.25">
      <c r="B151">
        <f>Competitors!A131</f>
        <v>0</v>
      </c>
      <c r="C151">
        <f>Competitors!A131</f>
        <v>0</v>
      </c>
      <c r="D151" s="13">
        <f>Competitors!A131</f>
        <v>0</v>
      </c>
      <c r="E151" s="13" t="e">
        <f>SUM((VLOOKUP(B151, Rankings!C:E,3,FALSE)),(VLOOKUP(C151, Rankings!C:E,3,FALSE)),(VLOOKUP(D151, Rankings!C:E,3,FALSE)))</f>
        <v>#N/A</v>
      </c>
    </row>
    <row r="152" spans="2:5" s="5" customFormat="1" hidden="1" x14ac:dyDescent="0.25">
      <c r="B152">
        <f>Competitors!A132</f>
        <v>0</v>
      </c>
      <c r="C152">
        <f>Competitors!A132</f>
        <v>0</v>
      </c>
      <c r="D152" s="13">
        <f>Competitors!A132</f>
        <v>0</v>
      </c>
      <c r="E152" s="13" t="e">
        <f>SUM((VLOOKUP(B152, Rankings!C:E,3,FALSE)),(VLOOKUP(C152, Rankings!C:E,3,FALSE)),(VLOOKUP(D152, Rankings!C:E,3,FALSE)))</f>
        <v>#N/A</v>
      </c>
    </row>
    <row r="153" spans="2:5" s="5" customFormat="1" hidden="1" x14ac:dyDescent="0.25">
      <c r="B153">
        <f>Competitors!A133</f>
        <v>0</v>
      </c>
      <c r="C153">
        <f>Competitors!A133</f>
        <v>0</v>
      </c>
      <c r="D153" s="13">
        <f>Competitors!A133</f>
        <v>0</v>
      </c>
      <c r="E153" s="13" t="e">
        <f>SUM((VLOOKUP(B153, Rankings!C:E,3,FALSE)),(VLOOKUP(C153, Rankings!C:E,3,FALSE)),(VLOOKUP(D153, Rankings!C:E,3,FALSE)))</f>
        <v>#N/A</v>
      </c>
    </row>
    <row r="154" spans="2:5" s="5" customFormat="1" hidden="1" x14ac:dyDescent="0.25">
      <c r="B154">
        <f>Competitors!A134</f>
        <v>0</v>
      </c>
      <c r="C154">
        <f>Competitors!A134</f>
        <v>0</v>
      </c>
      <c r="D154" s="13">
        <f>Competitors!A134</f>
        <v>0</v>
      </c>
      <c r="E154" s="13" t="e">
        <f>SUM((VLOOKUP(B154, Rankings!C:E,3,FALSE)),(VLOOKUP(C154, Rankings!C:E,3,FALSE)),(VLOOKUP(D154, Rankings!C:E,3,FALSE)))</f>
        <v>#N/A</v>
      </c>
    </row>
    <row r="155" spans="2:5" s="5" customFormat="1" hidden="1" x14ac:dyDescent="0.25">
      <c r="B155">
        <f>Competitors!A135</f>
        <v>0</v>
      </c>
      <c r="C155">
        <f>Competitors!A135</f>
        <v>0</v>
      </c>
      <c r="D155" s="13">
        <f>Competitors!A135</f>
        <v>0</v>
      </c>
      <c r="E155" s="13" t="e">
        <f>SUM((VLOOKUP(B155, Rankings!C:E,3,FALSE)),(VLOOKUP(C155, Rankings!C:E,3,FALSE)),(VLOOKUP(D155, Rankings!C:E,3,FALSE)))</f>
        <v>#N/A</v>
      </c>
    </row>
    <row r="156" spans="2:5" s="5" customFormat="1" hidden="1" x14ac:dyDescent="0.25">
      <c r="B156">
        <f>Competitors!A136</f>
        <v>0</v>
      </c>
      <c r="C156">
        <f>Competitors!A136</f>
        <v>0</v>
      </c>
      <c r="D156" s="13">
        <f>Competitors!A136</f>
        <v>0</v>
      </c>
      <c r="E156" s="13" t="e">
        <f>SUM((VLOOKUP(B156, Rankings!C:E,3,FALSE)),(VLOOKUP(C156, Rankings!C:E,3,FALSE)),(VLOOKUP(D156, Rankings!C:E,3,FALSE)))</f>
        <v>#N/A</v>
      </c>
    </row>
    <row r="157" spans="2:5" s="5" customFormat="1" hidden="1" x14ac:dyDescent="0.25">
      <c r="B157">
        <f>Competitors!A137</f>
        <v>0</v>
      </c>
      <c r="C157">
        <f>Competitors!A137</f>
        <v>0</v>
      </c>
      <c r="D157" s="13">
        <f>Competitors!A137</f>
        <v>0</v>
      </c>
      <c r="E157" s="13" t="e">
        <f>SUM((VLOOKUP(B157, Rankings!C:E,3,FALSE)),(VLOOKUP(C157, Rankings!C:E,3,FALSE)),(VLOOKUP(D157, Rankings!C:E,3,FALSE)))</f>
        <v>#N/A</v>
      </c>
    </row>
    <row r="158" spans="2:5" s="5" customFormat="1" hidden="1" x14ac:dyDescent="0.25">
      <c r="B158">
        <f>Competitors!A138</f>
        <v>0</v>
      </c>
      <c r="C158">
        <f>Competitors!A138</f>
        <v>0</v>
      </c>
      <c r="D158" s="13">
        <f>Competitors!A138</f>
        <v>0</v>
      </c>
      <c r="E158" s="13" t="e">
        <f>SUM((VLOOKUP(B158, Rankings!C:E,3,FALSE)),(VLOOKUP(C158, Rankings!C:E,3,FALSE)),(VLOOKUP(D158, Rankings!C:E,3,FALSE)))</f>
        <v>#N/A</v>
      </c>
    </row>
    <row r="159" spans="2:5" s="5" customFormat="1" hidden="1" x14ac:dyDescent="0.25">
      <c r="B159">
        <f>Competitors!A139</f>
        <v>0</v>
      </c>
      <c r="C159">
        <f>Competitors!A139</f>
        <v>0</v>
      </c>
      <c r="D159" s="13">
        <f>Competitors!A139</f>
        <v>0</v>
      </c>
      <c r="E159" s="13" t="e">
        <f>SUM((VLOOKUP(B159, Rankings!C:E,3,FALSE)),(VLOOKUP(C159, Rankings!C:E,3,FALSE)),(VLOOKUP(D159, Rankings!C:E,3,FALSE)))</f>
        <v>#N/A</v>
      </c>
    </row>
    <row r="160" spans="2:5" s="5" customFormat="1" hidden="1" x14ac:dyDescent="0.25">
      <c r="B160">
        <f>Competitors!A140</f>
        <v>0</v>
      </c>
      <c r="C160">
        <f>Competitors!A140</f>
        <v>0</v>
      </c>
      <c r="D160" s="13">
        <f>Competitors!A140</f>
        <v>0</v>
      </c>
      <c r="E160" s="13" t="e">
        <f>SUM((VLOOKUP(B160, Rankings!C:E,3,FALSE)),(VLOOKUP(C160, Rankings!C:E,3,FALSE)),(VLOOKUP(D160, Rankings!C:E,3,FALSE)))</f>
        <v>#N/A</v>
      </c>
    </row>
    <row r="161" spans="2:5" s="5" customFormat="1" hidden="1" x14ac:dyDescent="0.25">
      <c r="B161">
        <f>Competitors!A141</f>
        <v>0</v>
      </c>
      <c r="C161">
        <f>Competitors!A141</f>
        <v>0</v>
      </c>
      <c r="D161" s="13">
        <f>Competitors!A141</f>
        <v>0</v>
      </c>
      <c r="E161" s="13" t="e">
        <f>SUM((VLOOKUP(B161, Rankings!C:E,3,FALSE)),(VLOOKUP(C161, Rankings!C:E,3,FALSE)),(VLOOKUP(D161, Rankings!C:E,3,FALSE)))</f>
        <v>#N/A</v>
      </c>
    </row>
    <row r="162" spans="2:5" s="5" customFormat="1" hidden="1" x14ac:dyDescent="0.25">
      <c r="B162">
        <f>Competitors!A142</f>
        <v>0</v>
      </c>
      <c r="C162">
        <f>Competitors!A142</f>
        <v>0</v>
      </c>
      <c r="D162" s="13">
        <f>Competitors!A142</f>
        <v>0</v>
      </c>
      <c r="E162" s="13" t="e">
        <f>SUM((VLOOKUP(B162, Rankings!C:E,3,FALSE)),(VLOOKUP(C162, Rankings!C:E,3,FALSE)),(VLOOKUP(D162, Rankings!C:E,3,FALSE)))</f>
        <v>#N/A</v>
      </c>
    </row>
    <row r="163" spans="2:5" s="5" customFormat="1" hidden="1" x14ac:dyDescent="0.25">
      <c r="B163">
        <f>Competitors!A143</f>
        <v>0</v>
      </c>
      <c r="C163">
        <f>Competitors!A143</f>
        <v>0</v>
      </c>
      <c r="D163" s="13">
        <f>Competitors!A143</f>
        <v>0</v>
      </c>
      <c r="E163" s="13" t="e">
        <f>SUM((VLOOKUP(B163, Rankings!C:E,3,FALSE)),(VLOOKUP(C163, Rankings!C:E,3,FALSE)),(VLOOKUP(D163, Rankings!C:E,3,FALSE)))</f>
        <v>#N/A</v>
      </c>
    </row>
    <row r="164" spans="2:5" s="5" customFormat="1" hidden="1" x14ac:dyDescent="0.25">
      <c r="B164">
        <f>Competitors!A144</f>
        <v>0</v>
      </c>
      <c r="C164">
        <f>Competitors!A144</f>
        <v>0</v>
      </c>
      <c r="D164" s="13">
        <f>Competitors!A144</f>
        <v>0</v>
      </c>
      <c r="E164" s="13" t="e">
        <f>SUM((VLOOKUP(B164, Rankings!C:E,3,FALSE)),(VLOOKUP(C164, Rankings!C:E,3,FALSE)),(VLOOKUP(D164, Rankings!C:E,3,FALSE)))</f>
        <v>#N/A</v>
      </c>
    </row>
    <row r="165" spans="2:5" s="5" customFormat="1" hidden="1" x14ac:dyDescent="0.25">
      <c r="B165">
        <f>Competitors!A145</f>
        <v>0</v>
      </c>
      <c r="C165">
        <f>Competitors!A145</f>
        <v>0</v>
      </c>
      <c r="D165" s="13">
        <f>Competitors!A145</f>
        <v>0</v>
      </c>
      <c r="E165" s="13" t="e">
        <f>SUM((VLOOKUP(B165, Rankings!C:E,3,FALSE)),(VLOOKUP(C165, Rankings!C:E,3,FALSE)),(VLOOKUP(D165, Rankings!C:E,3,FALSE)))</f>
        <v>#N/A</v>
      </c>
    </row>
    <row r="166" spans="2:5" s="5" customFormat="1" hidden="1" x14ac:dyDescent="0.25">
      <c r="B166">
        <f>Competitors!A146</f>
        <v>0</v>
      </c>
      <c r="C166">
        <f>Competitors!A146</f>
        <v>0</v>
      </c>
      <c r="D166" s="13">
        <f>Competitors!A146</f>
        <v>0</v>
      </c>
      <c r="E166" s="13" t="e">
        <f>SUM((VLOOKUP(B166, Rankings!C:E,3,FALSE)),(VLOOKUP(C166, Rankings!C:E,3,FALSE)),(VLOOKUP(D166, Rankings!C:E,3,FALSE)))</f>
        <v>#N/A</v>
      </c>
    </row>
    <row r="167" spans="2:5" s="5" customFormat="1" hidden="1" x14ac:dyDescent="0.25">
      <c r="B167">
        <f>Competitors!A147</f>
        <v>0</v>
      </c>
      <c r="C167">
        <f>Competitors!A147</f>
        <v>0</v>
      </c>
      <c r="D167" s="13">
        <f>Competitors!A147</f>
        <v>0</v>
      </c>
      <c r="E167" s="13" t="e">
        <f>SUM((VLOOKUP(B167, Rankings!C:E,3,FALSE)),(VLOOKUP(C167, Rankings!C:E,3,FALSE)),(VLOOKUP(D167, Rankings!C:E,3,FALSE)))</f>
        <v>#N/A</v>
      </c>
    </row>
    <row r="168" spans="2:5" s="5" customFormat="1" hidden="1" x14ac:dyDescent="0.25">
      <c r="B168">
        <f>Competitors!A148</f>
        <v>0</v>
      </c>
      <c r="C168">
        <f>Competitors!A148</f>
        <v>0</v>
      </c>
      <c r="D168" s="13">
        <f>Competitors!A148</f>
        <v>0</v>
      </c>
      <c r="E168" s="13" t="e">
        <f>SUM((VLOOKUP(B168, Rankings!C:E,3,FALSE)),(VLOOKUP(C168, Rankings!C:E,3,FALSE)),(VLOOKUP(D168, Rankings!C:E,3,FALSE)))</f>
        <v>#N/A</v>
      </c>
    </row>
    <row r="169" spans="2:5" s="5" customFormat="1" hidden="1" x14ac:dyDescent="0.25">
      <c r="B169">
        <f>Competitors!A149</f>
        <v>0</v>
      </c>
      <c r="C169">
        <f>Competitors!A149</f>
        <v>0</v>
      </c>
      <c r="D169" s="13">
        <f>Competitors!A149</f>
        <v>0</v>
      </c>
      <c r="E169" s="13" t="e">
        <f>SUM((VLOOKUP(B169, Rankings!C:E,3,FALSE)),(VLOOKUP(C169, Rankings!C:E,3,FALSE)),(VLOOKUP(D169, Rankings!C:E,3,FALSE)))</f>
        <v>#N/A</v>
      </c>
    </row>
    <row r="170" spans="2:5" s="5" customFormat="1" hidden="1" x14ac:dyDescent="0.25">
      <c r="B170">
        <f>Competitors!A150</f>
        <v>0</v>
      </c>
      <c r="C170">
        <f>Competitors!A150</f>
        <v>0</v>
      </c>
      <c r="D170" s="13">
        <f>Competitors!A150</f>
        <v>0</v>
      </c>
      <c r="E170" s="13" t="e">
        <f>SUM((VLOOKUP(B170, Rankings!C:E,3,FALSE)),(VLOOKUP(C170, Rankings!C:E,3,FALSE)),(VLOOKUP(D170, Rankings!C:E,3,FALSE)))</f>
        <v>#N/A</v>
      </c>
    </row>
    <row r="171" spans="2:5" s="5" customFormat="1" hidden="1" x14ac:dyDescent="0.25">
      <c r="B171">
        <f>Competitors!A151</f>
        <v>0</v>
      </c>
      <c r="C171">
        <f>Competitors!A151</f>
        <v>0</v>
      </c>
      <c r="D171" s="13">
        <f>Competitors!A151</f>
        <v>0</v>
      </c>
      <c r="E171" s="13" t="e">
        <f>SUM((VLOOKUP(B171, Rankings!C:E,3,FALSE)),(VLOOKUP(C171, Rankings!C:E,3,FALSE)),(VLOOKUP(D171, Rankings!C:E,3,FALSE)))</f>
        <v>#N/A</v>
      </c>
    </row>
    <row r="172" spans="2:5" s="5" customFormat="1" hidden="1" x14ac:dyDescent="0.25">
      <c r="B172">
        <f>Competitors!A152</f>
        <v>0</v>
      </c>
      <c r="C172">
        <f>Competitors!A152</f>
        <v>0</v>
      </c>
      <c r="D172" s="13">
        <f>Competitors!A152</f>
        <v>0</v>
      </c>
      <c r="E172" s="13" t="e">
        <f>SUM((VLOOKUP(B172, Rankings!C:E,3,FALSE)),(VLOOKUP(C172, Rankings!C:E,3,FALSE)),(VLOOKUP(D172, Rankings!C:E,3,FALSE)))</f>
        <v>#N/A</v>
      </c>
    </row>
    <row r="173" spans="2:5" s="5" customFormat="1" hidden="1" x14ac:dyDescent="0.25">
      <c r="B173">
        <f>Competitors!A153</f>
        <v>0</v>
      </c>
      <c r="C173">
        <f>Competitors!A153</f>
        <v>0</v>
      </c>
      <c r="D173" s="13">
        <f>Competitors!A153</f>
        <v>0</v>
      </c>
      <c r="E173" s="13" t="e">
        <f>SUM((VLOOKUP(B173, Rankings!C:E,3,FALSE)),(VLOOKUP(C173, Rankings!C:E,3,FALSE)),(VLOOKUP(D173, Rankings!C:E,3,FALSE)))</f>
        <v>#N/A</v>
      </c>
    </row>
    <row r="174" spans="2:5" s="5" customFormat="1" hidden="1" x14ac:dyDescent="0.25">
      <c r="B174">
        <f>Competitors!A154</f>
        <v>0</v>
      </c>
      <c r="C174">
        <f>Competitors!A154</f>
        <v>0</v>
      </c>
      <c r="D174" s="13">
        <f>Competitors!A154</f>
        <v>0</v>
      </c>
      <c r="E174" s="13" t="e">
        <f>SUM((VLOOKUP(B174, Rankings!C:E,3,FALSE)),(VLOOKUP(C174, Rankings!C:E,3,FALSE)),(VLOOKUP(D174, Rankings!C:E,3,FALSE)))</f>
        <v>#N/A</v>
      </c>
    </row>
    <row r="175" spans="2:5" s="5" customFormat="1" hidden="1" x14ac:dyDescent="0.25">
      <c r="B175">
        <f>Competitors!A155</f>
        <v>0</v>
      </c>
      <c r="C175">
        <f>Competitors!A155</f>
        <v>0</v>
      </c>
      <c r="D175" s="13">
        <f>Competitors!A155</f>
        <v>0</v>
      </c>
      <c r="E175" s="13" t="e">
        <f>SUM((VLOOKUP(B175, Rankings!C:E,3,FALSE)),(VLOOKUP(C175, Rankings!C:E,3,FALSE)),(VLOOKUP(D175, Rankings!C:E,3,FALSE)))</f>
        <v>#N/A</v>
      </c>
    </row>
    <row r="176" spans="2:5" s="5" customFormat="1" hidden="1" x14ac:dyDescent="0.25">
      <c r="B176">
        <f>Competitors!A156</f>
        <v>0</v>
      </c>
      <c r="C176">
        <f>Competitors!A156</f>
        <v>0</v>
      </c>
      <c r="D176" s="13">
        <f>Competitors!A156</f>
        <v>0</v>
      </c>
      <c r="E176" s="13" t="e">
        <f>SUM((VLOOKUP(B176, Rankings!C:E,3,FALSE)),(VLOOKUP(C176, Rankings!C:E,3,FALSE)),(VLOOKUP(D176, Rankings!C:E,3,FALSE)))</f>
        <v>#N/A</v>
      </c>
    </row>
    <row r="177" spans="2:5" s="5" customFormat="1" hidden="1" x14ac:dyDescent="0.25">
      <c r="B177">
        <f>Competitors!A157</f>
        <v>0</v>
      </c>
      <c r="C177">
        <f>Competitors!A157</f>
        <v>0</v>
      </c>
      <c r="D177" s="13">
        <f>Competitors!A157</f>
        <v>0</v>
      </c>
      <c r="E177" s="13" t="e">
        <f>SUM((VLOOKUP(B177, Rankings!C:E,3,FALSE)),(VLOOKUP(C177, Rankings!C:E,3,FALSE)),(VLOOKUP(D177, Rankings!C:E,3,FALSE)))</f>
        <v>#N/A</v>
      </c>
    </row>
    <row r="178" spans="2:5" s="5" customFormat="1" hidden="1" x14ac:dyDescent="0.25">
      <c r="B178">
        <f>Competitors!A158</f>
        <v>0</v>
      </c>
      <c r="C178">
        <f>Competitors!A158</f>
        <v>0</v>
      </c>
      <c r="D178" s="13">
        <f>Competitors!A158</f>
        <v>0</v>
      </c>
      <c r="E178" s="13" t="e">
        <f>SUM((VLOOKUP(B178, Rankings!C:E,3,FALSE)),(VLOOKUP(C178, Rankings!C:E,3,FALSE)),(VLOOKUP(D178, Rankings!C:E,3,FALSE)))</f>
        <v>#N/A</v>
      </c>
    </row>
    <row r="179" spans="2:5" s="5" customFormat="1" hidden="1" x14ac:dyDescent="0.25">
      <c r="B179">
        <f>Competitors!A159</f>
        <v>0</v>
      </c>
      <c r="C179">
        <f>Competitors!A159</f>
        <v>0</v>
      </c>
      <c r="D179" s="13">
        <f>Competitors!A159</f>
        <v>0</v>
      </c>
      <c r="E179" s="13" t="e">
        <f>SUM((VLOOKUP(B179, Rankings!C:E,3,FALSE)),(VLOOKUP(C179, Rankings!C:E,3,FALSE)),(VLOOKUP(D179, Rankings!C:E,3,FALSE)))</f>
        <v>#N/A</v>
      </c>
    </row>
    <row r="180" spans="2:5" s="5" customFormat="1" hidden="1" x14ac:dyDescent="0.25">
      <c r="B180">
        <f>Competitors!A160</f>
        <v>0</v>
      </c>
      <c r="C180">
        <f>Competitors!A160</f>
        <v>0</v>
      </c>
      <c r="D180" s="13">
        <f>Competitors!A160</f>
        <v>0</v>
      </c>
      <c r="E180" s="13" t="e">
        <f>SUM((VLOOKUP(B180, Rankings!C:E,3,FALSE)),(VLOOKUP(C180, Rankings!C:E,3,FALSE)),(VLOOKUP(D180, Rankings!C:E,3,FALSE)))</f>
        <v>#N/A</v>
      </c>
    </row>
    <row r="181" spans="2:5" s="5" customFormat="1" hidden="1" x14ac:dyDescent="0.25">
      <c r="B181">
        <f>Competitors!A161</f>
        <v>0</v>
      </c>
      <c r="C181">
        <f>Competitors!A161</f>
        <v>0</v>
      </c>
      <c r="D181" s="13">
        <f>Competitors!A161</f>
        <v>0</v>
      </c>
      <c r="E181" s="13" t="e">
        <f>SUM((VLOOKUP(B181, Rankings!C:E,3,FALSE)),(VLOOKUP(C181, Rankings!C:E,3,FALSE)),(VLOOKUP(D181, Rankings!C:E,3,FALSE)))</f>
        <v>#N/A</v>
      </c>
    </row>
    <row r="182" spans="2:5" s="5" customFormat="1" hidden="1" x14ac:dyDescent="0.25">
      <c r="B182">
        <f>Competitors!A162</f>
        <v>0</v>
      </c>
      <c r="C182">
        <f>Competitors!A162</f>
        <v>0</v>
      </c>
      <c r="D182" s="13">
        <f>Competitors!A162</f>
        <v>0</v>
      </c>
      <c r="E182" s="13" t="e">
        <f>SUM((VLOOKUP(B182, Rankings!C:E,3,FALSE)),(VLOOKUP(C182, Rankings!C:E,3,FALSE)),(VLOOKUP(D182, Rankings!C:E,3,FALSE)))</f>
        <v>#N/A</v>
      </c>
    </row>
    <row r="183" spans="2:5" s="5" customFormat="1" hidden="1" x14ac:dyDescent="0.25">
      <c r="B183">
        <f>Competitors!A163</f>
        <v>0</v>
      </c>
      <c r="C183">
        <f>Competitors!A163</f>
        <v>0</v>
      </c>
      <c r="D183" s="13">
        <f>Competitors!A163</f>
        <v>0</v>
      </c>
      <c r="E183" s="13" t="e">
        <f>SUM((VLOOKUP(B183, Rankings!C:E,3,FALSE)),(VLOOKUP(C183, Rankings!C:E,3,FALSE)),(VLOOKUP(D183, Rankings!C:E,3,FALSE)))</f>
        <v>#N/A</v>
      </c>
    </row>
    <row r="184" spans="2:5" s="5" customFormat="1" hidden="1" x14ac:dyDescent="0.25">
      <c r="B184">
        <f>Competitors!A164</f>
        <v>0</v>
      </c>
      <c r="C184">
        <f>Competitors!A164</f>
        <v>0</v>
      </c>
      <c r="D184" s="13">
        <f>Competitors!A164</f>
        <v>0</v>
      </c>
      <c r="E184" s="13" t="e">
        <f>SUM((VLOOKUP(B184, Rankings!C:E,3,FALSE)),(VLOOKUP(C184, Rankings!C:E,3,FALSE)),(VLOOKUP(D184, Rankings!C:E,3,FALSE)))</f>
        <v>#N/A</v>
      </c>
    </row>
    <row r="185" spans="2:5" s="5" customFormat="1" hidden="1" x14ac:dyDescent="0.25">
      <c r="B185">
        <f>Competitors!A167</f>
        <v>0</v>
      </c>
      <c r="C185">
        <f>Competitors!A167</f>
        <v>0</v>
      </c>
      <c r="D185" s="13">
        <f>Competitors!A167</f>
        <v>0</v>
      </c>
      <c r="E185" s="13" t="e">
        <f>SUM((VLOOKUP(B185, Rankings!C:E,3,FALSE)),(VLOOKUP(C185, Rankings!C:E,3,FALSE)),(VLOOKUP(D185, Rankings!C:E,3,FALSE)))</f>
        <v>#N/A</v>
      </c>
    </row>
    <row r="186" spans="2:5" s="5" customFormat="1" hidden="1" x14ac:dyDescent="0.25">
      <c r="B186">
        <f>Competitors!A168</f>
        <v>0</v>
      </c>
      <c r="C186">
        <f>Competitors!A168</f>
        <v>0</v>
      </c>
      <c r="D186" s="13">
        <f>Competitors!A168</f>
        <v>0</v>
      </c>
      <c r="E186" s="13" t="e">
        <f>SUM((VLOOKUP(B186, Rankings!C:E,3,FALSE)),(VLOOKUP(C186, Rankings!C:E,3,FALSE)),(VLOOKUP(D186, Rankings!C:E,3,FALSE)))</f>
        <v>#N/A</v>
      </c>
    </row>
    <row r="187" spans="2:5" s="5" customFormat="1" hidden="1" x14ac:dyDescent="0.25">
      <c r="B187">
        <f>Competitors!A169</f>
        <v>0</v>
      </c>
      <c r="C187">
        <f>Competitors!A169</f>
        <v>0</v>
      </c>
      <c r="D187" s="13">
        <f>Competitors!A169</f>
        <v>0</v>
      </c>
      <c r="E187" s="13" t="e">
        <f>SUM((VLOOKUP(B187, Rankings!C:E,3,FALSE)),(VLOOKUP(C187, Rankings!C:E,3,FALSE)),(VLOOKUP(D187, Rankings!C:E,3,FALSE)))</f>
        <v>#N/A</v>
      </c>
    </row>
    <row r="188" spans="2:5" s="5" customFormat="1" hidden="1" x14ac:dyDescent="0.25">
      <c r="B188">
        <f>Competitors!A170</f>
        <v>0</v>
      </c>
      <c r="C188">
        <f>Competitors!A170</f>
        <v>0</v>
      </c>
      <c r="D188" s="13">
        <f>Competitors!A170</f>
        <v>0</v>
      </c>
      <c r="E188" s="13" t="e">
        <f>SUM((VLOOKUP(B188, Rankings!C:E,3,FALSE)),(VLOOKUP(C188, Rankings!C:E,3,FALSE)),(VLOOKUP(D188, Rankings!C:E,3,FALSE)))</f>
        <v>#N/A</v>
      </c>
    </row>
    <row r="189" spans="2:5" s="5" customFormat="1" hidden="1" x14ac:dyDescent="0.25">
      <c r="B189">
        <f>Competitors!A171</f>
        <v>0</v>
      </c>
      <c r="C189">
        <f>Competitors!A171</f>
        <v>0</v>
      </c>
      <c r="D189" s="13">
        <f>Competitors!A171</f>
        <v>0</v>
      </c>
      <c r="E189" s="13" t="e">
        <f>SUM((VLOOKUP(B189, Rankings!C:E,3,FALSE)),(VLOOKUP(C189, Rankings!C:E,3,FALSE)),(VLOOKUP(D189, Rankings!C:E,3,FALSE)))</f>
        <v>#N/A</v>
      </c>
    </row>
    <row r="190" spans="2:5" s="5" customFormat="1" hidden="1" x14ac:dyDescent="0.25">
      <c r="B190">
        <f>Competitors!A172</f>
        <v>0</v>
      </c>
      <c r="C190">
        <f>Competitors!A172</f>
        <v>0</v>
      </c>
      <c r="D190" s="13">
        <f>Competitors!A172</f>
        <v>0</v>
      </c>
      <c r="E190" s="13" t="e">
        <f>SUM((VLOOKUP(B190, Rankings!C:E,3,FALSE)),(VLOOKUP(C190, Rankings!C:E,3,FALSE)),(VLOOKUP(D190, Rankings!C:E,3,FALSE)))</f>
        <v>#N/A</v>
      </c>
    </row>
    <row r="191" spans="2:5" s="5" customFormat="1" hidden="1" x14ac:dyDescent="0.25">
      <c r="B191"/>
      <c r="C191" s="6"/>
      <c r="D191" s="7"/>
      <c r="E191" s="13" t="e">
        <f>SUM((VLOOKUP(B191, Rankings!C:E,3,FALSE)),(VLOOKUP(C191, Rankings!C:E,3,FALSE)),(VLOOKUP(D191, Rankings!C:E,3,FALSE)))</f>
        <v>#N/A</v>
      </c>
    </row>
    <row r="192" spans="2:5" s="5" customFormat="1" hidden="1" x14ac:dyDescent="0.25">
      <c r="B192"/>
      <c r="C192" s="6"/>
      <c r="D192" s="7"/>
      <c r="E192" s="13" t="e">
        <f>SUM((VLOOKUP(B192, Rankings!C:E,3,FALSE)),(VLOOKUP(C192, Rankings!C:E,3,FALSE)),(VLOOKUP(D192, Rankings!C:E,3,FALSE)))</f>
        <v>#N/A</v>
      </c>
    </row>
    <row r="193" spans="2:5" s="5" customFormat="1" hidden="1" x14ac:dyDescent="0.25">
      <c r="B193"/>
      <c r="C193" s="6"/>
      <c r="D193" s="7"/>
      <c r="E193" s="13" t="e">
        <f>SUM((VLOOKUP(B193, Rankings!C:E,3,FALSE)),(VLOOKUP(C193, Rankings!C:E,3,FALSE)),(VLOOKUP(D193, Rankings!C:E,3,FALSE)))</f>
        <v>#N/A</v>
      </c>
    </row>
    <row r="194" spans="2:5" s="5" customFormat="1" hidden="1" x14ac:dyDescent="0.25">
      <c r="B194"/>
      <c r="C194" s="6"/>
      <c r="D194" s="7"/>
      <c r="E194" s="13" t="e">
        <f>SUM((VLOOKUP(B194, Rankings!C:E,3,FALSE)),(VLOOKUP(C194, Rankings!C:E,3,FALSE)),(VLOOKUP(D194, Rankings!C:E,3,FALSE)))</f>
        <v>#N/A</v>
      </c>
    </row>
    <row r="195" spans="2:5" s="5" customFormat="1" hidden="1" x14ac:dyDescent="0.25">
      <c r="B195"/>
      <c r="C195" s="6"/>
      <c r="D195" s="7"/>
      <c r="E195" s="13" t="e">
        <f>SUM((VLOOKUP(B195, Rankings!C:E,3,FALSE)),(VLOOKUP(C195, Rankings!C:E,3,FALSE)),(VLOOKUP(D195, Rankings!C:E,3,FALSE)))</f>
        <v>#N/A</v>
      </c>
    </row>
    <row r="196" spans="2:5" s="5" customFormat="1" hidden="1" x14ac:dyDescent="0.25">
      <c r="B196"/>
      <c r="C196" s="6"/>
      <c r="D196" s="7"/>
      <c r="E196" s="13" t="e">
        <f>SUM((VLOOKUP(B196, Rankings!C:E,3,FALSE)),(VLOOKUP(C196, Rankings!C:E,3,FALSE)),(VLOOKUP(D196, Rankings!C:E,3,FALSE)))</f>
        <v>#N/A</v>
      </c>
    </row>
    <row r="197" spans="2:5" s="5" customFormat="1" hidden="1" x14ac:dyDescent="0.25">
      <c r="B197"/>
      <c r="C197" s="6"/>
      <c r="D197" s="7"/>
      <c r="E197" s="13" t="e">
        <f>SUM((VLOOKUP(B197, Rankings!C:E,3,FALSE)),(VLOOKUP(C197, Rankings!C:E,3,FALSE)),(VLOOKUP(D197, Rankings!C:E,3,FALSE)))</f>
        <v>#N/A</v>
      </c>
    </row>
    <row r="198" spans="2:5" s="5" customFormat="1" hidden="1" x14ac:dyDescent="0.25">
      <c r="B198"/>
      <c r="C198" s="6"/>
      <c r="D198" s="7"/>
      <c r="E198" s="13" t="e">
        <f>SUM((VLOOKUP(B198, Rankings!C:E,3,FALSE)),(VLOOKUP(C198, Rankings!C:E,3,FALSE)),(VLOOKUP(D198, Rankings!C:E,3,FALSE)))</f>
        <v>#N/A</v>
      </c>
    </row>
    <row r="199" spans="2:5" s="5" customFormat="1" hidden="1" x14ac:dyDescent="0.25">
      <c r="B199"/>
      <c r="C199" s="6"/>
      <c r="D199" s="7"/>
      <c r="E199" s="13" t="e">
        <f>SUM((VLOOKUP(B199, Rankings!C:E,3,FALSE)),(VLOOKUP(C199, Rankings!C:E,3,FALSE)),(VLOOKUP(D199, Rankings!C:E,3,FALSE)))</f>
        <v>#N/A</v>
      </c>
    </row>
    <row r="200" spans="2:5" s="5" customFormat="1" hidden="1" x14ac:dyDescent="0.25">
      <c r="B200"/>
      <c r="C200" s="6"/>
      <c r="D200" s="7"/>
      <c r="E200" s="13" t="e">
        <f>SUM((VLOOKUP(B200, Rankings!C:E,3,FALSE)),(VLOOKUP(C200, Rankings!C:E,3,FALSE)),(VLOOKUP(D200, Rankings!C:E,3,FALSE)))</f>
        <v>#N/A</v>
      </c>
    </row>
    <row r="201" spans="2:5" s="5" customFormat="1" hidden="1" x14ac:dyDescent="0.25">
      <c r="B201"/>
      <c r="C201" s="6"/>
      <c r="D201" s="7"/>
      <c r="E201" s="13" t="e">
        <f>SUM((VLOOKUP(B201, Rankings!C:E,3,FALSE)),(VLOOKUP(C201, Rankings!C:E,3,FALSE)),(VLOOKUP(D201, Rankings!C:E,3,FALSE)))</f>
        <v>#N/A</v>
      </c>
    </row>
    <row r="202" spans="2:5" s="5" customFormat="1" hidden="1" x14ac:dyDescent="0.25">
      <c r="B202"/>
      <c r="C202" s="6"/>
      <c r="D202" s="7"/>
      <c r="E202" s="13" t="e">
        <f>SUM((VLOOKUP(B202, Rankings!C:E,3,FALSE)),(VLOOKUP(C202, Rankings!C:E,3,FALSE)),(VLOOKUP(D202, Rankings!C:E,3,FALSE)))</f>
        <v>#N/A</v>
      </c>
    </row>
    <row r="203" spans="2:5" s="5" customFormat="1" hidden="1" x14ac:dyDescent="0.25">
      <c r="B203"/>
      <c r="C203" s="6"/>
      <c r="D203" s="7"/>
      <c r="E203" s="13" t="e">
        <f>SUM((VLOOKUP(B203, Rankings!C:E,3,FALSE)),(VLOOKUP(C203, Rankings!C:E,3,FALSE)),(VLOOKUP(D203, Rankings!C:E,3,FALSE)))</f>
        <v>#N/A</v>
      </c>
    </row>
    <row r="204" spans="2:5" s="5" customFormat="1" hidden="1" x14ac:dyDescent="0.25">
      <c r="B204"/>
      <c r="C204" s="6"/>
      <c r="D204" s="7"/>
      <c r="E204" s="13" t="e">
        <f>SUM((VLOOKUP(B204, Rankings!C:E,3,FALSE)),(VLOOKUP(C204, Rankings!C:E,3,FALSE)),(VLOOKUP(D204, Rankings!C:E,3,FALSE)))</f>
        <v>#N/A</v>
      </c>
    </row>
    <row r="205" spans="2:5" s="5" customFormat="1" hidden="1" x14ac:dyDescent="0.25">
      <c r="B205"/>
      <c r="C205" s="6"/>
      <c r="D205" s="7"/>
      <c r="E205" s="13" t="e">
        <f>SUM((VLOOKUP(B205, Rankings!C:E,3,FALSE)),(VLOOKUP(C205, Rankings!C:E,3,FALSE)),(VLOOKUP(D205, Rankings!C:E,3,FALSE)))</f>
        <v>#N/A</v>
      </c>
    </row>
    <row r="206" spans="2:5" s="5" customFormat="1" hidden="1" x14ac:dyDescent="0.25">
      <c r="B206"/>
      <c r="C206" s="6"/>
      <c r="D206" s="7"/>
      <c r="E206" s="13" t="e">
        <f>SUM((VLOOKUP(B206, Rankings!C:E,3,FALSE)),(VLOOKUP(C206, Rankings!C:E,3,FALSE)),(VLOOKUP(D206, Rankings!C:E,3,FALSE)))</f>
        <v>#N/A</v>
      </c>
    </row>
    <row r="207" spans="2:5" s="5" customFormat="1" hidden="1" x14ac:dyDescent="0.25">
      <c r="B207"/>
      <c r="C207" s="6"/>
      <c r="D207" s="7"/>
      <c r="E207" s="13" t="e">
        <f>SUM((VLOOKUP(B207, Rankings!C:E,3,FALSE)),(VLOOKUP(C207, Rankings!C:E,3,FALSE)),(VLOOKUP(D207, Rankings!C:E,3,FALSE)))</f>
        <v>#N/A</v>
      </c>
    </row>
    <row r="208" spans="2:5" s="5" customFormat="1" hidden="1" x14ac:dyDescent="0.25">
      <c r="B208"/>
      <c r="C208" s="6"/>
      <c r="D208" s="7"/>
      <c r="E208" s="13" t="e">
        <f>SUM((VLOOKUP(B208, Rankings!C:E,3,FALSE)),(VLOOKUP(C208, Rankings!C:E,3,FALSE)),(VLOOKUP(D208, Rankings!C:E,3,FALSE)))</f>
        <v>#N/A</v>
      </c>
    </row>
    <row r="209" spans="2:5" s="5" customFormat="1" hidden="1" x14ac:dyDescent="0.25">
      <c r="B209"/>
      <c r="C209" s="6"/>
      <c r="D209" s="7"/>
      <c r="E209" s="13" t="e">
        <f>SUM((VLOOKUP(B209, Rankings!C:E,3,FALSE)),(VLOOKUP(C209, Rankings!C:E,3,FALSE)),(VLOOKUP(D209, Rankings!C:E,3,FALSE)))</f>
        <v>#N/A</v>
      </c>
    </row>
    <row r="210" spans="2:5" s="5" customFormat="1" hidden="1" x14ac:dyDescent="0.25">
      <c r="B210"/>
      <c r="C210" s="6"/>
      <c r="D210" s="7"/>
      <c r="E210" s="13" t="e">
        <f>SUM((VLOOKUP(B210, Rankings!C:E,3,FALSE)),(VLOOKUP(C210, Rankings!C:E,3,FALSE)),(VLOOKUP(D210, Rankings!C:E,3,FALSE)))</f>
        <v>#N/A</v>
      </c>
    </row>
    <row r="211" spans="2:5" s="5" customFormat="1" hidden="1" x14ac:dyDescent="0.25">
      <c r="B211"/>
      <c r="C211" s="6"/>
      <c r="D211" s="7"/>
      <c r="E211" s="13" t="e">
        <f>SUM((VLOOKUP(B211, Rankings!C:E,3,FALSE)),(VLOOKUP(C211, Rankings!C:E,3,FALSE)),(VLOOKUP(D211, Rankings!C:E,3,FALSE)))</f>
        <v>#N/A</v>
      </c>
    </row>
    <row r="212" spans="2:5" s="5" customFormat="1" hidden="1" x14ac:dyDescent="0.25">
      <c r="B212"/>
      <c r="C212" s="6"/>
      <c r="D212" s="7"/>
      <c r="E212" s="13" t="e">
        <f>SUM((VLOOKUP(B212, Rankings!C:E,3,FALSE)),(VLOOKUP(C212, Rankings!C:E,3,FALSE)),(VLOOKUP(D212, Rankings!C:E,3,FALSE)))</f>
        <v>#N/A</v>
      </c>
    </row>
    <row r="213" spans="2:5" s="5" customFormat="1" hidden="1" x14ac:dyDescent="0.25">
      <c r="B213"/>
      <c r="C213" s="6"/>
      <c r="D213" s="7"/>
      <c r="E213" s="13" t="e">
        <f>SUM((VLOOKUP(B213, Rankings!C:E,3,FALSE)),(VLOOKUP(C213, Rankings!C:E,3,FALSE)),(VLOOKUP(D213, Rankings!C:E,3,FALSE)))</f>
        <v>#N/A</v>
      </c>
    </row>
    <row r="214" spans="2:5" s="5" customFormat="1" hidden="1" x14ac:dyDescent="0.25">
      <c r="B214"/>
      <c r="C214" s="6"/>
      <c r="D214" s="7"/>
      <c r="E214" s="13" t="e">
        <f>SUM((VLOOKUP(B214, Rankings!C:E,3,FALSE)),(VLOOKUP(C214, Rankings!C:E,3,FALSE)),(VLOOKUP(D214, Rankings!C:E,3,FALSE)))</f>
        <v>#N/A</v>
      </c>
    </row>
    <row r="215" spans="2:5" s="5" customFormat="1" hidden="1" x14ac:dyDescent="0.25">
      <c r="B215"/>
      <c r="C215" s="6"/>
      <c r="D215" s="7"/>
      <c r="E215" s="13" t="e">
        <f>SUM((VLOOKUP(B215, Rankings!C:E,3,FALSE)),(VLOOKUP(C215, Rankings!C:E,3,FALSE)),(VLOOKUP(D215, Rankings!C:E,3,FALSE)))</f>
        <v>#N/A</v>
      </c>
    </row>
    <row r="216" spans="2:5" s="5" customFormat="1" hidden="1" x14ac:dyDescent="0.25">
      <c r="B216"/>
      <c r="C216" s="6"/>
      <c r="D216" s="7"/>
      <c r="E216" s="13" t="e">
        <f>SUM((VLOOKUP(B216, Rankings!C:E,3,FALSE)),(VLOOKUP(C216, Rankings!C:E,3,FALSE)),(VLOOKUP(D216, Rankings!C:E,3,FALSE)))</f>
        <v>#N/A</v>
      </c>
    </row>
    <row r="217" spans="2:5" s="5" customFormat="1" hidden="1" x14ac:dyDescent="0.25">
      <c r="B217"/>
      <c r="C217" s="6"/>
      <c r="D217" s="7"/>
      <c r="E217" s="13" t="e">
        <f>SUM((VLOOKUP(B217, Rankings!C:E,3,FALSE)),(VLOOKUP(C217, Rankings!C:E,3,FALSE)),(VLOOKUP(D217, Rankings!C:E,3,FALSE)))</f>
        <v>#N/A</v>
      </c>
    </row>
    <row r="218" spans="2:5" s="5" customFormat="1" hidden="1" x14ac:dyDescent="0.25">
      <c r="B218"/>
      <c r="C218" s="6"/>
      <c r="D218" s="7"/>
      <c r="E218" s="13" t="e">
        <f>SUM((VLOOKUP(B218, Rankings!C:E,3,FALSE)),(VLOOKUP(C218, Rankings!C:E,3,FALSE)),(VLOOKUP(D218, Rankings!C:E,3,FALSE)))</f>
        <v>#N/A</v>
      </c>
    </row>
    <row r="219" spans="2:5" s="5" customFormat="1" hidden="1" x14ac:dyDescent="0.25">
      <c r="B219"/>
      <c r="C219" s="6"/>
      <c r="D219" s="7"/>
      <c r="E219" s="13" t="e">
        <f>SUM((VLOOKUP(B219, Rankings!C:E,3,FALSE)),(VLOOKUP(C219, Rankings!C:E,3,FALSE)),(VLOOKUP(D219, Rankings!C:E,3,FALSE)))</f>
        <v>#N/A</v>
      </c>
    </row>
    <row r="220" spans="2:5" s="5" customFormat="1" hidden="1" x14ac:dyDescent="0.25">
      <c r="B220"/>
      <c r="C220" s="6"/>
      <c r="D220" s="7"/>
      <c r="E220" s="13" t="e">
        <f>SUM((VLOOKUP(B220, Rankings!C:E,3,FALSE)),(VLOOKUP(C220, Rankings!C:E,3,FALSE)),(VLOOKUP(D220, Rankings!C:E,3,FALSE)))</f>
        <v>#N/A</v>
      </c>
    </row>
    <row r="221" spans="2:5" s="5" customFormat="1" hidden="1" x14ac:dyDescent="0.25">
      <c r="B221"/>
      <c r="C221" s="6"/>
      <c r="D221" s="7"/>
      <c r="E221" s="13" t="e">
        <f>SUM((VLOOKUP(B221, Rankings!C:E,3,FALSE)),(VLOOKUP(C221, Rankings!C:E,3,FALSE)),(VLOOKUP(D221, Rankings!C:E,3,FALSE)))</f>
        <v>#N/A</v>
      </c>
    </row>
    <row r="222" spans="2:5" s="5" customFormat="1" hidden="1" x14ac:dyDescent="0.25">
      <c r="B222"/>
      <c r="C222" s="6"/>
      <c r="D222" s="7"/>
      <c r="E222" s="13" t="e">
        <f>SUM((VLOOKUP(B222, Rankings!C:E,3,FALSE)),(VLOOKUP(C222, Rankings!C:E,3,FALSE)),(VLOOKUP(D222, Rankings!C:E,3,FALSE)))</f>
        <v>#N/A</v>
      </c>
    </row>
    <row r="223" spans="2:5" s="5" customFormat="1" hidden="1" x14ac:dyDescent="0.25">
      <c r="B223"/>
      <c r="C223" s="6"/>
      <c r="D223" s="7"/>
      <c r="E223" s="13" t="e">
        <f>SUM((VLOOKUP(B223, Rankings!C:E,3,FALSE)),(VLOOKUP(C223, Rankings!C:E,3,FALSE)),(VLOOKUP(D223, Rankings!C:E,3,FALSE)))</f>
        <v>#N/A</v>
      </c>
    </row>
    <row r="224" spans="2:5" s="5" customFormat="1" hidden="1" x14ac:dyDescent="0.25">
      <c r="B224"/>
      <c r="C224" s="6"/>
      <c r="D224" s="7"/>
      <c r="E224" s="13" t="e">
        <f>SUM((VLOOKUP(B224, Rankings!C:E,3,FALSE)),(VLOOKUP(C224, Rankings!C:E,3,FALSE)),(VLOOKUP(D224, Rankings!C:E,3,FALSE)))</f>
        <v>#N/A</v>
      </c>
    </row>
    <row r="225" spans="2:5" s="5" customFormat="1" hidden="1" x14ac:dyDescent="0.25">
      <c r="B225"/>
      <c r="C225" s="6"/>
      <c r="D225" s="7"/>
      <c r="E225" s="13" t="e">
        <f>SUM((VLOOKUP(B225, Rankings!C:E,3,FALSE)),(VLOOKUP(C225, Rankings!C:E,3,FALSE)),(VLOOKUP(D225, Rankings!C:E,3,FALSE)))</f>
        <v>#N/A</v>
      </c>
    </row>
    <row r="226" spans="2:5" s="5" customFormat="1" hidden="1" x14ac:dyDescent="0.25">
      <c r="B226"/>
      <c r="C226" s="6"/>
      <c r="D226" s="7"/>
      <c r="E226" s="13" t="e">
        <f>SUM((VLOOKUP(B226, Rankings!C:E,3,FALSE)),(VLOOKUP(C226, Rankings!C:E,3,FALSE)),(VLOOKUP(D226, Rankings!C:E,3,FALSE)))</f>
        <v>#N/A</v>
      </c>
    </row>
    <row r="227" spans="2:5" s="5" customFormat="1" hidden="1" x14ac:dyDescent="0.25">
      <c r="B227"/>
      <c r="C227" s="6"/>
      <c r="D227" s="7"/>
      <c r="E227" s="13" t="e">
        <f>SUM((VLOOKUP(B227, Rankings!C:E,3,FALSE)),(VLOOKUP(C227, Rankings!C:E,3,FALSE)),(VLOOKUP(D227, Rankings!C:E,3,FALSE)))</f>
        <v>#N/A</v>
      </c>
    </row>
    <row r="228" spans="2:5" s="5" customFormat="1" hidden="1" x14ac:dyDescent="0.25">
      <c r="B228"/>
      <c r="C228" s="6"/>
      <c r="D228" s="7"/>
      <c r="E228" s="13" t="e">
        <f>SUM((VLOOKUP(B228, Rankings!C:E,3,FALSE)),(VLOOKUP(C228, Rankings!C:E,3,FALSE)),(VLOOKUP(D228, Rankings!C:E,3,FALSE)))</f>
        <v>#N/A</v>
      </c>
    </row>
    <row r="229" spans="2:5" s="5" customFormat="1" hidden="1" x14ac:dyDescent="0.25">
      <c r="B229"/>
      <c r="C229" s="6"/>
      <c r="D229" s="7"/>
      <c r="E229" s="13" t="e">
        <f>SUM((VLOOKUP(B229, Rankings!C:E,3,FALSE)),(VLOOKUP(C229, Rankings!C:E,3,FALSE)),(VLOOKUP(D229, Rankings!C:E,3,FALSE)))</f>
        <v>#N/A</v>
      </c>
    </row>
    <row r="230" spans="2:5" s="5" customFormat="1" hidden="1" x14ac:dyDescent="0.25">
      <c r="B230"/>
      <c r="C230" s="6"/>
      <c r="D230" s="7"/>
      <c r="E230" s="13" t="e">
        <f>SUM((VLOOKUP(B230, Rankings!C:E,3,FALSE)),(VLOOKUP(C230, Rankings!C:E,3,FALSE)),(VLOOKUP(D230, Rankings!C:E,3,FALSE)))</f>
        <v>#N/A</v>
      </c>
    </row>
    <row r="231" spans="2:5" s="5" customFormat="1" hidden="1" x14ac:dyDescent="0.25">
      <c r="B231"/>
      <c r="C231" s="6"/>
      <c r="D231" s="7"/>
      <c r="E231" s="13" t="e">
        <f>SUM((VLOOKUP(B231, Rankings!C:E,3,FALSE)),(VLOOKUP(C231, Rankings!C:E,3,FALSE)),(VLOOKUP(D231, Rankings!C:E,3,FALSE)))</f>
        <v>#N/A</v>
      </c>
    </row>
    <row r="232" spans="2:5" s="5" customFormat="1" hidden="1" x14ac:dyDescent="0.25">
      <c r="B232"/>
      <c r="C232" s="6"/>
      <c r="D232" s="7"/>
      <c r="E232" s="13" t="e">
        <f>SUM((VLOOKUP(B232, Rankings!C:E,3,FALSE)),(VLOOKUP(C232, Rankings!C:E,3,FALSE)),(VLOOKUP(D232, Rankings!C:E,3,FALSE)))</f>
        <v>#N/A</v>
      </c>
    </row>
    <row r="233" spans="2:5" s="5" customFormat="1" hidden="1" x14ac:dyDescent="0.25">
      <c r="B233"/>
      <c r="C233" s="6"/>
      <c r="D233" s="7"/>
      <c r="E233" s="13" t="e">
        <f>SUM((VLOOKUP(B233, Rankings!C:E,3,FALSE)),(VLOOKUP(C233, Rankings!C:E,3,FALSE)),(VLOOKUP(D233, Rankings!C:E,3,FALSE)))</f>
        <v>#N/A</v>
      </c>
    </row>
    <row r="234" spans="2:5" s="5" customFormat="1" hidden="1" x14ac:dyDescent="0.25">
      <c r="B234"/>
      <c r="C234" s="6"/>
      <c r="D234" s="7"/>
      <c r="E234" s="13" t="e">
        <f>SUM((VLOOKUP(B234, Rankings!C:E,3,FALSE)),(VLOOKUP(C234, Rankings!C:E,3,FALSE)),(VLOOKUP(D234, Rankings!C:E,3,FALSE)))</f>
        <v>#N/A</v>
      </c>
    </row>
    <row r="235" spans="2:5" s="5" customFormat="1" hidden="1" x14ac:dyDescent="0.25">
      <c r="B235"/>
      <c r="C235" s="6"/>
      <c r="D235" s="7"/>
      <c r="E235" s="13" t="e">
        <f>SUM((VLOOKUP(B235, Rankings!C:E,3,FALSE)),(VLOOKUP(C235, Rankings!C:E,3,FALSE)),(VLOOKUP(D235, Rankings!C:E,3,FALSE)))</f>
        <v>#N/A</v>
      </c>
    </row>
    <row r="236" spans="2:5" s="5" customFormat="1" hidden="1" x14ac:dyDescent="0.25">
      <c r="B236"/>
      <c r="C236" s="6"/>
      <c r="D236" s="7"/>
      <c r="E236" s="13" t="e">
        <f>SUM((VLOOKUP(B236, Rankings!C:E,3,FALSE)),(VLOOKUP(C236, Rankings!C:E,3,FALSE)),(VLOOKUP(D236, Rankings!C:E,3,FALSE)))</f>
        <v>#N/A</v>
      </c>
    </row>
    <row r="237" spans="2:5" s="5" customFormat="1" hidden="1" x14ac:dyDescent="0.25">
      <c r="B237"/>
      <c r="C237" s="6"/>
      <c r="D237" s="7"/>
      <c r="E237" s="13" t="e">
        <f>SUM((VLOOKUP(B237, Rankings!C:E,3,FALSE)),(VLOOKUP(C237, Rankings!C:E,3,FALSE)),(VLOOKUP(D237, Rankings!C:E,3,FALSE)))</f>
        <v>#N/A</v>
      </c>
    </row>
    <row r="238" spans="2:5" s="5" customFormat="1" hidden="1" x14ac:dyDescent="0.25">
      <c r="B238"/>
      <c r="C238" s="6"/>
      <c r="D238" s="7"/>
      <c r="E238" s="13" t="e">
        <f>SUM((VLOOKUP(B238, Rankings!C:E,3,FALSE)),(VLOOKUP(C238, Rankings!C:E,3,FALSE)),(VLOOKUP(D238, Rankings!C:E,3,FALSE)))</f>
        <v>#N/A</v>
      </c>
    </row>
    <row r="239" spans="2:5" s="5" customFormat="1" hidden="1" x14ac:dyDescent="0.25">
      <c r="B239"/>
      <c r="C239" s="6"/>
      <c r="D239" s="7"/>
      <c r="E239" s="13" t="e">
        <f>SUM((VLOOKUP(B239, Rankings!C:E,3,FALSE)),(VLOOKUP(C239, Rankings!C:E,3,FALSE)),(VLOOKUP(D239, Rankings!C:E,3,FALSE)))</f>
        <v>#N/A</v>
      </c>
    </row>
    <row r="240" spans="2:5" s="5" customFormat="1" hidden="1" x14ac:dyDescent="0.25">
      <c r="B240"/>
      <c r="C240" s="6"/>
      <c r="D240" s="7"/>
      <c r="E240" s="13" t="e">
        <f>SUM((VLOOKUP(B240, Rankings!C:E,3,FALSE)),(VLOOKUP(C240, Rankings!C:E,3,FALSE)),(VLOOKUP(D240, Rankings!C:E,3,FALSE)))</f>
        <v>#N/A</v>
      </c>
    </row>
    <row r="241" spans="2:5" s="5" customFormat="1" hidden="1" x14ac:dyDescent="0.25">
      <c r="B241"/>
      <c r="C241" s="6"/>
      <c r="D241" s="7"/>
      <c r="E241" s="13" t="e">
        <f>SUM((VLOOKUP(B241, Rankings!C:E,3,FALSE)),(VLOOKUP(C241, Rankings!C:E,3,FALSE)),(VLOOKUP(D241, Rankings!C:E,3,FALSE)))</f>
        <v>#N/A</v>
      </c>
    </row>
    <row r="242" spans="2:5" s="5" customFormat="1" hidden="1" x14ac:dyDescent="0.25">
      <c r="B242"/>
      <c r="C242" s="6"/>
      <c r="D242" s="7"/>
      <c r="E242" s="13" t="e">
        <f>SUM((VLOOKUP(B242, Rankings!C:E,3,FALSE)),(VLOOKUP(C242, Rankings!C:E,3,FALSE)),(VLOOKUP(D242, Rankings!C:E,3,FALSE)))</f>
        <v>#N/A</v>
      </c>
    </row>
    <row r="243" spans="2:5" s="5" customFormat="1" hidden="1" x14ac:dyDescent="0.25">
      <c r="B243"/>
      <c r="C243" s="6"/>
      <c r="D243" s="7"/>
      <c r="E243" s="13" t="e">
        <f>SUM((VLOOKUP(B243, Rankings!C:E,3,FALSE)),(VLOOKUP(C243, Rankings!C:E,3,FALSE)),(VLOOKUP(D243, Rankings!C:E,3,FALSE)))</f>
        <v>#N/A</v>
      </c>
    </row>
    <row r="244" spans="2:5" s="5" customFormat="1" hidden="1" x14ac:dyDescent="0.25">
      <c r="B244"/>
      <c r="C244" s="6"/>
      <c r="D244" s="7"/>
      <c r="E244" s="13" t="e">
        <f>SUM((VLOOKUP(B244, Rankings!C:E,3,FALSE)),(VLOOKUP(C244, Rankings!C:E,3,FALSE)),(VLOOKUP(D244, Rankings!C:E,3,FALSE)))</f>
        <v>#N/A</v>
      </c>
    </row>
    <row r="245" spans="2:5" s="5" customFormat="1" hidden="1" x14ac:dyDescent="0.25">
      <c r="B245"/>
      <c r="C245" s="6"/>
      <c r="D245" s="7"/>
      <c r="E245" s="13" t="e">
        <f>SUM((VLOOKUP(B245, Rankings!C:E,3,FALSE)),(VLOOKUP(C245, Rankings!C:E,3,FALSE)),(VLOOKUP(D245, Rankings!C:E,3,FALSE)))</f>
        <v>#N/A</v>
      </c>
    </row>
    <row r="246" spans="2:5" s="5" customFormat="1" hidden="1" x14ac:dyDescent="0.25">
      <c r="B246"/>
      <c r="C246" s="6"/>
      <c r="D246" s="7"/>
      <c r="E246" s="13" t="e">
        <f>SUM((VLOOKUP(B246, Rankings!C:E,3,FALSE)),(VLOOKUP(C246, Rankings!C:E,3,FALSE)),(VLOOKUP(D246, Rankings!C:E,3,FALSE)))</f>
        <v>#N/A</v>
      </c>
    </row>
    <row r="247" spans="2:5" s="5" customFormat="1" hidden="1" x14ac:dyDescent="0.25">
      <c r="B247"/>
      <c r="C247" s="6"/>
      <c r="D247" s="7"/>
      <c r="E247" s="13" t="e">
        <f>SUM((VLOOKUP(B247, Rankings!C:E,3,FALSE)),(VLOOKUP(C247, Rankings!C:E,3,FALSE)),(VLOOKUP(D247, Rankings!C:E,3,FALSE)))</f>
        <v>#N/A</v>
      </c>
    </row>
    <row r="248" spans="2:5" s="5" customFormat="1" hidden="1" x14ac:dyDescent="0.25">
      <c r="B248"/>
      <c r="C248" s="6"/>
      <c r="D248" s="7"/>
      <c r="E248" s="13" t="e">
        <f>SUM((VLOOKUP(B248, Rankings!C:E,3,FALSE)),(VLOOKUP(C248, Rankings!C:E,3,FALSE)),(VLOOKUP(D248, Rankings!C:E,3,FALSE)))</f>
        <v>#N/A</v>
      </c>
    </row>
    <row r="249" spans="2:5" s="5" customFormat="1" hidden="1" x14ac:dyDescent="0.25">
      <c r="B249"/>
      <c r="C249" s="6"/>
      <c r="D249" s="7"/>
      <c r="E249" s="13" t="e">
        <f>SUM((VLOOKUP(B249, Rankings!C:E,3,FALSE)),(VLOOKUP(C249, Rankings!C:E,3,FALSE)),(VLOOKUP(D249, Rankings!C:E,3,FALSE)))</f>
        <v>#N/A</v>
      </c>
    </row>
    <row r="250" spans="2:5" s="5" customFormat="1" hidden="1" x14ac:dyDescent="0.25">
      <c r="B250"/>
      <c r="C250" s="6"/>
      <c r="D250" s="7"/>
      <c r="E250" s="13" t="e">
        <f>SUM((VLOOKUP(B250, Rankings!C:E,3,FALSE)),(VLOOKUP(C250, Rankings!C:E,3,FALSE)),(VLOOKUP(D250, Rankings!C:E,3,FALSE)))</f>
        <v>#N/A</v>
      </c>
    </row>
    <row r="251" spans="2:5" s="5" customFormat="1" hidden="1" x14ac:dyDescent="0.25">
      <c r="B251"/>
      <c r="C251" s="6"/>
      <c r="D251" s="7"/>
      <c r="E251" s="13" t="e">
        <f>SUM((VLOOKUP(B251, Rankings!C:E,3,FALSE)),(VLOOKUP(C251, Rankings!C:E,3,FALSE)),(VLOOKUP(D251, Rankings!C:E,3,FALSE)))</f>
        <v>#N/A</v>
      </c>
    </row>
    <row r="252" spans="2:5" s="5" customFormat="1" hidden="1" x14ac:dyDescent="0.25">
      <c r="B252"/>
      <c r="C252" s="6"/>
      <c r="D252" s="7"/>
      <c r="E252" s="13" t="e">
        <f>SUM((VLOOKUP(B252, Rankings!C:E,3,FALSE)),(VLOOKUP(C252, Rankings!C:E,3,FALSE)),(VLOOKUP(D252, Rankings!C:E,3,FALSE)))</f>
        <v>#N/A</v>
      </c>
    </row>
    <row r="253" spans="2:5" s="5" customFormat="1" hidden="1" x14ac:dyDescent="0.25">
      <c r="B253"/>
      <c r="C253" s="6"/>
      <c r="D253" s="7"/>
      <c r="E253" s="13" t="e">
        <f>SUM((VLOOKUP(B253, Rankings!C:E,3,FALSE)),(VLOOKUP(C253, Rankings!C:E,3,FALSE)),(VLOOKUP(D253, Rankings!C:E,3,FALSE)))</f>
        <v>#N/A</v>
      </c>
    </row>
    <row r="254" spans="2:5" s="5" customFormat="1" hidden="1" x14ac:dyDescent="0.25">
      <c r="B254"/>
      <c r="C254" s="6"/>
      <c r="D254" s="7"/>
      <c r="E254" s="13" t="e">
        <f>SUM((VLOOKUP(B254, Rankings!C:E,3,FALSE)),(VLOOKUP(C254, Rankings!C:E,3,FALSE)),(VLOOKUP(D254, Rankings!C:E,3,FALSE)))</f>
        <v>#N/A</v>
      </c>
    </row>
    <row r="255" spans="2:5" s="5" customFormat="1" hidden="1" x14ac:dyDescent="0.25">
      <c r="B255"/>
      <c r="C255" s="6"/>
      <c r="D255" s="7"/>
      <c r="E255" s="13" t="e">
        <f>SUM((VLOOKUP(B255, Rankings!C:E,3,FALSE)),(VLOOKUP(C255, Rankings!C:E,3,FALSE)),(VLOOKUP(D255, Rankings!C:E,3,FALSE)))</f>
        <v>#N/A</v>
      </c>
    </row>
    <row r="256" spans="2:5" s="5" customFormat="1" hidden="1" x14ac:dyDescent="0.25">
      <c r="B256"/>
      <c r="C256" s="6"/>
      <c r="D256" s="7"/>
      <c r="E256" s="13" t="e">
        <f>SUM((VLOOKUP(B256, Rankings!C:E,3,FALSE)),(VLOOKUP(C256, Rankings!C:E,3,FALSE)),(VLOOKUP(D256, Rankings!C:E,3,FALSE)))</f>
        <v>#N/A</v>
      </c>
    </row>
    <row r="257" spans="2:5" s="5" customFormat="1" hidden="1" x14ac:dyDescent="0.25">
      <c r="B257"/>
      <c r="C257" s="6"/>
      <c r="D257" s="7"/>
      <c r="E257" s="13" t="e">
        <f>SUM((VLOOKUP(B257, Rankings!C:E,3,FALSE)),(VLOOKUP(C257, Rankings!C:E,3,FALSE)),(VLOOKUP(D257, Rankings!C:E,3,FALSE)))</f>
        <v>#N/A</v>
      </c>
    </row>
    <row r="258" spans="2:5" s="5" customFormat="1" hidden="1" x14ac:dyDescent="0.25">
      <c r="B258"/>
      <c r="C258" s="6"/>
      <c r="D258" s="7"/>
      <c r="E258" s="13" t="e">
        <f>SUM((VLOOKUP(B258, Rankings!C:E,3,FALSE)),(VLOOKUP(C258, Rankings!C:E,3,FALSE)),(VLOOKUP(D258, Rankings!C:E,3,FALSE)))</f>
        <v>#N/A</v>
      </c>
    </row>
    <row r="259" spans="2:5" s="5" customFormat="1" hidden="1" x14ac:dyDescent="0.25">
      <c r="B259"/>
      <c r="C259" s="6"/>
      <c r="D259" s="7"/>
      <c r="E259" s="13" t="e">
        <f>SUM((VLOOKUP(B259, Rankings!C:E,3,FALSE)),(VLOOKUP(C259, Rankings!C:E,3,FALSE)),(VLOOKUP(D259, Rankings!C:E,3,FALSE)))</f>
        <v>#N/A</v>
      </c>
    </row>
    <row r="260" spans="2:5" s="5" customFormat="1" hidden="1" x14ac:dyDescent="0.25">
      <c r="B260"/>
      <c r="C260" s="6"/>
      <c r="D260" s="7"/>
      <c r="E260" s="13" t="e">
        <f>SUM((VLOOKUP(B260, Rankings!C:E,3,FALSE)),(VLOOKUP(C260, Rankings!C:E,3,FALSE)),(VLOOKUP(D260, Rankings!C:E,3,FALSE)))</f>
        <v>#N/A</v>
      </c>
    </row>
    <row r="261" spans="2:5" s="5" customFormat="1" hidden="1" x14ac:dyDescent="0.25">
      <c r="B261"/>
      <c r="C261" s="6"/>
      <c r="D261" s="7"/>
      <c r="E261" s="13" t="e">
        <f>SUM((VLOOKUP(B261, Rankings!C:E,3,FALSE)),(VLOOKUP(C261, Rankings!C:E,3,FALSE)),(VLOOKUP(D261, Rankings!C:E,3,FALSE)))</f>
        <v>#N/A</v>
      </c>
    </row>
    <row r="262" spans="2:5" s="5" customFormat="1" hidden="1" x14ac:dyDescent="0.25">
      <c r="B262"/>
      <c r="C262" s="6"/>
      <c r="D262" s="7"/>
      <c r="E262" s="13" t="e">
        <f>SUM((VLOOKUP(B262, Rankings!C:E,3,FALSE)),(VLOOKUP(C262, Rankings!C:E,3,FALSE)),(VLOOKUP(D262, Rankings!C:E,3,FALSE)))</f>
        <v>#N/A</v>
      </c>
    </row>
    <row r="263" spans="2:5" s="5" customFormat="1" hidden="1" x14ac:dyDescent="0.25">
      <c r="B263"/>
      <c r="C263" s="6"/>
      <c r="D263" s="7"/>
      <c r="E263" s="13" t="e">
        <f>SUM((VLOOKUP(B263, Rankings!C:E,3,FALSE)),(VLOOKUP(C263, Rankings!C:E,3,FALSE)),(VLOOKUP(D263, Rankings!C:E,3,FALSE)))</f>
        <v>#N/A</v>
      </c>
    </row>
    <row r="264" spans="2:5" s="5" customFormat="1" hidden="1" x14ac:dyDescent="0.25">
      <c r="B264"/>
      <c r="C264" s="6"/>
      <c r="D264" s="7"/>
      <c r="E264" s="13" t="e">
        <f>SUM((VLOOKUP(B264, Rankings!C:E,3,FALSE)),(VLOOKUP(C264, Rankings!C:E,3,FALSE)),(VLOOKUP(D264, Rankings!C:E,3,FALSE)))</f>
        <v>#N/A</v>
      </c>
    </row>
    <row r="265" spans="2:5" s="5" customFormat="1" hidden="1" x14ac:dyDescent="0.25">
      <c r="B265"/>
      <c r="C265" s="6"/>
      <c r="D265" s="7"/>
      <c r="E265" s="13" t="e">
        <f>SUM((VLOOKUP(B265, Rankings!C:E,3,FALSE)),(VLOOKUP(C265, Rankings!C:E,3,FALSE)),(VLOOKUP(D265, Rankings!C:E,3,FALSE)))</f>
        <v>#N/A</v>
      </c>
    </row>
    <row r="266" spans="2:5" s="5" customFormat="1" hidden="1" x14ac:dyDescent="0.25">
      <c r="B266"/>
      <c r="C266" s="6"/>
      <c r="D266" s="7"/>
      <c r="E266" s="13" t="e">
        <f>SUM((VLOOKUP(B266, Rankings!C:E,3,FALSE)),(VLOOKUP(C266, Rankings!C:E,3,FALSE)),(VLOOKUP(D266, Rankings!C:E,3,FALSE)))</f>
        <v>#N/A</v>
      </c>
    </row>
    <row r="267" spans="2:5" s="5" customFormat="1" hidden="1" x14ac:dyDescent="0.25">
      <c r="B267"/>
      <c r="C267" s="6"/>
      <c r="D267" s="7"/>
      <c r="E267" s="13" t="e">
        <f>SUM((VLOOKUP(B267, Rankings!C:E,3,FALSE)),(VLOOKUP(C267, Rankings!C:E,3,FALSE)),(VLOOKUP(D267, Rankings!C:E,3,FALSE)))</f>
        <v>#N/A</v>
      </c>
    </row>
    <row r="268" spans="2:5" s="5" customFormat="1" hidden="1" x14ac:dyDescent="0.25">
      <c r="B268"/>
      <c r="C268" s="6"/>
      <c r="D268" s="7"/>
      <c r="E268" s="13" t="e">
        <f>SUM((VLOOKUP(B268, Rankings!C:E,3,FALSE)),(VLOOKUP(C268, Rankings!C:E,3,FALSE)),(VLOOKUP(D268, Rankings!C:E,3,FALSE)))</f>
        <v>#N/A</v>
      </c>
    </row>
    <row r="269" spans="2:5" s="5" customFormat="1" hidden="1" x14ac:dyDescent="0.25">
      <c r="B269"/>
      <c r="C269" s="6"/>
      <c r="D269" s="7"/>
      <c r="E269" s="13" t="e">
        <f>SUM((VLOOKUP(B269, Rankings!C:E,3,FALSE)),(VLOOKUP(C269, Rankings!C:E,3,FALSE)),(VLOOKUP(D269, Rankings!C:E,3,FALSE)))</f>
        <v>#N/A</v>
      </c>
    </row>
    <row r="270" spans="2:5" s="5" customFormat="1" hidden="1" x14ac:dyDescent="0.25">
      <c r="B270"/>
      <c r="C270" s="6"/>
      <c r="D270" s="7"/>
      <c r="E270" s="13" t="e">
        <f>SUM((VLOOKUP(B270, Rankings!C:E,3,FALSE)),(VLOOKUP(C270, Rankings!C:E,3,FALSE)),(VLOOKUP(D270, Rankings!C:E,3,FALSE)))</f>
        <v>#N/A</v>
      </c>
    </row>
    <row r="271" spans="2:5" s="5" customFormat="1" hidden="1" x14ac:dyDescent="0.25">
      <c r="B271"/>
      <c r="C271" s="6"/>
      <c r="D271" s="7"/>
      <c r="E271" s="13" t="e">
        <f>SUM((VLOOKUP(B271, Rankings!C:E,3,FALSE)),(VLOOKUP(C271, Rankings!C:E,3,FALSE)),(VLOOKUP(D271, Rankings!C:E,3,FALSE)))</f>
        <v>#N/A</v>
      </c>
    </row>
    <row r="272" spans="2:5" s="5" customFormat="1" hidden="1" x14ac:dyDescent="0.25">
      <c r="B272"/>
      <c r="C272" s="6"/>
      <c r="D272" s="7"/>
      <c r="E272" s="13" t="e">
        <f>SUM((VLOOKUP(B272, Rankings!C:E,3,FALSE)),(VLOOKUP(C272, Rankings!C:E,3,FALSE)),(VLOOKUP(D272, Rankings!C:E,3,FALSE)))</f>
        <v>#N/A</v>
      </c>
    </row>
    <row r="273" spans="2:5" s="5" customFormat="1" hidden="1" x14ac:dyDescent="0.25">
      <c r="B273"/>
      <c r="C273" s="6"/>
      <c r="D273" s="7"/>
      <c r="E273" s="13" t="e">
        <f>SUM((VLOOKUP(B273, Rankings!C:E,3,FALSE)),(VLOOKUP(C273, Rankings!C:E,3,FALSE)),(VLOOKUP(D273, Rankings!C:E,3,FALSE)))</f>
        <v>#N/A</v>
      </c>
    </row>
    <row r="274" spans="2:5" s="5" customFormat="1" hidden="1" x14ac:dyDescent="0.25">
      <c r="B274"/>
      <c r="C274" s="6"/>
      <c r="D274" s="7"/>
      <c r="E274" s="13" t="e">
        <f>SUM((VLOOKUP(B274, Rankings!C:E,3,FALSE)),(VLOOKUP(C274, Rankings!C:E,3,FALSE)),(VLOOKUP(D274, Rankings!C:E,3,FALSE)))</f>
        <v>#N/A</v>
      </c>
    </row>
    <row r="275" spans="2:5" s="5" customFormat="1" hidden="1" x14ac:dyDescent="0.25">
      <c r="B275"/>
      <c r="C275" s="6"/>
      <c r="D275" s="7"/>
      <c r="E275" s="13" t="e">
        <f>SUM((VLOOKUP(B275, Rankings!C:E,3,FALSE)),(VLOOKUP(C275, Rankings!C:E,3,FALSE)),(VLOOKUP(D275, Rankings!C:E,3,FALSE)))</f>
        <v>#N/A</v>
      </c>
    </row>
    <row r="276" spans="2:5" s="5" customFormat="1" hidden="1" x14ac:dyDescent="0.25">
      <c r="B276"/>
      <c r="C276" s="6"/>
      <c r="D276" s="7"/>
      <c r="E276" s="13" t="e">
        <f>SUM((VLOOKUP(B276, Rankings!C:E,3,FALSE)),(VLOOKUP(C276, Rankings!C:E,3,FALSE)),(VLOOKUP(D276, Rankings!C:E,3,FALSE)))</f>
        <v>#N/A</v>
      </c>
    </row>
    <row r="277" spans="2:5" s="5" customFormat="1" hidden="1" x14ac:dyDescent="0.25">
      <c r="B277"/>
      <c r="C277" s="6"/>
      <c r="D277" s="7"/>
      <c r="E277" s="13" t="e">
        <f>SUM((VLOOKUP(B277, Rankings!C:E,3,FALSE)),(VLOOKUP(C277, Rankings!C:E,3,FALSE)),(VLOOKUP(D277, Rankings!C:E,3,FALSE)))</f>
        <v>#N/A</v>
      </c>
    </row>
    <row r="278" spans="2:5" s="5" customFormat="1" hidden="1" x14ac:dyDescent="0.25">
      <c r="B278"/>
      <c r="C278" s="6"/>
      <c r="D278" s="7"/>
      <c r="E278" s="13" t="e">
        <f>SUM((VLOOKUP(B278, Rankings!C:E,3,FALSE)),(VLOOKUP(C278, Rankings!C:E,3,FALSE)),(VLOOKUP(D278, Rankings!C:E,3,FALSE)))</f>
        <v>#N/A</v>
      </c>
    </row>
    <row r="279" spans="2:5" s="5" customFormat="1" hidden="1" x14ac:dyDescent="0.25">
      <c r="B279"/>
      <c r="C279" s="6"/>
      <c r="D279" s="7"/>
      <c r="E279" s="13" t="e">
        <f>SUM((VLOOKUP(B279, Rankings!C:E,3,FALSE)),(VLOOKUP(C279, Rankings!C:E,3,FALSE)),(VLOOKUP(D279, Rankings!C:E,3,FALSE)))</f>
        <v>#N/A</v>
      </c>
    </row>
    <row r="280" spans="2:5" s="5" customFormat="1" hidden="1" x14ac:dyDescent="0.25">
      <c r="B280"/>
      <c r="C280" s="6"/>
      <c r="D280" s="7"/>
      <c r="E280" s="13" t="e">
        <f>SUM((VLOOKUP(B280, Rankings!C:E,3,FALSE)),(VLOOKUP(C280, Rankings!C:E,3,FALSE)),(VLOOKUP(D280, Rankings!C:E,3,FALSE)))</f>
        <v>#N/A</v>
      </c>
    </row>
    <row r="281" spans="2:5" s="5" customFormat="1" hidden="1" x14ac:dyDescent="0.25">
      <c r="B281"/>
      <c r="C281" s="6"/>
      <c r="D281" s="7"/>
      <c r="E281" s="13" t="e">
        <f>SUM((VLOOKUP(B281, Rankings!C:E,3,FALSE)),(VLOOKUP(C281, Rankings!C:E,3,FALSE)),(VLOOKUP(D281, Rankings!C:E,3,FALSE)))</f>
        <v>#N/A</v>
      </c>
    </row>
    <row r="282" spans="2:5" s="5" customFormat="1" hidden="1" x14ac:dyDescent="0.25">
      <c r="B282"/>
      <c r="C282" s="6"/>
      <c r="D282" s="7"/>
      <c r="E282" s="13" t="e">
        <f>SUM((VLOOKUP(B282, Rankings!C:E,3,FALSE)),(VLOOKUP(C282, Rankings!C:E,3,FALSE)),(VLOOKUP(D282, Rankings!C:E,3,FALSE)))</f>
        <v>#N/A</v>
      </c>
    </row>
    <row r="283" spans="2:5" s="5" customFormat="1" hidden="1" x14ac:dyDescent="0.25">
      <c r="B283"/>
      <c r="C283" s="6"/>
      <c r="D283" s="7"/>
      <c r="E283" s="13" t="e">
        <f>SUM((VLOOKUP(B283, Rankings!C:E,3,FALSE)),(VLOOKUP(C283, Rankings!C:E,3,FALSE)),(VLOOKUP(D283, Rankings!C:E,3,FALSE)))</f>
        <v>#N/A</v>
      </c>
    </row>
    <row r="284" spans="2:5" s="5" customFormat="1" hidden="1" x14ac:dyDescent="0.25">
      <c r="B284"/>
      <c r="C284" s="6"/>
      <c r="D284" s="7"/>
      <c r="E284" s="13" t="e">
        <f>SUM((VLOOKUP(B284, Rankings!C:E,3,FALSE)),(VLOOKUP(C284, Rankings!C:E,3,FALSE)),(VLOOKUP(D284, Rankings!C:E,3,FALSE)))</f>
        <v>#N/A</v>
      </c>
    </row>
    <row r="285" spans="2:5" s="5" customFormat="1" hidden="1" x14ac:dyDescent="0.25">
      <c r="B285"/>
      <c r="C285" s="6"/>
      <c r="D285" s="7"/>
      <c r="E285" s="13" t="e">
        <f>SUM((VLOOKUP(B285, Rankings!C:E,3,FALSE)),(VLOOKUP(C285, Rankings!C:E,3,FALSE)),(VLOOKUP(D285, Rankings!C:E,3,FALSE)))</f>
        <v>#N/A</v>
      </c>
    </row>
    <row r="286" spans="2:5" s="5" customFormat="1" hidden="1" x14ac:dyDescent="0.25">
      <c r="B286"/>
      <c r="C286" s="6"/>
      <c r="D286" s="7"/>
      <c r="E286" s="13" t="e">
        <f>SUM((VLOOKUP(B286, Rankings!C:E,3,FALSE)),(VLOOKUP(C286, Rankings!C:E,3,FALSE)),(VLOOKUP(D286, Rankings!C:E,3,FALSE)))</f>
        <v>#N/A</v>
      </c>
    </row>
    <row r="287" spans="2:5" s="5" customFormat="1" hidden="1" x14ac:dyDescent="0.25">
      <c r="B287"/>
      <c r="C287" s="6"/>
      <c r="D287" s="7"/>
      <c r="E287" s="13" t="e">
        <f>SUM((VLOOKUP(B287, Rankings!C:E,3,FALSE)),(VLOOKUP(C287, Rankings!C:E,3,FALSE)),(VLOOKUP(D287, Rankings!C:E,3,FALSE)))</f>
        <v>#N/A</v>
      </c>
    </row>
    <row r="288" spans="2:5" s="5" customFormat="1" hidden="1" x14ac:dyDescent="0.25">
      <c r="B288"/>
      <c r="C288" s="6"/>
      <c r="D288" s="7"/>
      <c r="E288" s="13" t="e">
        <f>SUM((VLOOKUP(B288, Rankings!C:E,3,FALSE)),(VLOOKUP(C288, Rankings!C:E,3,FALSE)),(VLOOKUP(D288, Rankings!C:E,3,FALSE)))</f>
        <v>#N/A</v>
      </c>
    </row>
    <row r="289" spans="2:5" s="5" customFormat="1" hidden="1" x14ac:dyDescent="0.25">
      <c r="B289"/>
      <c r="C289" s="6"/>
      <c r="D289" s="7"/>
      <c r="E289" s="13" t="e">
        <f>SUM((VLOOKUP(B289, Rankings!C:E,3,FALSE)),(VLOOKUP(C289, Rankings!C:E,3,FALSE)),(VLOOKUP(D289, Rankings!C:E,3,FALSE)))</f>
        <v>#N/A</v>
      </c>
    </row>
    <row r="290" spans="2:5" s="5" customFormat="1" hidden="1" x14ac:dyDescent="0.25">
      <c r="B290"/>
      <c r="C290" s="6"/>
      <c r="D290" s="7"/>
      <c r="E290" s="13" t="e">
        <f>SUM((VLOOKUP(B290, Rankings!C:E,3,FALSE)),(VLOOKUP(C290, Rankings!C:E,3,FALSE)),(VLOOKUP(D290, Rankings!C:E,3,FALSE)))</f>
        <v>#N/A</v>
      </c>
    </row>
    <row r="291" spans="2:5" s="5" customFormat="1" hidden="1" x14ac:dyDescent="0.25">
      <c r="B291"/>
      <c r="C291" s="6"/>
      <c r="D291" s="7"/>
      <c r="E291" s="13" t="e">
        <f>SUM((VLOOKUP(B291, Rankings!C:E,3,FALSE)),(VLOOKUP(C291, Rankings!C:E,3,FALSE)),(VLOOKUP(D291, Rankings!C:E,3,FALSE)))</f>
        <v>#N/A</v>
      </c>
    </row>
    <row r="292" spans="2:5" s="5" customFormat="1" hidden="1" x14ac:dyDescent="0.25">
      <c r="B292"/>
      <c r="C292" s="6"/>
      <c r="D292" s="7"/>
      <c r="E292" s="13" t="e">
        <f>SUM((VLOOKUP(B292, Rankings!C:E,3,FALSE)),(VLOOKUP(C292, Rankings!C:E,3,FALSE)),(VLOOKUP(D292, Rankings!C:E,3,FALSE)))</f>
        <v>#N/A</v>
      </c>
    </row>
    <row r="293" spans="2:5" s="5" customFormat="1" hidden="1" x14ac:dyDescent="0.25">
      <c r="B293"/>
      <c r="C293" s="6"/>
      <c r="D293" s="7"/>
      <c r="E293" s="13" t="e">
        <f>SUM((VLOOKUP(B293, Rankings!C:E,3,FALSE)),(VLOOKUP(C293, Rankings!C:E,3,FALSE)),(VLOOKUP(D293, Rankings!C:E,3,FALSE)))</f>
        <v>#N/A</v>
      </c>
    </row>
    <row r="294" spans="2:5" s="5" customFormat="1" hidden="1" x14ac:dyDescent="0.25">
      <c r="B294"/>
      <c r="C294" s="6"/>
      <c r="D294" s="7"/>
      <c r="E294" s="13" t="e">
        <f>SUM((VLOOKUP(B294, Rankings!C:E,3,FALSE)),(VLOOKUP(C294, Rankings!C:E,3,FALSE)),(VLOOKUP(D294, Rankings!C:E,3,FALSE)))</f>
        <v>#N/A</v>
      </c>
    </row>
    <row r="295" spans="2:5" s="5" customFormat="1" hidden="1" x14ac:dyDescent="0.25">
      <c r="B295"/>
      <c r="C295" s="6"/>
      <c r="D295" s="7"/>
      <c r="E295" s="13" t="e">
        <f>SUM((VLOOKUP(B295, Rankings!C:E,3,FALSE)),(VLOOKUP(C295, Rankings!C:E,3,FALSE)),(VLOOKUP(D295, Rankings!C:E,3,FALSE)))</f>
        <v>#N/A</v>
      </c>
    </row>
    <row r="296" spans="2:5" s="5" customFormat="1" hidden="1" x14ac:dyDescent="0.25">
      <c r="B296"/>
      <c r="C296" s="6"/>
      <c r="D296" s="7"/>
      <c r="E296" s="13" t="e">
        <f>SUM((VLOOKUP(B296, Rankings!C:E,3,FALSE)),(VLOOKUP(C296, Rankings!C:E,3,FALSE)),(VLOOKUP(D296, Rankings!C:E,3,FALSE)))</f>
        <v>#N/A</v>
      </c>
    </row>
    <row r="297" spans="2:5" s="5" customFormat="1" hidden="1" x14ac:dyDescent="0.25">
      <c r="B297"/>
      <c r="C297" s="6"/>
      <c r="D297" s="7"/>
      <c r="E297" s="13" t="e">
        <f>SUM((VLOOKUP(B297, Rankings!C:E,3,FALSE)),(VLOOKUP(C297, Rankings!C:E,3,FALSE)),(VLOOKUP(D297, Rankings!C:E,3,FALSE)))</f>
        <v>#N/A</v>
      </c>
    </row>
    <row r="298" spans="2:5" s="5" customFormat="1" hidden="1" x14ac:dyDescent="0.25">
      <c r="B298"/>
      <c r="C298" s="6"/>
      <c r="D298" s="7"/>
      <c r="E298" s="13" t="e">
        <f>SUM((VLOOKUP(B298, Rankings!C:E,3,FALSE)),(VLOOKUP(C298, Rankings!C:E,3,FALSE)),(VLOOKUP(D298, Rankings!C:E,3,FALSE)))</f>
        <v>#N/A</v>
      </c>
    </row>
    <row r="299" spans="2:5" s="5" customFormat="1" hidden="1" x14ac:dyDescent="0.25">
      <c r="B299"/>
      <c r="C299" s="6"/>
      <c r="D299" s="7"/>
      <c r="E299" s="13" t="e">
        <f>SUM((VLOOKUP(B299, Rankings!C:E,3,FALSE)),(VLOOKUP(C299, Rankings!C:E,3,FALSE)),(VLOOKUP(D299, Rankings!C:E,3,FALSE)))</f>
        <v>#N/A</v>
      </c>
    </row>
    <row r="300" spans="2:5" s="5" customFormat="1" hidden="1" x14ac:dyDescent="0.25">
      <c r="B300"/>
      <c r="C300" s="6"/>
      <c r="D300" s="7"/>
      <c r="E300" s="13" t="e">
        <f>SUM((VLOOKUP(B300, Rankings!C:E,3,FALSE)),(VLOOKUP(C300, Rankings!C:E,3,FALSE)),(VLOOKUP(D300, Rankings!C:E,3,FALSE)))</f>
        <v>#N/A</v>
      </c>
    </row>
    <row r="301" spans="2:5" s="5" customFormat="1" hidden="1" x14ac:dyDescent="0.25">
      <c r="B301"/>
      <c r="C301" s="6"/>
      <c r="D301" s="7"/>
      <c r="E301" s="13" t="e">
        <f>SUM((VLOOKUP(B301, Rankings!C:E,3,FALSE)),(VLOOKUP(C301, Rankings!C:E,3,FALSE)),(VLOOKUP(D301, Rankings!C:E,3,FALSE)))</f>
        <v>#N/A</v>
      </c>
    </row>
    <row r="302" spans="2:5" s="5" customFormat="1" hidden="1" x14ac:dyDescent="0.25">
      <c r="B302"/>
      <c r="C302" s="6"/>
      <c r="D302" s="7"/>
      <c r="E302" s="13" t="e">
        <f>SUM((VLOOKUP(B302, Rankings!C:E,3,FALSE)),(VLOOKUP(C302, Rankings!C:E,3,FALSE)),(VLOOKUP(D302, Rankings!C:E,3,FALSE)))</f>
        <v>#N/A</v>
      </c>
    </row>
    <row r="303" spans="2:5" s="5" customFormat="1" hidden="1" x14ac:dyDescent="0.25">
      <c r="B303"/>
      <c r="C303" s="6"/>
      <c r="D303" s="7"/>
      <c r="E303" s="13" t="e">
        <f>SUM((VLOOKUP(B303, Rankings!C:E,3,FALSE)),(VLOOKUP(C303, Rankings!C:E,3,FALSE)),(VLOOKUP(D303, Rankings!C:E,3,FALSE)))</f>
        <v>#N/A</v>
      </c>
    </row>
    <row r="304" spans="2:5" s="5" customFormat="1" hidden="1" x14ac:dyDescent="0.25">
      <c r="B304"/>
      <c r="C304" s="6"/>
      <c r="D304" s="7"/>
      <c r="E304" s="13" t="e">
        <f>SUM((VLOOKUP(B304, Rankings!C:E,3,FALSE)),(VLOOKUP(C304, Rankings!C:E,3,FALSE)),(VLOOKUP(D304, Rankings!C:E,3,FALSE)))</f>
        <v>#N/A</v>
      </c>
    </row>
    <row r="305" spans="2:5" s="5" customFormat="1" hidden="1" x14ac:dyDescent="0.25">
      <c r="B305"/>
      <c r="C305" s="6"/>
      <c r="D305" s="7"/>
      <c r="E305" s="13" t="e">
        <f>SUM((VLOOKUP(B305, Rankings!C:E,3,FALSE)),(VLOOKUP(C305, Rankings!C:E,3,FALSE)),(VLOOKUP(D305, Rankings!C:E,3,FALSE)))</f>
        <v>#N/A</v>
      </c>
    </row>
    <row r="306" spans="2:5" s="5" customFormat="1" hidden="1" x14ac:dyDescent="0.25">
      <c r="B306"/>
      <c r="C306" s="6"/>
      <c r="D306" s="7"/>
      <c r="E306" s="13" t="e">
        <f>SUM((VLOOKUP(B306, Rankings!C:E,3,FALSE)),(VLOOKUP(C306, Rankings!C:E,3,FALSE)),(VLOOKUP(D306, Rankings!C:E,3,FALSE)))</f>
        <v>#N/A</v>
      </c>
    </row>
    <row r="307" spans="2:5" s="5" customFormat="1" hidden="1" x14ac:dyDescent="0.25">
      <c r="B307"/>
      <c r="C307" s="6"/>
      <c r="D307" s="7"/>
      <c r="E307" s="13" t="e">
        <f>SUM((VLOOKUP(B307, Rankings!C:E,3,FALSE)),(VLOOKUP(C307, Rankings!C:E,3,FALSE)),(VLOOKUP(D307, Rankings!C:E,3,FALSE)))</f>
        <v>#N/A</v>
      </c>
    </row>
    <row r="308" spans="2:5" s="5" customFormat="1" hidden="1" x14ac:dyDescent="0.25">
      <c r="B308"/>
      <c r="C308" s="6"/>
      <c r="D308" s="7"/>
      <c r="E308" s="13" t="e">
        <f>SUM((VLOOKUP(B308, Rankings!C:E,3,FALSE)),(VLOOKUP(C308, Rankings!C:E,3,FALSE)),(VLOOKUP(D308, Rankings!C:E,3,FALSE)))</f>
        <v>#N/A</v>
      </c>
    </row>
    <row r="309" spans="2:5" s="5" customFormat="1" hidden="1" x14ac:dyDescent="0.25">
      <c r="B309"/>
      <c r="C309" s="6"/>
      <c r="D309" s="7"/>
      <c r="E309" s="13" t="e">
        <f>SUM((VLOOKUP(B309, Rankings!C:E,3,FALSE)),(VLOOKUP(C309, Rankings!C:E,3,FALSE)),(VLOOKUP(D309, Rankings!C:E,3,FALSE)))</f>
        <v>#N/A</v>
      </c>
    </row>
    <row r="310" spans="2:5" s="5" customFormat="1" hidden="1" x14ac:dyDescent="0.25">
      <c r="B310"/>
      <c r="C310" s="6"/>
      <c r="D310" s="7"/>
      <c r="E310" s="13" t="e">
        <f>SUM((VLOOKUP(B310, Rankings!C:E,3,FALSE)),(VLOOKUP(C310, Rankings!C:E,3,FALSE)),(VLOOKUP(D310, Rankings!C:E,3,FALSE)))</f>
        <v>#N/A</v>
      </c>
    </row>
    <row r="311" spans="2:5" s="5" customFormat="1" hidden="1" x14ac:dyDescent="0.25">
      <c r="B311"/>
      <c r="C311" s="6"/>
      <c r="D311" s="7"/>
      <c r="E311" s="13" t="e">
        <f>SUM((VLOOKUP(B311, Rankings!C:E,3,FALSE)),(VLOOKUP(C311, Rankings!C:E,3,FALSE)),(VLOOKUP(D311, Rankings!C:E,3,FALSE)))</f>
        <v>#N/A</v>
      </c>
    </row>
    <row r="312" spans="2:5" s="5" customFormat="1" hidden="1" x14ac:dyDescent="0.25">
      <c r="B312"/>
      <c r="C312" s="6"/>
      <c r="D312" s="7"/>
      <c r="E312" s="13" t="e">
        <f>SUM((VLOOKUP(B312, Rankings!C:E,3,FALSE)),(VLOOKUP(C312, Rankings!C:E,3,FALSE)),(VLOOKUP(D312, Rankings!C:E,3,FALSE)))</f>
        <v>#N/A</v>
      </c>
    </row>
    <row r="313" spans="2:5" s="5" customFormat="1" hidden="1" x14ac:dyDescent="0.25">
      <c r="B313"/>
      <c r="C313" s="6"/>
      <c r="D313" s="7"/>
      <c r="E313" s="13" t="e">
        <f>SUM((VLOOKUP(B313, Rankings!C:E,3,FALSE)),(VLOOKUP(C313, Rankings!C:E,3,FALSE)),(VLOOKUP(D313, Rankings!C:E,3,FALSE)))</f>
        <v>#N/A</v>
      </c>
    </row>
    <row r="314" spans="2:5" s="5" customFormat="1" hidden="1" x14ac:dyDescent="0.25">
      <c r="B314"/>
      <c r="C314" s="6"/>
      <c r="D314" s="7"/>
      <c r="E314" s="13" t="e">
        <f>SUM((VLOOKUP(B314, Rankings!C:E,3,FALSE)),(VLOOKUP(C314, Rankings!C:E,3,FALSE)),(VLOOKUP(D314, Rankings!C:E,3,FALSE)))</f>
        <v>#N/A</v>
      </c>
    </row>
    <row r="315" spans="2:5" s="5" customFormat="1" hidden="1" x14ac:dyDescent="0.25">
      <c r="B315"/>
      <c r="C315" s="6"/>
      <c r="D315" s="7"/>
      <c r="E315" s="13" t="e">
        <f>SUM((VLOOKUP(B315, Rankings!C:E,3,FALSE)),(VLOOKUP(C315, Rankings!C:E,3,FALSE)),(VLOOKUP(D315, Rankings!C:E,3,FALSE)))</f>
        <v>#N/A</v>
      </c>
    </row>
    <row r="316" spans="2:5" s="5" customFormat="1" hidden="1" x14ac:dyDescent="0.25">
      <c r="B316"/>
      <c r="C316" s="6"/>
      <c r="D316" s="7"/>
      <c r="E316" s="13" t="e">
        <f>SUM((VLOOKUP(B316, Rankings!C:E,3,FALSE)),(VLOOKUP(C316, Rankings!C:E,3,FALSE)),(VLOOKUP(D316, Rankings!C:E,3,FALSE)))</f>
        <v>#N/A</v>
      </c>
    </row>
    <row r="317" spans="2:5" s="5" customFormat="1" hidden="1" x14ac:dyDescent="0.25">
      <c r="B317"/>
      <c r="C317" s="6"/>
      <c r="D317" s="7"/>
      <c r="E317" s="13" t="e">
        <f>SUM((VLOOKUP(B317, Rankings!C:E,3,FALSE)),(VLOOKUP(C317, Rankings!C:E,3,FALSE)),(VLOOKUP(D317, Rankings!C:E,3,FALSE)))</f>
        <v>#N/A</v>
      </c>
    </row>
    <row r="318" spans="2:5" s="5" customFormat="1" hidden="1" x14ac:dyDescent="0.25">
      <c r="B318"/>
      <c r="C318" s="6"/>
      <c r="D318" s="7"/>
      <c r="E318" s="13" t="e">
        <f>SUM((VLOOKUP(B318, Rankings!C:E,3,FALSE)),(VLOOKUP(C318, Rankings!C:E,3,FALSE)),(VLOOKUP(D318, Rankings!C:E,3,FALSE)))</f>
        <v>#N/A</v>
      </c>
    </row>
    <row r="319" spans="2:5" s="5" customFormat="1" hidden="1" x14ac:dyDescent="0.25">
      <c r="B319"/>
      <c r="C319" s="6"/>
      <c r="D319" s="7"/>
      <c r="E319" s="13" t="e">
        <f>SUM((VLOOKUP(B319, Rankings!C:E,3,FALSE)),(VLOOKUP(C319, Rankings!C:E,3,FALSE)),(VLOOKUP(D319, Rankings!C:E,3,FALSE)))</f>
        <v>#N/A</v>
      </c>
    </row>
    <row r="320" spans="2:5" s="5" customFormat="1" hidden="1" x14ac:dyDescent="0.25">
      <c r="B320"/>
      <c r="C320" s="6"/>
      <c r="D320" s="7"/>
      <c r="E320" s="13" t="e">
        <f>SUM((VLOOKUP(B320, Rankings!C:E,3,FALSE)),(VLOOKUP(C320, Rankings!C:E,3,FALSE)),(VLOOKUP(D320, Rankings!C:E,3,FALSE)))</f>
        <v>#N/A</v>
      </c>
    </row>
    <row r="321" spans="2:5" s="5" customFormat="1" hidden="1" x14ac:dyDescent="0.25">
      <c r="B321"/>
      <c r="C321" s="6"/>
      <c r="D321" s="7"/>
      <c r="E321" s="13" t="e">
        <f>SUM((VLOOKUP(B321, Rankings!C:E,3,FALSE)),(VLOOKUP(C321, Rankings!C:E,3,FALSE)),(VLOOKUP(D321, Rankings!C:E,3,FALSE)))</f>
        <v>#N/A</v>
      </c>
    </row>
    <row r="322" spans="2:5" s="5" customFormat="1" hidden="1" x14ac:dyDescent="0.25">
      <c r="B322"/>
      <c r="C322" s="6"/>
      <c r="D322" s="7"/>
      <c r="E322" s="13" t="e">
        <f>SUM((VLOOKUP(B322, Rankings!C:E,3,FALSE)),(VLOOKUP(C322, Rankings!C:E,3,FALSE)),(VLOOKUP(D322, Rankings!C:E,3,FALSE)))</f>
        <v>#N/A</v>
      </c>
    </row>
    <row r="323" spans="2:5" s="5" customFormat="1" hidden="1" x14ac:dyDescent="0.25">
      <c r="B323"/>
      <c r="C323" s="6"/>
      <c r="D323" s="7"/>
      <c r="E323" s="13" t="e">
        <f>SUM((VLOOKUP(B323, Rankings!C:E,3,FALSE)),(VLOOKUP(C323, Rankings!C:E,3,FALSE)),(VLOOKUP(D323, Rankings!C:E,3,FALSE)))</f>
        <v>#N/A</v>
      </c>
    </row>
    <row r="324" spans="2:5" s="5" customFormat="1" hidden="1" x14ac:dyDescent="0.25">
      <c r="B324"/>
      <c r="C324" s="6"/>
      <c r="D324" s="7"/>
      <c r="E324" s="13" t="e">
        <f>SUM((VLOOKUP(B324, Rankings!C:E,3,FALSE)),(VLOOKUP(C324, Rankings!C:E,3,FALSE)),(VLOOKUP(D324, Rankings!C:E,3,FALSE)))</f>
        <v>#N/A</v>
      </c>
    </row>
    <row r="325" spans="2:5" s="5" customFormat="1" hidden="1" x14ac:dyDescent="0.25">
      <c r="B325"/>
      <c r="C325" s="6"/>
      <c r="D325" s="7"/>
      <c r="E325" s="13" t="e">
        <f>SUM((VLOOKUP(B325, Rankings!C:E,3,FALSE)),(VLOOKUP(C325, Rankings!C:E,3,FALSE)),(VLOOKUP(D325, Rankings!C:E,3,FALSE)))</f>
        <v>#N/A</v>
      </c>
    </row>
    <row r="326" spans="2:5" s="5" customFormat="1" hidden="1" x14ac:dyDescent="0.25">
      <c r="B326"/>
      <c r="C326" s="6"/>
      <c r="D326" s="7"/>
      <c r="E326" s="13" t="e">
        <f>SUM((VLOOKUP(B326, Rankings!C:E,3,FALSE)),(VLOOKUP(C326, Rankings!C:E,3,FALSE)),(VLOOKUP(D326, Rankings!C:E,3,FALSE)))</f>
        <v>#N/A</v>
      </c>
    </row>
    <row r="327" spans="2:5" s="5" customFormat="1" hidden="1" x14ac:dyDescent="0.25">
      <c r="B327"/>
      <c r="C327" s="6"/>
      <c r="D327" s="7"/>
      <c r="E327" s="13" t="e">
        <f>SUM((VLOOKUP(B327, Rankings!C:E,3,FALSE)),(VLOOKUP(C327, Rankings!C:E,3,FALSE)),(VLOOKUP(D327, Rankings!C:E,3,FALSE)))</f>
        <v>#N/A</v>
      </c>
    </row>
    <row r="328" spans="2:5" s="5" customFormat="1" hidden="1" x14ac:dyDescent="0.25">
      <c r="B328"/>
      <c r="C328" s="6"/>
      <c r="D328" s="7"/>
      <c r="E328" s="13" t="e">
        <f>SUM((VLOOKUP(B328, Rankings!C:E,3,FALSE)),(VLOOKUP(C328, Rankings!C:E,3,FALSE)),(VLOOKUP(D328, Rankings!C:E,3,FALSE)))</f>
        <v>#N/A</v>
      </c>
    </row>
    <row r="329" spans="2:5" s="5" customFormat="1" hidden="1" x14ac:dyDescent="0.25">
      <c r="B329"/>
      <c r="C329" s="6"/>
      <c r="D329" s="7"/>
      <c r="E329" s="13" t="e">
        <f>SUM((VLOOKUP(B329, Rankings!C:E,3,FALSE)),(VLOOKUP(C329, Rankings!C:E,3,FALSE)),(VLOOKUP(D329, Rankings!C:E,3,FALSE)))</f>
        <v>#N/A</v>
      </c>
    </row>
    <row r="330" spans="2:5" s="5" customFormat="1" hidden="1" x14ac:dyDescent="0.25">
      <c r="B330"/>
      <c r="C330" s="6"/>
      <c r="D330" s="7"/>
      <c r="E330" s="13" t="e">
        <f>SUM((VLOOKUP(B330, Rankings!C:E,3,FALSE)),(VLOOKUP(C330, Rankings!C:E,3,FALSE)),(VLOOKUP(D330, Rankings!C:E,3,FALSE)))</f>
        <v>#N/A</v>
      </c>
    </row>
    <row r="331" spans="2:5" s="5" customFormat="1" hidden="1" x14ac:dyDescent="0.25">
      <c r="B331"/>
      <c r="C331" s="6"/>
      <c r="D331" s="7"/>
      <c r="E331" s="13" t="e">
        <f>SUM((VLOOKUP(B331, Rankings!C:E,3,FALSE)),(VLOOKUP(C331, Rankings!C:E,3,FALSE)),(VLOOKUP(D331, Rankings!C:E,3,FALSE)))</f>
        <v>#N/A</v>
      </c>
    </row>
    <row r="332" spans="2:5" s="5" customFormat="1" hidden="1" x14ac:dyDescent="0.25">
      <c r="B332"/>
      <c r="C332" s="6"/>
      <c r="D332" s="7"/>
      <c r="E332" s="13" t="e">
        <f>SUM((VLOOKUP(B332, Rankings!C:E,3,FALSE)),(VLOOKUP(C332, Rankings!C:E,3,FALSE)),(VLOOKUP(D332, Rankings!C:E,3,FALSE)))</f>
        <v>#N/A</v>
      </c>
    </row>
    <row r="333" spans="2:5" s="5" customFormat="1" hidden="1" x14ac:dyDescent="0.25">
      <c r="B333"/>
      <c r="C333" s="6"/>
      <c r="D333" s="7"/>
      <c r="E333" s="13" t="e">
        <f>SUM((VLOOKUP(B333, Rankings!C:E,3,FALSE)),(VLOOKUP(C333, Rankings!C:E,3,FALSE)),(VLOOKUP(D333, Rankings!C:E,3,FALSE)))</f>
        <v>#N/A</v>
      </c>
    </row>
    <row r="334" spans="2:5" s="5" customFormat="1" hidden="1" x14ac:dyDescent="0.25">
      <c r="B334"/>
      <c r="C334" s="6"/>
      <c r="D334" s="7"/>
      <c r="E334" s="13" t="e">
        <f>SUM((VLOOKUP(B334, Rankings!C:E,3,FALSE)),(VLOOKUP(C334, Rankings!C:E,3,FALSE)),(VLOOKUP(D334, Rankings!C:E,3,FALSE)))</f>
        <v>#N/A</v>
      </c>
    </row>
    <row r="335" spans="2:5" s="5" customFormat="1" hidden="1" x14ac:dyDescent="0.25">
      <c r="B335"/>
      <c r="C335" s="6"/>
      <c r="D335" s="7"/>
      <c r="E335" s="13" t="e">
        <f>SUM((VLOOKUP(B335, Rankings!C:E,3,FALSE)),(VLOOKUP(C335, Rankings!C:E,3,FALSE)),(VLOOKUP(D335, Rankings!C:E,3,FALSE)))</f>
        <v>#N/A</v>
      </c>
    </row>
    <row r="336" spans="2:5" s="5" customFormat="1" hidden="1" x14ac:dyDescent="0.25">
      <c r="B336"/>
      <c r="C336" s="6"/>
      <c r="D336" s="7"/>
      <c r="E336" s="13" t="e">
        <f>SUM((VLOOKUP(B336, Rankings!C:E,3,FALSE)),(VLOOKUP(C336, Rankings!C:E,3,FALSE)),(VLOOKUP(D336, Rankings!C:E,3,FALSE)))</f>
        <v>#N/A</v>
      </c>
    </row>
    <row r="337" spans="2:5" s="5" customFormat="1" hidden="1" x14ac:dyDescent="0.25">
      <c r="B337"/>
      <c r="C337" s="6"/>
      <c r="D337" s="7"/>
      <c r="E337" s="13" t="e">
        <f>SUM((VLOOKUP(B337, Rankings!C:E,3,FALSE)),(VLOOKUP(C337, Rankings!C:E,3,FALSE)),(VLOOKUP(D337, Rankings!C:E,3,FALSE)))</f>
        <v>#N/A</v>
      </c>
    </row>
    <row r="338" spans="2:5" s="5" customFormat="1" hidden="1" x14ac:dyDescent="0.25">
      <c r="B338"/>
      <c r="C338" s="6"/>
      <c r="D338" s="7"/>
      <c r="E338" s="13" t="e">
        <f>SUM((VLOOKUP(B338, Rankings!C:E,3,FALSE)),(VLOOKUP(C338, Rankings!C:E,3,FALSE)),(VLOOKUP(D338, Rankings!C:E,3,FALSE)))</f>
        <v>#N/A</v>
      </c>
    </row>
    <row r="339" spans="2:5" s="5" customFormat="1" hidden="1" x14ac:dyDescent="0.25">
      <c r="B339"/>
      <c r="C339" s="6"/>
      <c r="D339" s="7"/>
      <c r="E339" s="13" t="e">
        <f>SUM((VLOOKUP(B339, Rankings!C:E,3,FALSE)),(VLOOKUP(C339, Rankings!C:E,3,FALSE)),(VLOOKUP(D339, Rankings!C:E,3,FALSE)))</f>
        <v>#N/A</v>
      </c>
    </row>
    <row r="340" spans="2:5" s="5" customFormat="1" hidden="1" x14ac:dyDescent="0.25">
      <c r="B340"/>
      <c r="C340" s="6"/>
      <c r="D340" s="7"/>
      <c r="E340" s="13" t="e">
        <f>SUM((VLOOKUP(B340, Rankings!C:E,3,FALSE)),(VLOOKUP(C340, Rankings!C:E,3,FALSE)),(VLOOKUP(D340, Rankings!C:E,3,FALSE)))</f>
        <v>#N/A</v>
      </c>
    </row>
    <row r="341" spans="2:5" s="5" customFormat="1" hidden="1" x14ac:dyDescent="0.25">
      <c r="B341"/>
      <c r="C341" s="6"/>
      <c r="D341" s="7"/>
      <c r="E341" s="13" t="e">
        <f>SUM((VLOOKUP(B341, Rankings!C:E,3,FALSE)),(VLOOKUP(C341, Rankings!C:E,3,FALSE)),(VLOOKUP(D341, Rankings!C:E,3,FALSE)))</f>
        <v>#N/A</v>
      </c>
    </row>
    <row r="342" spans="2:5" s="5" customFormat="1" hidden="1" x14ac:dyDescent="0.25">
      <c r="B342"/>
      <c r="C342" s="6"/>
      <c r="D342" s="7"/>
      <c r="E342" s="13" t="e">
        <f>SUM((VLOOKUP(B342, Rankings!C:E,3,FALSE)),(VLOOKUP(C342, Rankings!C:E,3,FALSE)),(VLOOKUP(D342, Rankings!C:E,3,FALSE)))</f>
        <v>#N/A</v>
      </c>
    </row>
    <row r="343" spans="2:5" s="5" customFormat="1" hidden="1" x14ac:dyDescent="0.25">
      <c r="B343"/>
      <c r="C343" s="6"/>
      <c r="D343" s="7"/>
      <c r="E343" s="13" t="e">
        <f>SUM((VLOOKUP(B343, Rankings!C:E,3,FALSE)),(VLOOKUP(C343, Rankings!C:E,3,FALSE)),(VLOOKUP(D343, Rankings!C:E,3,FALSE)))</f>
        <v>#N/A</v>
      </c>
    </row>
    <row r="344" spans="2:5" s="5" customFormat="1" hidden="1" x14ac:dyDescent="0.25">
      <c r="B344"/>
      <c r="C344" s="6"/>
      <c r="D344" s="7"/>
      <c r="E344" s="13" t="e">
        <f>SUM((VLOOKUP(B344, Rankings!C:E,3,FALSE)),(VLOOKUP(C344, Rankings!C:E,3,FALSE)),(VLOOKUP(D344, Rankings!C:E,3,FALSE)))</f>
        <v>#N/A</v>
      </c>
    </row>
    <row r="345" spans="2:5" s="5" customFormat="1" hidden="1" x14ac:dyDescent="0.25">
      <c r="B345"/>
      <c r="C345" s="6"/>
      <c r="D345" s="7"/>
      <c r="E345" s="13" t="e">
        <f>SUM((VLOOKUP(B345, Rankings!C:E,3,FALSE)),(VLOOKUP(C345, Rankings!C:E,3,FALSE)),(VLOOKUP(D345, Rankings!C:E,3,FALSE)))</f>
        <v>#N/A</v>
      </c>
    </row>
    <row r="346" spans="2:5" s="5" customFormat="1" hidden="1" x14ac:dyDescent="0.25">
      <c r="B346"/>
      <c r="C346" s="6"/>
      <c r="D346" s="7"/>
      <c r="E346" s="13" t="e">
        <f>SUM((VLOOKUP(B346, Rankings!C:E,3,FALSE)),(VLOOKUP(C346, Rankings!C:E,3,FALSE)),(VLOOKUP(D346, Rankings!C:E,3,FALSE)))</f>
        <v>#N/A</v>
      </c>
    </row>
    <row r="347" spans="2:5" s="5" customFormat="1" hidden="1" x14ac:dyDescent="0.25">
      <c r="B347"/>
      <c r="C347" s="6"/>
      <c r="D347" s="7"/>
      <c r="E347" s="13" t="e">
        <f>SUM((VLOOKUP(B347, Rankings!C:E,3,FALSE)),(VLOOKUP(C347, Rankings!C:E,3,FALSE)),(VLOOKUP(D347, Rankings!C:E,3,FALSE)))</f>
        <v>#N/A</v>
      </c>
    </row>
    <row r="348" spans="2:5" s="5" customFormat="1" hidden="1" x14ac:dyDescent="0.25">
      <c r="B348"/>
      <c r="C348" s="6"/>
      <c r="D348" s="7"/>
      <c r="E348" s="13" t="e">
        <f>SUM((VLOOKUP(B348, Rankings!C:E,3,FALSE)),(VLOOKUP(C348, Rankings!C:E,3,FALSE)),(VLOOKUP(D348, Rankings!C:E,3,FALSE)))</f>
        <v>#N/A</v>
      </c>
    </row>
    <row r="349" spans="2:5" s="5" customFormat="1" hidden="1" x14ac:dyDescent="0.25">
      <c r="B349"/>
      <c r="C349" s="6"/>
      <c r="D349" s="7"/>
      <c r="E349" s="13" t="e">
        <f>SUM((VLOOKUP(B349, Rankings!C:E,3,FALSE)),(VLOOKUP(C349, Rankings!C:E,3,FALSE)),(VLOOKUP(D349, Rankings!C:E,3,FALSE)))</f>
        <v>#N/A</v>
      </c>
    </row>
    <row r="350" spans="2:5" s="5" customFormat="1" hidden="1" x14ac:dyDescent="0.25">
      <c r="B350"/>
      <c r="C350" s="6"/>
      <c r="D350" s="7"/>
      <c r="E350" s="13" t="e">
        <f>SUM((VLOOKUP(B350, Rankings!C:E,3,FALSE)),(VLOOKUP(C350, Rankings!C:E,3,FALSE)),(VLOOKUP(D350, Rankings!C:E,3,FALSE)))</f>
        <v>#N/A</v>
      </c>
    </row>
    <row r="351" spans="2:5" s="5" customFormat="1" hidden="1" x14ac:dyDescent="0.25">
      <c r="B351"/>
      <c r="C351" s="6"/>
      <c r="D351" s="7"/>
      <c r="E351" s="13" t="e">
        <f>SUM((VLOOKUP(B351, Rankings!C:E,3,FALSE)),(VLOOKUP(C351, Rankings!C:E,3,FALSE)),(VLOOKUP(D351, Rankings!C:E,3,FALSE)))</f>
        <v>#N/A</v>
      </c>
    </row>
    <row r="352" spans="2:5" s="5" customFormat="1" hidden="1" x14ac:dyDescent="0.25">
      <c r="B352"/>
      <c r="C352" s="6"/>
      <c r="D352" s="7"/>
      <c r="E352" s="13" t="e">
        <f>SUM((VLOOKUP(B352, Rankings!C:E,3,FALSE)),(VLOOKUP(C352, Rankings!C:E,3,FALSE)),(VLOOKUP(D352, Rankings!C:E,3,FALSE)))</f>
        <v>#N/A</v>
      </c>
    </row>
    <row r="353" spans="2:5" s="5" customFormat="1" hidden="1" x14ac:dyDescent="0.25">
      <c r="B353"/>
      <c r="C353" s="6"/>
      <c r="D353" s="7"/>
      <c r="E353" s="13" t="e">
        <f>SUM((VLOOKUP(B353, Rankings!C:E,3,FALSE)),(VLOOKUP(C353, Rankings!C:E,3,FALSE)),(VLOOKUP(D353, Rankings!C:E,3,FALSE)))</f>
        <v>#N/A</v>
      </c>
    </row>
    <row r="354" spans="2:5" s="5" customFormat="1" hidden="1" x14ac:dyDescent="0.25">
      <c r="B354"/>
      <c r="C354" s="6"/>
      <c r="D354" s="7"/>
      <c r="E354" s="13" t="e">
        <f>SUM((VLOOKUP(B354, Rankings!C:E,3,FALSE)),(VLOOKUP(C354, Rankings!C:E,3,FALSE)),(VLOOKUP(D354, Rankings!C:E,3,FALSE)))</f>
        <v>#N/A</v>
      </c>
    </row>
    <row r="355" spans="2:5" s="5" customFormat="1" hidden="1" x14ac:dyDescent="0.25">
      <c r="B355"/>
      <c r="C355" s="6"/>
      <c r="D355" s="7"/>
      <c r="E355" s="13" t="e">
        <f>SUM((VLOOKUP(B355, Rankings!C:E,3,FALSE)),(VLOOKUP(C355, Rankings!C:E,3,FALSE)),(VLOOKUP(D355, Rankings!C:E,3,FALSE)))</f>
        <v>#N/A</v>
      </c>
    </row>
    <row r="356" spans="2:5" s="5" customFormat="1" hidden="1" x14ac:dyDescent="0.25">
      <c r="B356"/>
      <c r="C356" s="6"/>
      <c r="D356" s="7"/>
      <c r="E356" s="13" t="e">
        <f>SUM((VLOOKUP(B356, Rankings!C:E,3,FALSE)),(VLOOKUP(C356, Rankings!C:E,3,FALSE)),(VLOOKUP(D356, Rankings!C:E,3,FALSE)))</f>
        <v>#N/A</v>
      </c>
    </row>
    <row r="357" spans="2:5" s="5" customFormat="1" hidden="1" x14ac:dyDescent="0.25">
      <c r="B357"/>
      <c r="C357" s="6"/>
      <c r="D357" s="7"/>
      <c r="E357" s="13" t="e">
        <f>SUM((VLOOKUP(B357, Rankings!C:E,3,FALSE)),(VLOOKUP(C357, Rankings!C:E,3,FALSE)),(VLOOKUP(D357, Rankings!C:E,3,FALSE)))</f>
        <v>#N/A</v>
      </c>
    </row>
    <row r="358" spans="2:5" s="5" customFormat="1" hidden="1" x14ac:dyDescent="0.25">
      <c r="B358"/>
      <c r="C358" s="6"/>
      <c r="D358" s="7"/>
      <c r="E358" s="13" t="e">
        <f>SUM((VLOOKUP(B358, Rankings!C:E,3,FALSE)),(VLOOKUP(C358, Rankings!C:E,3,FALSE)),(VLOOKUP(D358, Rankings!C:E,3,FALSE)))</f>
        <v>#N/A</v>
      </c>
    </row>
    <row r="359" spans="2:5" s="5" customFormat="1" hidden="1" x14ac:dyDescent="0.25">
      <c r="B359"/>
      <c r="C359" s="6"/>
      <c r="D359" s="7"/>
      <c r="E359" s="13" t="e">
        <f>SUM((VLOOKUP(B359, Rankings!C:E,3,FALSE)),(VLOOKUP(C359, Rankings!C:E,3,FALSE)),(VLOOKUP(D359, Rankings!C:E,3,FALSE)))</f>
        <v>#N/A</v>
      </c>
    </row>
    <row r="360" spans="2:5" s="5" customFormat="1" hidden="1" x14ac:dyDescent="0.25">
      <c r="B360"/>
      <c r="C360" s="6"/>
      <c r="D360" s="7"/>
      <c r="E360" s="13" t="e">
        <f>SUM((VLOOKUP(B360, Rankings!C:E,3,FALSE)),(VLOOKUP(C360, Rankings!C:E,3,FALSE)),(VLOOKUP(D360, Rankings!C:E,3,FALSE)))</f>
        <v>#N/A</v>
      </c>
    </row>
    <row r="361" spans="2:5" s="5" customFormat="1" hidden="1" x14ac:dyDescent="0.25">
      <c r="B361"/>
      <c r="C361" s="6"/>
      <c r="D361" s="7"/>
      <c r="E361" s="13" t="e">
        <f>SUM((VLOOKUP(B361, Rankings!C:E,3,FALSE)),(VLOOKUP(C361, Rankings!C:E,3,FALSE)),(VLOOKUP(D361, Rankings!C:E,3,FALSE)))</f>
        <v>#N/A</v>
      </c>
    </row>
    <row r="362" spans="2:5" s="5" customFormat="1" hidden="1" x14ac:dyDescent="0.25">
      <c r="B362"/>
      <c r="C362" s="6"/>
      <c r="D362" s="7"/>
      <c r="E362" s="13" t="e">
        <f>SUM((VLOOKUP(B362, Rankings!C:E,3,FALSE)),(VLOOKUP(C362, Rankings!C:E,3,FALSE)),(VLOOKUP(D362, Rankings!C:E,3,FALSE)))</f>
        <v>#N/A</v>
      </c>
    </row>
    <row r="363" spans="2:5" s="5" customFormat="1" hidden="1" x14ac:dyDescent="0.25">
      <c r="B363"/>
      <c r="C363" s="6"/>
      <c r="D363" s="7"/>
      <c r="E363" s="13" t="e">
        <f>SUM((VLOOKUP(B363, Rankings!C:E,3,FALSE)),(VLOOKUP(C363, Rankings!C:E,3,FALSE)),(VLOOKUP(D363, Rankings!C:E,3,FALSE)))</f>
        <v>#N/A</v>
      </c>
    </row>
    <row r="364" spans="2:5" s="5" customFormat="1" hidden="1" x14ac:dyDescent="0.25">
      <c r="B364"/>
      <c r="C364" s="6"/>
      <c r="D364" s="7"/>
      <c r="E364" s="13" t="e">
        <f>SUM((VLOOKUP(B364, Rankings!C:E,3,FALSE)),(VLOOKUP(C364, Rankings!C:E,3,FALSE)),(VLOOKUP(D364, Rankings!C:E,3,FALSE)))</f>
        <v>#N/A</v>
      </c>
    </row>
    <row r="365" spans="2:5" s="5" customFormat="1" hidden="1" x14ac:dyDescent="0.25">
      <c r="B365"/>
      <c r="C365" s="6"/>
      <c r="D365" s="7"/>
      <c r="E365" s="13" t="e">
        <f>SUM((VLOOKUP(B365, Rankings!C:E,3,FALSE)),(VLOOKUP(C365, Rankings!C:E,3,FALSE)),(VLOOKUP(D365, Rankings!C:E,3,FALSE)))</f>
        <v>#N/A</v>
      </c>
    </row>
    <row r="366" spans="2:5" s="5" customFormat="1" hidden="1" x14ac:dyDescent="0.25">
      <c r="B366"/>
      <c r="C366" s="6"/>
      <c r="D366" s="7"/>
      <c r="E366" s="13" t="e">
        <f>SUM((VLOOKUP(B366, Rankings!C:E,3,FALSE)),(VLOOKUP(C366, Rankings!C:E,3,FALSE)),(VLOOKUP(D366, Rankings!C:E,3,FALSE)))</f>
        <v>#N/A</v>
      </c>
    </row>
    <row r="367" spans="2:5" s="5" customFormat="1" hidden="1" x14ac:dyDescent="0.25">
      <c r="B367"/>
      <c r="C367" s="6"/>
      <c r="D367" s="7"/>
      <c r="E367" s="13" t="e">
        <f>SUM((VLOOKUP(B367, Rankings!C:E,3,FALSE)),(VLOOKUP(C367, Rankings!C:E,3,FALSE)),(VLOOKUP(D367, Rankings!C:E,3,FALSE)))</f>
        <v>#N/A</v>
      </c>
    </row>
    <row r="368" spans="2:5" s="5" customFormat="1" hidden="1" x14ac:dyDescent="0.25">
      <c r="B368"/>
      <c r="C368" s="6"/>
      <c r="D368" s="7"/>
      <c r="E368" s="13" t="e">
        <f>SUM((VLOOKUP(B368, Rankings!C:E,3,FALSE)),(VLOOKUP(C368, Rankings!C:E,3,FALSE)),(VLOOKUP(D368, Rankings!C:E,3,FALSE)))</f>
        <v>#N/A</v>
      </c>
    </row>
    <row r="369" spans="2:5" s="5" customFormat="1" hidden="1" x14ac:dyDescent="0.25">
      <c r="B369"/>
      <c r="C369" s="6"/>
      <c r="D369" s="7"/>
      <c r="E369" s="13" t="e">
        <f>SUM((VLOOKUP(B369, Rankings!C:E,3,FALSE)),(VLOOKUP(C369, Rankings!C:E,3,FALSE)),(VLOOKUP(D369, Rankings!C:E,3,FALSE)))</f>
        <v>#N/A</v>
      </c>
    </row>
    <row r="370" spans="2:5" s="5" customFormat="1" hidden="1" x14ac:dyDescent="0.25">
      <c r="B370"/>
      <c r="C370" s="6"/>
      <c r="D370" s="7"/>
      <c r="E370" s="13" t="e">
        <f>SUM((VLOOKUP(B370, Rankings!C:E,3,FALSE)),(VLOOKUP(C370, Rankings!C:E,3,FALSE)),(VLOOKUP(D370, Rankings!C:E,3,FALSE)))</f>
        <v>#N/A</v>
      </c>
    </row>
    <row r="371" spans="2:5" s="5" customFormat="1" hidden="1" x14ac:dyDescent="0.25">
      <c r="B371"/>
      <c r="C371" s="6"/>
      <c r="D371" s="7"/>
      <c r="E371" s="13" t="e">
        <f>SUM((VLOOKUP(B371, Rankings!C:E,3,FALSE)),(VLOOKUP(C371, Rankings!C:E,3,FALSE)),(VLOOKUP(D371, Rankings!C:E,3,FALSE)))</f>
        <v>#N/A</v>
      </c>
    </row>
    <row r="372" spans="2:5" s="5" customFormat="1" hidden="1" x14ac:dyDescent="0.25">
      <c r="B372"/>
      <c r="C372" s="6"/>
      <c r="D372" s="7"/>
      <c r="E372" s="13" t="e">
        <f>SUM((VLOOKUP(B372, Rankings!C:E,3,FALSE)),(VLOOKUP(C372, Rankings!C:E,3,FALSE)),(VLOOKUP(D372, Rankings!C:E,3,FALSE)))</f>
        <v>#N/A</v>
      </c>
    </row>
    <row r="373" spans="2:5" s="5" customFormat="1" hidden="1" x14ac:dyDescent="0.25">
      <c r="B373"/>
      <c r="C373" s="6"/>
      <c r="D373" s="7"/>
      <c r="E373" s="13" t="e">
        <f>SUM((VLOOKUP(B373, Rankings!C:E,3,FALSE)),(VLOOKUP(C373, Rankings!C:E,3,FALSE)),(VLOOKUP(D373, Rankings!C:E,3,FALSE)))</f>
        <v>#N/A</v>
      </c>
    </row>
    <row r="374" spans="2:5" s="5" customFormat="1" hidden="1" x14ac:dyDescent="0.25">
      <c r="B374"/>
      <c r="C374" s="6"/>
      <c r="D374" s="7"/>
      <c r="E374" s="13" t="e">
        <f>SUM((VLOOKUP(B374, Rankings!C:E,3,FALSE)),(VLOOKUP(C374, Rankings!C:E,3,FALSE)),(VLOOKUP(D374, Rankings!C:E,3,FALSE)))</f>
        <v>#N/A</v>
      </c>
    </row>
    <row r="375" spans="2:5" s="5" customFormat="1" hidden="1" x14ac:dyDescent="0.25">
      <c r="B375"/>
      <c r="C375" s="6"/>
      <c r="D375" s="7"/>
      <c r="E375" s="13" t="e">
        <f>SUM((VLOOKUP(B375, Rankings!C:E,3,FALSE)),(VLOOKUP(C375, Rankings!C:E,3,FALSE)),(VLOOKUP(D375, Rankings!C:E,3,FALSE)))</f>
        <v>#N/A</v>
      </c>
    </row>
    <row r="376" spans="2:5" s="5" customFormat="1" hidden="1" x14ac:dyDescent="0.25">
      <c r="B376"/>
      <c r="C376" s="6"/>
      <c r="D376" s="7"/>
      <c r="E376" s="13" t="e">
        <f>SUM((VLOOKUP(B376, Rankings!C:E,3,FALSE)),(VLOOKUP(C376, Rankings!C:E,3,FALSE)),(VLOOKUP(D376, Rankings!C:E,3,FALSE)))</f>
        <v>#N/A</v>
      </c>
    </row>
    <row r="377" spans="2:5" s="5" customFormat="1" hidden="1" x14ac:dyDescent="0.25">
      <c r="B377"/>
      <c r="C377" s="6"/>
      <c r="D377" s="7"/>
      <c r="E377" s="13" t="e">
        <f>SUM((VLOOKUP(B377, Rankings!C:E,3,FALSE)),(VLOOKUP(C377, Rankings!C:E,3,FALSE)),(VLOOKUP(D377, Rankings!C:E,3,FALSE)))</f>
        <v>#N/A</v>
      </c>
    </row>
    <row r="378" spans="2:5" s="5" customFormat="1" hidden="1" x14ac:dyDescent="0.25">
      <c r="B378"/>
      <c r="C378" s="6"/>
      <c r="D378" s="7"/>
      <c r="E378" s="13" t="e">
        <f>SUM((VLOOKUP(B378, Rankings!C:E,3,FALSE)),(VLOOKUP(C378, Rankings!C:E,3,FALSE)),(VLOOKUP(D378, Rankings!C:E,3,FALSE)))</f>
        <v>#N/A</v>
      </c>
    </row>
    <row r="379" spans="2:5" s="5" customFormat="1" hidden="1" x14ac:dyDescent="0.25">
      <c r="B379"/>
      <c r="C379" s="6"/>
      <c r="D379" s="7"/>
      <c r="E379" s="13" t="e">
        <f>SUM((VLOOKUP(B379, Rankings!C:E,3,FALSE)),(VLOOKUP(C379, Rankings!C:E,3,FALSE)),(VLOOKUP(D379, Rankings!C:E,3,FALSE)))</f>
        <v>#N/A</v>
      </c>
    </row>
    <row r="380" spans="2:5" s="5" customFormat="1" hidden="1" x14ac:dyDescent="0.25">
      <c r="B380"/>
      <c r="C380" s="6"/>
      <c r="D380" s="7"/>
      <c r="E380" s="13" t="e">
        <f>SUM((VLOOKUP(B380, Rankings!C:E,3,FALSE)),(VLOOKUP(C380, Rankings!C:E,3,FALSE)),(VLOOKUP(D380, Rankings!C:E,3,FALSE)))</f>
        <v>#N/A</v>
      </c>
    </row>
    <row r="381" spans="2:5" s="5" customFormat="1" hidden="1" x14ac:dyDescent="0.25">
      <c r="B381"/>
      <c r="C381" s="6"/>
      <c r="D381" s="7"/>
      <c r="E381" s="13" t="e">
        <f>SUM((VLOOKUP(B381, Rankings!C:E,3,FALSE)),(VLOOKUP(C381, Rankings!C:E,3,FALSE)),(VLOOKUP(D381, Rankings!C:E,3,FALSE)))</f>
        <v>#N/A</v>
      </c>
    </row>
    <row r="382" spans="2:5" s="5" customFormat="1" hidden="1" x14ac:dyDescent="0.25">
      <c r="B382"/>
      <c r="C382" s="6"/>
      <c r="D382" s="7"/>
      <c r="E382" s="13" t="e">
        <f>SUM((VLOOKUP(B382, Rankings!C:E,3,FALSE)),(VLOOKUP(C382, Rankings!C:E,3,FALSE)),(VLOOKUP(D382, Rankings!C:E,3,FALSE)))</f>
        <v>#N/A</v>
      </c>
    </row>
    <row r="383" spans="2:5" s="5" customFormat="1" hidden="1" x14ac:dyDescent="0.25">
      <c r="B383"/>
      <c r="C383" s="6"/>
      <c r="D383" s="7"/>
      <c r="E383" s="13" t="e">
        <f>SUM((VLOOKUP(B383, Rankings!C:E,3,FALSE)),(VLOOKUP(C383, Rankings!C:E,3,FALSE)),(VLOOKUP(D383, Rankings!C:E,3,FALSE)))</f>
        <v>#N/A</v>
      </c>
    </row>
    <row r="384" spans="2:5" s="5" customFormat="1" hidden="1" x14ac:dyDescent="0.25">
      <c r="B384"/>
      <c r="C384" s="6"/>
      <c r="D384" s="7"/>
      <c r="E384" s="13" t="e">
        <f>SUM((VLOOKUP(B384, Rankings!C:E,3,FALSE)),(VLOOKUP(C384, Rankings!C:E,3,FALSE)),(VLOOKUP(D384, Rankings!C:E,3,FALSE)))</f>
        <v>#N/A</v>
      </c>
    </row>
    <row r="385" spans="2:5" s="5" customFormat="1" hidden="1" x14ac:dyDescent="0.25">
      <c r="B385"/>
      <c r="C385" s="6"/>
      <c r="D385" s="7"/>
      <c r="E385" s="13" t="e">
        <f>SUM((VLOOKUP(B385, Rankings!C:E,3,FALSE)),(VLOOKUP(C385, Rankings!C:E,3,FALSE)),(VLOOKUP(D385, Rankings!C:E,3,FALSE)))</f>
        <v>#N/A</v>
      </c>
    </row>
    <row r="386" spans="2:5" s="5" customFormat="1" hidden="1" x14ac:dyDescent="0.25">
      <c r="B386"/>
      <c r="C386" s="6"/>
      <c r="D386" s="7"/>
      <c r="E386" s="13" t="e">
        <f>SUM((VLOOKUP(B386, Rankings!C:E,3,FALSE)),(VLOOKUP(C386, Rankings!C:E,3,FALSE)),(VLOOKUP(D386, Rankings!C:E,3,FALSE)))</f>
        <v>#N/A</v>
      </c>
    </row>
    <row r="387" spans="2:5" s="5" customFormat="1" hidden="1" x14ac:dyDescent="0.25">
      <c r="B387"/>
      <c r="C387" s="6"/>
      <c r="D387" s="7"/>
      <c r="E387" s="13" t="e">
        <f>SUM((VLOOKUP(B387, Rankings!C:E,3,FALSE)),(VLOOKUP(C387, Rankings!C:E,3,FALSE)),(VLOOKUP(D387, Rankings!C:E,3,FALSE)))</f>
        <v>#N/A</v>
      </c>
    </row>
    <row r="388" spans="2:5" s="5" customFormat="1" hidden="1" x14ac:dyDescent="0.25">
      <c r="B388"/>
      <c r="C388" s="6"/>
      <c r="D388" s="7"/>
      <c r="E388" s="13" t="e">
        <f>SUM((VLOOKUP(B388, Rankings!C:E,3,FALSE)),(VLOOKUP(C388, Rankings!C:E,3,FALSE)),(VLOOKUP(D388, Rankings!C:E,3,FALSE)))</f>
        <v>#N/A</v>
      </c>
    </row>
    <row r="389" spans="2:5" s="5" customFormat="1" hidden="1" x14ac:dyDescent="0.25">
      <c r="B389"/>
      <c r="C389" s="6"/>
      <c r="D389" s="7"/>
      <c r="E389" s="13" t="e">
        <f>SUM((VLOOKUP(B389, Rankings!C:E,3,FALSE)),(VLOOKUP(C389, Rankings!C:E,3,FALSE)),(VLOOKUP(D389, Rankings!C:E,3,FALSE)))</f>
        <v>#N/A</v>
      </c>
    </row>
    <row r="390" spans="2:5" s="5" customFormat="1" hidden="1" x14ac:dyDescent="0.25">
      <c r="B390"/>
      <c r="C390" s="6"/>
      <c r="D390" s="7"/>
      <c r="E390" s="13" t="e">
        <f>SUM((VLOOKUP(B390, Rankings!C:E,3,FALSE)),(VLOOKUP(C390, Rankings!C:E,3,FALSE)),(VLOOKUP(D390, Rankings!C:E,3,FALSE)))</f>
        <v>#N/A</v>
      </c>
    </row>
    <row r="391" spans="2:5" s="5" customFormat="1" hidden="1" x14ac:dyDescent="0.25">
      <c r="B391"/>
      <c r="C391" s="6"/>
      <c r="D391" s="7"/>
      <c r="E391" s="13" t="e">
        <f>SUM((VLOOKUP(B391, Rankings!C:E,3,FALSE)),(VLOOKUP(C391, Rankings!C:E,3,FALSE)),(VLOOKUP(D391, Rankings!C:E,3,FALSE)))</f>
        <v>#N/A</v>
      </c>
    </row>
    <row r="392" spans="2:5" s="5" customFormat="1" hidden="1" x14ac:dyDescent="0.25">
      <c r="B392"/>
      <c r="C392" s="6"/>
      <c r="D392" s="7"/>
      <c r="E392" s="13" t="e">
        <f>SUM((VLOOKUP(B392, Rankings!C:E,3,FALSE)),(VLOOKUP(C392, Rankings!C:E,3,FALSE)),(VLOOKUP(D392, Rankings!C:E,3,FALSE)))</f>
        <v>#N/A</v>
      </c>
    </row>
    <row r="393" spans="2:5" s="5" customFormat="1" hidden="1" x14ac:dyDescent="0.25">
      <c r="B393"/>
      <c r="C393" s="6"/>
      <c r="D393" s="7"/>
      <c r="E393" s="13" t="e">
        <f>SUM((VLOOKUP(B393, Rankings!C:E,3,FALSE)),(VLOOKUP(C393, Rankings!C:E,3,FALSE)),(VLOOKUP(D393, Rankings!C:E,3,FALSE)))</f>
        <v>#N/A</v>
      </c>
    </row>
    <row r="394" spans="2:5" s="5" customFormat="1" hidden="1" x14ac:dyDescent="0.25">
      <c r="B394"/>
      <c r="C394" s="6"/>
      <c r="D394" s="7"/>
      <c r="E394" s="13" t="e">
        <f>SUM((VLOOKUP(B394, Rankings!C:E,3,FALSE)),(VLOOKUP(C394, Rankings!C:E,3,FALSE)),(VLOOKUP(D394, Rankings!C:E,3,FALSE)))</f>
        <v>#N/A</v>
      </c>
    </row>
    <row r="395" spans="2:5" s="5" customFormat="1" hidden="1" x14ac:dyDescent="0.25">
      <c r="B395"/>
      <c r="C395" s="6"/>
      <c r="D395" s="7"/>
      <c r="E395" s="13" t="e">
        <f>SUM((VLOOKUP(B395, Rankings!C:E,3,FALSE)),(VLOOKUP(C395, Rankings!C:E,3,FALSE)),(VLOOKUP(D395, Rankings!C:E,3,FALSE)))</f>
        <v>#N/A</v>
      </c>
    </row>
    <row r="396" spans="2:5" s="5" customFormat="1" hidden="1" x14ac:dyDescent="0.25">
      <c r="B396"/>
      <c r="C396" s="6"/>
      <c r="D396" s="7"/>
      <c r="E396" s="13" t="e">
        <f>SUM((VLOOKUP(B396, Rankings!C:E,3,FALSE)),(VLOOKUP(C396, Rankings!C:E,3,FALSE)),(VLOOKUP(D396, Rankings!C:E,3,FALSE)))</f>
        <v>#N/A</v>
      </c>
    </row>
    <row r="397" spans="2:5" s="5" customFormat="1" hidden="1" x14ac:dyDescent="0.25">
      <c r="B397"/>
      <c r="C397" s="6"/>
      <c r="D397" s="7"/>
      <c r="E397" s="13" t="e">
        <f>SUM((VLOOKUP(B397, Rankings!C:E,3,FALSE)),(VLOOKUP(C397, Rankings!C:E,3,FALSE)),(VLOOKUP(D397, Rankings!C:E,3,FALSE)))</f>
        <v>#N/A</v>
      </c>
    </row>
    <row r="398" spans="2:5" s="5" customFormat="1" hidden="1" x14ac:dyDescent="0.25">
      <c r="B398"/>
      <c r="C398" s="6"/>
      <c r="D398" s="7"/>
      <c r="E398" s="13" t="e">
        <f>SUM((VLOOKUP(B398, Rankings!C:E,3,FALSE)),(VLOOKUP(C398, Rankings!C:E,3,FALSE)),(VLOOKUP(D398, Rankings!C:E,3,FALSE)))</f>
        <v>#N/A</v>
      </c>
    </row>
    <row r="399" spans="2:5" s="5" customFormat="1" hidden="1" x14ac:dyDescent="0.25">
      <c r="B399"/>
      <c r="C399" s="6"/>
      <c r="D399" s="7"/>
      <c r="E399" s="13" t="e">
        <f>SUM((VLOOKUP(B399, Rankings!C:E,3,FALSE)),(VLOOKUP(C399, Rankings!C:E,3,FALSE)),(VLOOKUP(D399, Rankings!C:E,3,FALSE)))</f>
        <v>#N/A</v>
      </c>
    </row>
    <row r="400" spans="2:5" s="5" customFormat="1" hidden="1" x14ac:dyDescent="0.25">
      <c r="B400"/>
      <c r="C400" s="6"/>
      <c r="D400" s="7"/>
      <c r="E400" s="13" t="e">
        <f>SUM((VLOOKUP(B400, Rankings!C:E,3,FALSE)),(VLOOKUP(C400, Rankings!C:E,3,FALSE)),(VLOOKUP(D400, Rankings!C:E,3,FALSE)))</f>
        <v>#N/A</v>
      </c>
    </row>
    <row r="401" spans="2:5" s="5" customFormat="1" hidden="1" x14ac:dyDescent="0.25">
      <c r="B401"/>
      <c r="C401" s="6"/>
      <c r="D401" s="7"/>
      <c r="E401" s="13" t="e">
        <f>SUM((VLOOKUP(B401, Rankings!C:E,3,FALSE)),(VLOOKUP(C401, Rankings!C:E,3,FALSE)),(VLOOKUP(D401, Rankings!C:E,3,FALSE)))</f>
        <v>#N/A</v>
      </c>
    </row>
    <row r="402" spans="2:5" s="5" customFormat="1" hidden="1" x14ac:dyDescent="0.25">
      <c r="B402"/>
      <c r="C402" s="6"/>
      <c r="D402" s="7"/>
      <c r="E402" s="13" t="e">
        <f>SUM((VLOOKUP(B402, Rankings!C:E,3,FALSE)),(VLOOKUP(C402, Rankings!C:E,3,FALSE)),(VLOOKUP(D402, Rankings!C:E,3,FALSE)))</f>
        <v>#N/A</v>
      </c>
    </row>
    <row r="403" spans="2:5" s="5" customFormat="1" hidden="1" x14ac:dyDescent="0.25">
      <c r="B403"/>
      <c r="C403" s="6"/>
      <c r="D403" s="7"/>
      <c r="E403" s="13" t="e">
        <f>SUM((VLOOKUP(B403, Rankings!C:E,3,FALSE)),(VLOOKUP(C403, Rankings!C:E,3,FALSE)),(VLOOKUP(D403, Rankings!C:E,3,FALSE)))</f>
        <v>#N/A</v>
      </c>
    </row>
    <row r="404" spans="2:5" s="5" customFormat="1" hidden="1" x14ac:dyDescent="0.25">
      <c r="B404"/>
      <c r="C404" s="6"/>
      <c r="D404" s="7"/>
      <c r="E404" s="13" t="e">
        <f>SUM((VLOOKUP(B404, Rankings!C:E,3,FALSE)),(VLOOKUP(C404, Rankings!C:E,3,FALSE)),(VLOOKUP(D404, Rankings!C:E,3,FALSE)))</f>
        <v>#N/A</v>
      </c>
    </row>
    <row r="405" spans="2:5" s="5" customFormat="1" hidden="1" x14ac:dyDescent="0.25">
      <c r="B405"/>
      <c r="C405" s="6"/>
      <c r="D405" s="7"/>
      <c r="E405" s="13" t="e">
        <f>SUM((VLOOKUP(B405, Rankings!C:E,3,FALSE)),(VLOOKUP(C405, Rankings!C:E,3,FALSE)),(VLOOKUP(D405, Rankings!C:E,3,FALSE)))</f>
        <v>#N/A</v>
      </c>
    </row>
    <row r="406" spans="2:5" s="5" customFormat="1" hidden="1" x14ac:dyDescent="0.25">
      <c r="B406"/>
      <c r="C406" s="6"/>
      <c r="D406" s="7"/>
      <c r="E406" s="13" t="e">
        <f>SUM((VLOOKUP(B406, Rankings!C:E,3,FALSE)),(VLOOKUP(C406, Rankings!C:E,3,FALSE)),(VLOOKUP(D406, Rankings!C:E,3,FALSE)))</f>
        <v>#N/A</v>
      </c>
    </row>
    <row r="407" spans="2:5" s="5" customFormat="1" hidden="1" x14ac:dyDescent="0.25">
      <c r="B407"/>
      <c r="C407" s="6"/>
      <c r="D407" s="7"/>
      <c r="E407" s="13" t="e">
        <f>SUM((VLOOKUP(B407, Rankings!C:E,3,FALSE)),(VLOOKUP(C407, Rankings!C:E,3,FALSE)),(VLOOKUP(D407, Rankings!C:E,3,FALSE)))</f>
        <v>#N/A</v>
      </c>
    </row>
    <row r="408" spans="2:5" s="5" customFormat="1" hidden="1" x14ac:dyDescent="0.25">
      <c r="B408"/>
      <c r="C408" s="6"/>
      <c r="D408" s="7"/>
      <c r="E408" s="13" t="e">
        <f>SUM((VLOOKUP(B408, Rankings!C:E,3,FALSE)),(VLOOKUP(C408, Rankings!C:E,3,FALSE)),(VLOOKUP(D408, Rankings!C:E,3,FALSE)))</f>
        <v>#N/A</v>
      </c>
    </row>
    <row r="409" spans="2:5" s="5" customFormat="1" hidden="1" x14ac:dyDescent="0.25">
      <c r="B409"/>
      <c r="C409" s="6"/>
      <c r="D409" s="7"/>
      <c r="E409" s="13" t="e">
        <f>SUM((VLOOKUP(B409, Rankings!C:E,3,FALSE)),(VLOOKUP(C409, Rankings!C:E,3,FALSE)),(VLOOKUP(D409, Rankings!C:E,3,FALSE)))</f>
        <v>#N/A</v>
      </c>
    </row>
    <row r="410" spans="2:5" s="5" customFormat="1" hidden="1" x14ac:dyDescent="0.25">
      <c r="B410"/>
      <c r="C410" s="6"/>
      <c r="D410" s="7"/>
      <c r="E410" s="13" t="e">
        <f>SUM((VLOOKUP(B410, Rankings!C:E,3,FALSE)),(VLOOKUP(C410, Rankings!C:E,3,FALSE)),(VLOOKUP(D410, Rankings!C:E,3,FALSE)))</f>
        <v>#N/A</v>
      </c>
    </row>
    <row r="411" spans="2:5" s="5" customFormat="1" hidden="1" x14ac:dyDescent="0.25">
      <c r="B411"/>
      <c r="C411" s="6"/>
      <c r="D411" s="7"/>
      <c r="E411" s="13" t="e">
        <f>SUM((VLOOKUP(B411, Rankings!C:E,3,FALSE)),(VLOOKUP(C411, Rankings!C:E,3,FALSE)),(VLOOKUP(D411, Rankings!C:E,3,FALSE)))</f>
        <v>#N/A</v>
      </c>
    </row>
    <row r="412" spans="2:5" s="5" customFormat="1" hidden="1" x14ac:dyDescent="0.25">
      <c r="B412"/>
      <c r="C412" s="6"/>
      <c r="D412" s="7"/>
      <c r="E412" s="13" t="e">
        <f>SUM((VLOOKUP(B412, Rankings!C:E,3,FALSE)),(VLOOKUP(C412, Rankings!C:E,3,FALSE)),(VLOOKUP(D412, Rankings!C:E,3,FALSE)))</f>
        <v>#N/A</v>
      </c>
    </row>
    <row r="413" spans="2:5" s="5" customFormat="1" hidden="1" x14ac:dyDescent="0.25">
      <c r="B413"/>
      <c r="C413" s="6"/>
      <c r="D413" s="7"/>
      <c r="E413" s="13" t="e">
        <f>SUM((VLOOKUP(B413, Rankings!C:E,3,FALSE)),(VLOOKUP(C413, Rankings!C:E,3,FALSE)),(VLOOKUP(D413, Rankings!C:E,3,FALSE)))</f>
        <v>#N/A</v>
      </c>
    </row>
    <row r="414" spans="2:5" s="5" customFormat="1" hidden="1" x14ac:dyDescent="0.25">
      <c r="B414"/>
      <c r="C414" s="6"/>
      <c r="D414" s="7"/>
      <c r="E414" s="13" t="e">
        <f>SUM((VLOOKUP(B414, Rankings!C:E,3,FALSE)),(VLOOKUP(C414, Rankings!C:E,3,FALSE)),(VLOOKUP(D414, Rankings!C:E,3,FALSE)))</f>
        <v>#N/A</v>
      </c>
    </row>
    <row r="415" spans="2:5" s="5" customFormat="1" hidden="1" x14ac:dyDescent="0.25">
      <c r="B415"/>
      <c r="C415" s="6"/>
      <c r="D415" s="7"/>
      <c r="E415" s="13" t="e">
        <f>SUM((VLOOKUP(B415, Rankings!C:E,3,FALSE)),(VLOOKUP(C415, Rankings!C:E,3,FALSE)),(VLOOKUP(D415, Rankings!C:E,3,FALSE)))</f>
        <v>#N/A</v>
      </c>
    </row>
    <row r="416" spans="2:5" s="5" customFormat="1" hidden="1" x14ac:dyDescent="0.25">
      <c r="B416"/>
      <c r="C416" s="6"/>
      <c r="D416" s="7"/>
      <c r="E416" s="13" t="e">
        <f>SUM((VLOOKUP(B416, Rankings!C:E,3,FALSE)),(VLOOKUP(C416, Rankings!C:E,3,FALSE)),(VLOOKUP(D416, Rankings!C:E,3,FALSE)))</f>
        <v>#N/A</v>
      </c>
    </row>
    <row r="417" spans="2:5" s="5" customFormat="1" hidden="1" x14ac:dyDescent="0.25">
      <c r="B417"/>
      <c r="C417" s="6"/>
      <c r="D417" s="7"/>
      <c r="E417" s="13" t="e">
        <f>SUM((VLOOKUP(B417, Rankings!C:E,3,FALSE)),(VLOOKUP(C417, Rankings!C:E,3,FALSE)),(VLOOKUP(D417, Rankings!C:E,3,FALSE)))</f>
        <v>#N/A</v>
      </c>
    </row>
    <row r="418" spans="2:5" s="5" customFormat="1" hidden="1" x14ac:dyDescent="0.25">
      <c r="B418"/>
      <c r="C418" s="6"/>
      <c r="D418" s="7"/>
      <c r="E418" s="13" t="e">
        <f>SUM((VLOOKUP(B418, Rankings!C:E,3,FALSE)),(VLOOKUP(C418, Rankings!C:E,3,FALSE)),(VLOOKUP(D418, Rankings!C:E,3,FALSE)))</f>
        <v>#N/A</v>
      </c>
    </row>
    <row r="419" spans="2:5" s="5" customFormat="1" hidden="1" x14ac:dyDescent="0.25">
      <c r="B419"/>
      <c r="C419" s="6"/>
      <c r="D419" s="7"/>
      <c r="E419" s="13" t="e">
        <f>SUM((VLOOKUP(B419, Rankings!C:E,3,FALSE)),(VLOOKUP(C419, Rankings!C:E,3,FALSE)),(VLOOKUP(D419, Rankings!C:E,3,FALSE)))</f>
        <v>#N/A</v>
      </c>
    </row>
    <row r="420" spans="2:5" s="5" customFormat="1" hidden="1" x14ac:dyDescent="0.25">
      <c r="B420"/>
      <c r="C420" s="6"/>
      <c r="D420" s="7"/>
      <c r="E420" s="13" t="e">
        <f>SUM((VLOOKUP(B420, Rankings!C:E,3,FALSE)),(VLOOKUP(C420, Rankings!C:E,3,FALSE)),(VLOOKUP(D420, Rankings!C:E,3,FALSE)))</f>
        <v>#N/A</v>
      </c>
    </row>
    <row r="421" spans="2:5" s="5" customFormat="1" hidden="1" x14ac:dyDescent="0.25">
      <c r="B421"/>
      <c r="C421" s="6"/>
      <c r="D421" s="7"/>
      <c r="E421" s="13" t="e">
        <f>SUM((VLOOKUP(B421, Rankings!C:E,3,FALSE)),(VLOOKUP(C421, Rankings!C:E,3,FALSE)),(VLOOKUP(D421, Rankings!C:E,3,FALSE)))</f>
        <v>#N/A</v>
      </c>
    </row>
    <row r="422" spans="2:5" s="5" customFormat="1" hidden="1" x14ac:dyDescent="0.25">
      <c r="B422"/>
      <c r="C422" s="6"/>
      <c r="D422" s="7"/>
      <c r="E422" s="13" t="e">
        <f>SUM((VLOOKUP(B422, Rankings!C:E,3,FALSE)),(VLOOKUP(C422, Rankings!C:E,3,FALSE)),(VLOOKUP(D422, Rankings!C:E,3,FALSE)))</f>
        <v>#N/A</v>
      </c>
    </row>
    <row r="423" spans="2:5" s="5" customFormat="1" hidden="1" x14ac:dyDescent="0.25">
      <c r="B423"/>
      <c r="C423" s="6"/>
      <c r="D423" s="7"/>
      <c r="E423" s="13" t="e">
        <f>SUM((VLOOKUP(B423, Rankings!C:E,3,FALSE)),(VLOOKUP(C423, Rankings!C:E,3,FALSE)),(VLOOKUP(D423, Rankings!C:E,3,FALSE)))</f>
        <v>#N/A</v>
      </c>
    </row>
    <row r="424" spans="2:5" s="5" customFormat="1" hidden="1" x14ac:dyDescent="0.25">
      <c r="B424"/>
      <c r="C424" s="6"/>
      <c r="D424" s="7"/>
      <c r="E424" s="13" t="e">
        <f>SUM((VLOOKUP(B424, Rankings!C:E,3,FALSE)),(VLOOKUP(C424, Rankings!C:E,3,FALSE)),(VLOOKUP(D424, Rankings!C:E,3,FALSE)))</f>
        <v>#N/A</v>
      </c>
    </row>
    <row r="425" spans="2:5" s="5" customFormat="1" hidden="1" x14ac:dyDescent="0.25">
      <c r="B425"/>
      <c r="C425" s="6"/>
      <c r="D425" s="7"/>
      <c r="E425" s="13" t="e">
        <f>SUM((VLOOKUP(B425, Rankings!C:E,3,FALSE)),(VLOOKUP(C425, Rankings!C:E,3,FALSE)),(VLOOKUP(D425, Rankings!C:E,3,FALSE)))</f>
        <v>#N/A</v>
      </c>
    </row>
    <row r="426" spans="2:5" s="5" customFormat="1" hidden="1" x14ac:dyDescent="0.25">
      <c r="B426"/>
      <c r="C426" s="6"/>
      <c r="D426" s="7"/>
      <c r="E426" s="13" t="e">
        <f>SUM((VLOOKUP(B426, Rankings!C:E,3,FALSE)),(VLOOKUP(C426, Rankings!C:E,3,FALSE)),(VLOOKUP(D426, Rankings!C:E,3,FALSE)))</f>
        <v>#N/A</v>
      </c>
    </row>
    <row r="427" spans="2:5" s="5" customFormat="1" hidden="1" x14ac:dyDescent="0.25">
      <c r="B427"/>
      <c r="C427" s="6"/>
      <c r="D427" s="7"/>
      <c r="E427" s="13" t="e">
        <f>SUM((VLOOKUP(B427, Rankings!C:E,3,FALSE)),(VLOOKUP(C427, Rankings!C:E,3,FALSE)),(VLOOKUP(D427, Rankings!C:E,3,FALSE)))</f>
        <v>#N/A</v>
      </c>
    </row>
    <row r="428" spans="2:5" s="5" customFormat="1" hidden="1" x14ac:dyDescent="0.25">
      <c r="B428"/>
      <c r="C428" s="6"/>
      <c r="D428" s="7"/>
      <c r="E428" s="13" t="e">
        <f>SUM((VLOOKUP(B428, Rankings!C:E,3,FALSE)),(VLOOKUP(C428, Rankings!C:E,3,FALSE)),(VLOOKUP(D428, Rankings!C:E,3,FALSE)))</f>
        <v>#N/A</v>
      </c>
    </row>
    <row r="429" spans="2:5" s="5" customFormat="1" hidden="1" x14ac:dyDescent="0.25">
      <c r="B429"/>
      <c r="C429" s="6"/>
      <c r="D429" s="7"/>
      <c r="E429" s="13" t="e">
        <f>SUM((VLOOKUP(B429, Rankings!C:E,3,FALSE)),(VLOOKUP(C429, Rankings!C:E,3,FALSE)),(VLOOKUP(D429, Rankings!C:E,3,FALSE)))</f>
        <v>#N/A</v>
      </c>
    </row>
    <row r="430" spans="2:5" s="5" customFormat="1" hidden="1" x14ac:dyDescent="0.25">
      <c r="B430"/>
      <c r="C430" s="6"/>
      <c r="D430" s="7"/>
      <c r="E430" s="13" t="e">
        <f>SUM((VLOOKUP(B430, Rankings!C:E,3,FALSE)),(VLOOKUP(C430, Rankings!C:E,3,FALSE)),(VLOOKUP(D430, Rankings!C:E,3,FALSE)))</f>
        <v>#N/A</v>
      </c>
    </row>
    <row r="431" spans="2:5" s="5" customFormat="1" hidden="1" x14ac:dyDescent="0.25">
      <c r="B431"/>
      <c r="C431" s="6"/>
      <c r="D431" s="7"/>
      <c r="E431" s="13" t="e">
        <f>SUM((VLOOKUP(B431, Rankings!C:E,3,FALSE)),(VLOOKUP(C431, Rankings!C:E,3,FALSE)),(VLOOKUP(D431, Rankings!C:E,3,FALSE)))</f>
        <v>#N/A</v>
      </c>
    </row>
    <row r="432" spans="2:5" s="5" customFormat="1" hidden="1" x14ac:dyDescent="0.25">
      <c r="B432"/>
      <c r="C432" s="6"/>
      <c r="D432" s="7"/>
      <c r="E432" s="13" t="e">
        <f>SUM((VLOOKUP(B432, Rankings!C:E,3,FALSE)),(VLOOKUP(C432, Rankings!C:E,3,FALSE)),(VLOOKUP(D432, Rankings!C:E,3,FALSE)))</f>
        <v>#N/A</v>
      </c>
    </row>
    <row r="433" spans="2:5" s="5" customFormat="1" hidden="1" x14ac:dyDescent="0.25">
      <c r="B433"/>
      <c r="C433" s="6"/>
      <c r="D433" s="7"/>
      <c r="E433" s="13" t="e">
        <f>SUM((VLOOKUP(B433, Rankings!C:E,3,FALSE)),(VLOOKUP(C433, Rankings!C:E,3,FALSE)),(VLOOKUP(D433, Rankings!C:E,3,FALSE)))</f>
        <v>#N/A</v>
      </c>
    </row>
    <row r="434" spans="2:5" s="5" customFormat="1" hidden="1" x14ac:dyDescent="0.25">
      <c r="B434"/>
      <c r="C434" s="6"/>
      <c r="D434" s="7"/>
      <c r="E434" s="13" t="e">
        <f>SUM((VLOOKUP(B434, Rankings!C:E,3,FALSE)),(VLOOKUP(C434, Rankings!C:E,3,FALSE)),(VLOOKUP(D434, Rankings!C:E,3,FALSE)))</f>
        <v>#N/A</v>
      </c>
    </row>
    <row r="435" spans="2:5" s="5" customFormat="1" hidden="1" x14ac:dyDescent="0.25">
      <c r="B435"/>
      <c r="C435" s="6"/>
      <c r="D435" s="7"/>
      <c r="E435" s="13" t="e">
        <f>SUM((VLOOKUP(B435, Rankings!C:E,3,FALSE)),(VLOOKUP(C435, Rankings!C:E,3,FALSE)),(VLOOKUP(D435, Rankings!C:E,3,FALSE)))</f>
        <v>#N/A</v>
      </c>
    </row>
    <row r="436" spans="2:5" s="5" customFormat="1" hidden="1" x14ac:dyDescent="0.25">
      <c r="B436"/>
      <c r="C436" s="6"/>
      <c r="D436" s="7"/>
      <c r="E436" s="13" t="e">
        <f>SUM((VLOOKUP(B436, Rankings!C:E,3,FALSE)),(VLOOKUP(C436, Rankings!C:E,3,FALSE)),(VLOOKUP(D436, Rankings!C:E,3,FALSE)))</f>
        <v>#N/A</v>
      </c>
    </row>
    <row r="437" spans="2:5" s="5" customFormat="1" hidden="1" x14ac:dyDescent="0.25">
      <c r="B437"/>
      <c r="C437" s="6"/>
      <c r="D437" s="7"/>
      <c r="E437" s="13" t="e">
        <f>SUM((VLOOKUP(B437, Rankings!C:E,3,FALSE)),(VLOOKUP(C437, Rankings!C:E,3,FALSE)),(VLOOKUP(D437, Rankings!C:E,3,FALSE)))</f>
        <v>#N/A</v>
      </c>
    </row>
    <row r="438" spans="2:5" s="5" customFormat="1" hidden="1" x14ac:dyDescent="0.25">
      <c r="B438"/>
      <c r="C438" s="6"/>
      <c r="D438" s="7"/>
      <c r="E438" s="13" t="e">
        <f>SUM((VLOOKUP(B438, Rankings!C:E,3,FALSE)),(VLOOKUP(C438, Rankings!C:E,3,FALSE)),(VLOOKUP(D438, Rankings!C:E,3,FALSE)))</f>
        <v>#N/A</v>
      </c>
    </row>
    <row r="439" spans="2:5" s="5" customFormat="1" x14ac:dyDescent="0.25">
      <c r="B439"/>
      <c r="C439" s="6"/>
      <c r="D439" s="7"/>
      <c r="E439" s="7"/>
    </row>
  </sheetData>
  <dataValidations count="1">
    <dataValidation type="list" errorStyle="warning" allowBlank="1" showInputMessage="1" showErrorMessage="1" errorTitle="Wrong Player Name" error="Please select a valid player!_x000a_If the name of the player does not appear in the dropdownlist, please update the &quot;Competitors&quot; - table!" sqref="B2:D11">
      <formula1>$B$22:$B$152</formula1>
    </dataValidation>
  </dataValidations>
  <pageMargins left="0.7" right="0.7" top="0.78740157499999996" bottom="0.78740157499999996" header="0.3" footer="0.3"/>
  <pageSetup paperSize="9" orientation="portrait" verticalDpi="599" r:id="rId1"/>
  <headerFooter>
    <oddHeader>&amp;CTeams with Ranking Points</oddHeader>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port"/>
  <dimension ref="A1:AA14"/>
  <sheetViews>
    <sheetView showGridLines="0" showRowColHeaders="0" zoomScale="85" zoomScaleNormal="85" workbookViewId="0"/>
  </sheetViews>
  <sheetFormatPr defaultRowHeight="15" x14ac:dyDescent="0.25"/>
  <cols>
    <col min="1" max="1" width="5" style="13" customWidth="1"/>
    <col min="2" max="3" width="15.5703125" style="13" customWidth="1"/>
    <col min="4" max="4" width="15.5703125" customWidth="1"/>
    <col min="5" max="7" width="7.140625" style="1" customWidth="1"/>
    <col min="8" max="12" width="7.140625" style="2" customWidth="1"/>
    <col min="13" max="13" width="6.28515625" style="2" customWidth="1"/>
    <col min="14" max="14" width="12.42578125" style="2" customWidth="1"/>
    <col min="15" max="18" width="12.42578125" customWidth="1"/>
    <col min="19" max="19" width="14.85546875" customWidth="1"/>
    <col min="20" max="256" width="11.42578125" customWidth="1"/>
  </cols>
  <sheetData>
    <row r="1" spans="1:27" ht="30" customHeight="1" x14ac:dyDescent="0.5">
      <c r="A1" s="34" t="str">
        <f>Starterlist!A1</f>
        <v>My Test Tournament</v>
      </c>
      <c r="B1" s="34"/>
      <c r="C1" s="34"/>
      <c r="D1" s="34"/>
      <c r="E1" s="24" t="s">
        <v>13</v>
      </c>
      <c r="H1" s="24"/>
      <c r="I1" s="10"/>
      <c r="K1" s="24" t="s">
        <v>14</v>
      </c>
      <c r="L1" s="31"/>
      <c r="M1" s="31"/>
      <c r="O1" s="3" t="str">
        <f>Starterlist!D3</f>
        <v>Pool</v>
      </c>
      <c r="P1" s="3"/>
    </row>
    <row r="2" spans="1:27" ht="19.5" customHeight="1" x14ac:dyDescent="0.35">
      <c r="A2" s="13" t="str">
        <f>Starterlist!A2</f>
        <v>Ryan's House</v>
      </c>
      <c r="D2" s="13"/>
      <c r="E2" s="32" t="str">
        <f>Starterlist!B4</f>
        <v>Coop</v>
      </c>
      <c r="H2" s="32"/>
      <c r="I2" s="32"/>
      <c r="K2" s="32" t="str">
        <f>Starterlist!C4</f>
        <v>Semifinals</v>
      </c>
      <c r="L2" s="32"/>
      <c r="M2" s="32"/>
      <c r="N2" s="4"/>
      <c r="O2" s="4" t="str">
        <f>Starterlist!D4</f>
        <v>A</v>
      </c>
      <c r="P2" s="4"/>
    </row>
    <row r="3" spans="1:27" ht="8.25" customHeight="1" thickBot="1" x14ac:dyDescent="0.3">
      <c r="D3" s="24"/>
      <c r="E3" s="10"/>
      <c r="F3" s="10"/>
      <c r="G3" s="10"/>
      <c r="H3" s="31"/>
      <c r="I3" s="31"/>
      <c r="J3" s="31"/>
      <c r="K3" s="31"/>
      <c r="L3" s="31"/>
      <c r="M3" s="31"/>
    </row>
    <row r="4" spans="1:27" ht="58.5" customHeight="1" thickBot="1" x14ac:dyDescent="0.3">
      <c r="B4" s="75"/>
      <c r="C4" s="75"/>
      <c r="D4" s="56"/>
      <c r="E4" s="58" t="s">
        <v>60</v>
      </c>
      <c r="F4" s="59" t="s">
        <v>62</v>
      </c>
      <c r="G4" s="59" t="s">
        <v>59</v>
      </c>
      <c r="H4" s="59" t="s">
        <v>63</v>
      </c>
      <c r="I4" s="59" t="s">
        <v>64</v>
      </c>
      <c r="J4" s="59" t="s">
        <v>65</v>
      </c>
      <c r="K4" s="59" t="s">
        <v>66</v>
      </c>
      <c r="L4" s="59" t="s">
        <v>61</v>
      </c>
      <c r="M4" s="59" t="s">
        <v>50</v>
      </c>
      <c r="N4" s="64"/>
      <c r="O4" s="65"/>
      <c r="P4" s="66"/>
      <c r="Q4" s="56"/>
      <c r="R4" s="56"/>
      <c r="T4" s="24"/>
      <c r="U4" s="24"/>
      <c r="V4" s="24"/>
      <c r="W4" s="24"/>
      <c r="X4" s="24"/>
      <c r="Y4" s="24"/>
      <c r="Z4" s="24"/>
      <c r="AA4" s="24"/>
    </row>
    <row r="5" spans="1:27" ht="20.25" customHeight="1" thickBot="1" x14ac:dyDescent="0.4">
      <c r="A5" s="19" t="s">
        <v>9</v>
      </c>
      <c r="B5" s="126" t="s">
        <v>10</v>
      </c>
      <c r="C5" s="76" t="s">
        <v>11</v>
      </c>
      <c r="D5" s="76" t="s">
        <v>15</v>
      </c>
      <c r="E5" s="67" t="s">
        <v>5</v>
      </c>
      <c r="F5" s="68" t="s">
        <v>6</v>
      </c>
      <c r="G5" s="68" t="s">
        <v>46</v>
      </c>
      <c r="H5" s="69" t="s">
        <v>7</v>
      </c>
      <c r="I5" s="70" t="s">
        <v>8</v>
      </c>
      <c r="J5" s="70" t="s">
        <v>47</v>
      </c>
      <c r="K5" s="71" t="s">
        <v>81</v>
      </c>
      <c r="L5" s="72" t="s">
        <v>82</v>
      </c>
      <c r="M5" s="72" t="s">
        <v>83</v>
      </c>
      <c r="N5" s="73" t="s">
        <v>1</v>
      </c>
      <c r="O5" s="73" t="s">
        <v>2</v>
      </c>
      <c r="P5" s="73" t="s">
        <v>3</v>
      </c>
      <c r="Q5" s="74" t="s">
        <v>4</v>
      </c>
      <c r="R5" s="128" t="s">
        <v>0</v>
      </c>
      <c r="T5" s="24"/>
      <c r="U5" s="24"/>
      <c r="V5" s="24"/>
      <c r="W5" s="24"/>
      <c r="X5" s="24"/>
      <c r="Y5" s="24"/>
      <c r="Z5" s="24"/>
      <c r="AA5" s="24"/>
    </row>
    <row r="6" spans="1:27" ht="27.75" customHeight="1" thickBot="1" x14ac:dyDescent="0.3">
      <c r="A6" s="49">
        <v>1</v>
      </c>
      <c r="B6" s="127">
        <f>Starterlist!B13</f>
        <v>0</v>
      </c>
      <c r="C6" s="52">
        <f>Starterlist!C13</f>
        <v>0</v>
      </c>
      <c r="D6" s="52">
        <f>Starterlist!D13</f>
        <v>0</v>
      </c>
      <c r="E6" s="54" t="str">
        <f>Results!C6</f>
        <v/>
      </c>
      <c r="F6" s="54" t="str">
        <f>Results!D6</f>
        <v/>
      </c>
      <c r="G6" s="54" t="str">
        <f>Results!E6</f>
        <v/>
      </c>
      <c r="H6" s="54" t="str">
        <f>Results!F6</f>
        <v/>
      </c>
      <c r="I6" s="54" t="str">
        <f>Results!H6</f>
        <v/>
      </c>
      <c r="J6" s="54" t="str">
        <f>Results!J6</f>
        <v/>
      </c>
      <c r="K6" s="54" t="str">
        <f>Results!L6</f>
        <v/>
      </c>
      <c r="L6" s="54" t="str">
        <f>Results!M6</f>
        <v/>
      </c>
      <c r="M6" s="54" t="str">
        <f>Results!N6</f>
        <v/>
      </c>
      <c r="N6" s="55">
        <f>SUM(E6:G6)</f>
        <v>0</v>
      </c>
      <c r="O6" s="55">
        <f>SUM(H6:J6)</f>
        <v>0</v>
      </c>
      <c r="P6" s="55">
        <f>SUM(K6:M6)</f>
        <v>0</v>
      </c>
      <c r="Q6" s="53">
        <f>SUM(N6:P6)</f>
        <v>0</v>
      </c>
      <c r="R6" s="129" t="str">
        <f>Results!S6</f>
        <v/>
      </c>
      <c r="T6" s="40"/>
      <c r="U6" s="24"/>
      <c r="V6" s="24"/>
      <c r="W6" s="24"/>
      <c r="X6" s="24"/>
      <c r="Y6" s="24"/>
      <c r="Z6" s="24"/>
      <c r="AA6" s="24"/>
    </row>
    <row r="7" spans="1:27" ht="27.75" customHeight="1" thickBot="1" x14ac:dyDescent="0.3">
      <c r="A7" s="49">
        <v>2</v>
      </c>
      <c r="B7" s="127">
        <f>Starterlist!B14</f>
        <v>0</v>
      </c>
      <c r="C7" s="52">
        <f>Starterlist!C14</f>
        <v>0</v>
      </c>
      <c r="D7" s="52">
        <f>Starterlist!D14</f>
        <v>0</v>
      </c>
      <c r="E7" s="54" t="str">
        <f>Results!C7</f>
        <v/>
      </c>
      <c r="F7" s="54" t="str">
        <f>Results!D7</f>
        <v/>
      </c>
      <c r="G7" s="54" t="str">
        <f>Results!E7</f>
        <v/>
      </c>
      <c r="H7" s="54" t="str">
        <f>Results!F7</f>
        <v/>
      </c>
      <c r="I7" s="54" t="str">
        <f>Results!H7</f>
        <v/>
      </c>
      <c r="J7" s="54" t="str">
        <f>Results!J7</f>
        <v/>
      </c>
      <c r="K7" s="54" t="str">
        <f>Results!L7</f>
        <v/>
      </c>
      <c r="L7" s="54" t="str">
        <f>Results!M7</f>
        <v/>
      </c>
      <c r="M7" s="54" t="str">
        <f>Results!N7</f>
        <v/>
      </c>
      <c r="N7" s="55">
        <f t="shared" ref="N7:N13" si="0">SUM(E7:G7)</f>
        <v>0</v>
      </c>
      <c r="O7" s="55">
        <f t="shared" ref="O7:O13" si="1">SUM(H7:J7)</f>
        <v>0</v>
      </c>
      <c r="P7" s="55">
        <f t="shared" ref="P7:P13" si="2">SUM(K7:M7)</f>
        <v>0</v>
      </c>
      <c r="Q7" s="53">
        <f t="shared" ref="Q7:Q13" si="3">SUM(N7:P7)</f>
        <v>0</v>
      </c>
      <c r="R7" s="129" t="str">
        <f>Results!S7</f>
        <v/>
      </c>
      <c r="T7" s="40"/>
      <c r="U7" s="24"/>
      <c r="V7" s="24"/>
      <c r="W7" s="24"/>
      <c r="X7" s="24"/>
      <c r="Y7" s="24"/>
      <c r="Z7" s="24"/>
      <c r="AA7" s="24"/>
    </row>
    <row r="8" spans="1:27" ht="27.75" customHeight="1" thickBot="1" x14ac:dyDescent="0.3">
      <c r="A8" s="49">
        <v>3</v>
      </c>
      <c r="B8" s="127">
        <f>Starterlist!B15</f>
        <v>0</v>
      </c>
      <c r="C8" s="52">
        <f>Starterlist!C15</f>
        <v>0</v>
      </c>
      <c r="D8" s="52">
        <f>Starterlist!D15</f>
        <v>0</v>
      </c>
      <c r="E8" s="54" t="str">
        <f>Results!C8</f>
        <v/>
      </c>
      <c r="F8" s="54" t="str">
        <f>Results!D8</f>
        <v/>
      </c>
      <c r="G8" s="54" t="str">
        <f>Results!E8</f>
        <v/>
      </c>
      <c r="H8" s="54" t="str">
        <f>Results!F8</f>
        <v/>
      </c>
      <c r="I8" s="54" t="str">
        <f>Results!H8</f>
        <v/>
      </c>
      <c r="J8" s="54" t="str">
        <f>Results!J8</f>
        <v/>
      </c>
      <c r="K8" s="54" t="str">
        <f>Results!L8</f>
        <v/>
      </c>
      <c r="L8" s="54" t="str">
        <f>Results!M8</f>
        <v/>
      </c>
      <c r="M8" s="54" t="str">
        <f>Results!N8</f>
        <v/>
      </c>
      <c r="N8" s="55">
        <f t="shared" si="0"/>
        <v>0</v>
      </c>
      <c r="O8" s="55">
        <f t="shared" si="1"/>
        <v>0</v>
      </c>
      <c r="P8" s="55">
        <f t="shared" si="2"/>
        <v>0</v>
      </c>
      <c r="Q8" s="53">
        <f t="shared" si="3"/>
        <v>0</v>
      </c>
      <c r="R8" s="129" t="str">
        <f>Results!S8</f>
        <v/>
      </c>
      <c r="T8" s="41"/>
      <c r="U8" s="24"/>
      <c r="V8" s="24"/>
      <c r="W8" s="24"/>
      <c r="X8" s="24"/>
      <c r="Y8" s="24"/>
      <c r="Z8" s="24"/>
      <c r="AA8" s="24"/>
    </row>
    <row r="9" spans="1:27" ht="27.75" customHeight="1" thickBot="1" x14ac:dyDescent="0.3">
      <c r="A9" s="49">
        <v>4</v>
      </c>
      <c r="B9" s="127">
        <f>Starterlist!B16</f>
        <v>0</v>
      </c>
      <c r="C9" s="52">
        <f>Starterlist!C16</f>
        <v>0</v>
      </c>
      <c r="D9" s="52">
        <f>Starterlist!D16</f>
        <v>0</v>
      </c>
      <c r="E9" s="54" t="str">
        <f>Results!C9</f>
        <v/>
      </c>
      <c r="F9" s="54" t="str">
        <f>Results!D9</f>
        <v/>
      </c>
      <c r="G9" s="54" t="str">
        <f>Results!E9</f>
        <v/>
      </c>
      <c r="H9" s="54" t="str">
        <f>Results!F9</f>
        <v/>
      </c>
      <c r="I9" s="54" t="str">
        <f>Results!H9</f>
        <v/>
      </c>
      <c r="J9" s="54" t="str">
        <f>Results!J9</f>
        <v/>
      </c>
      <c r="K9" s="54" t="str">
        <f>Results!L9</f>
        <v/>
      </c>
      <c r="L9" s="54" t="str">
        <f>Results!M9</f>
        <v/>
      </c>
      <c r="M9" s="54" t="str">
        <f>Results!N9</f>
        <v/>
      </c>
      <c r="N9" s="55">
        <f t="shared" si="0"/>
        <v>0</v>
      </c>
      <c r="O9" s="55">
        <f t="shared" si="1"/>
        <v>0</v>
      </c>
      <c r="P9" s="55">
        <f t="shared" si="2"/>
        <v>0</v>
      </c>
      <c r="Q9" s="53">
        <f t="shared" si="3"/>
        <v>0</v>
      </c>
      <c r="R9" s="129" t="str">
        <f>Results!S9</f>
        <v/>
      </c>
      <c r="T9" s="40"/>
      <c r="U9" s="24"/>
      <c r="V9" s="24"/>
      <c r="W9" s="24"/>
      <c r="X9" s="24"/>
      <c r="Y9" s="24"/>
      <c r="Z9" s="24"/>
      <c r="AA9" s="24"/>
    </row>
    <row r="10" spans="1:27" ht="27.75" customHeight="1" thickBot="1" x14ac:dyDescent="0.3">
      <c r="A10" s="49">
        <v>5</v>
      </c>
      <c r="B10" s="127">
        <f>Starterlist!B17</f>
        <v>0</v>
      </c>
      <c r="C10" s="52">
        <f>Starterlist!C17</f>
        <v>0</v>
      </c>
      <c r="D10" s="52">
        <f>Starterlist!D17</f>
        <v>0</v>
      </c>
      <c r="E10" s="54" t="str">
        <f>Results!C10</f>
        <v/>
      </c>
      <c r="F10" s="54" t="str">
        <f>Results!D10</f>
        <v/>
      </c>
      <c r="G10" s="54" t="str">
        <f>Results!E10</f>
        <v/>
      </c>
      <c r="H10" s="54" t="str">
        <f>Results!F10</f>
        <v/>
      </c>
      <c r="I10" s="54" t="str">
        <f>Results!H10</f>
        <v/>
      </c>
      <c r="J10" s="54" t="str">
        <f>Results!J10</f>
        <v/>
      </c>
      <c r="K10" s="54" t="str">
        <f>Results!L10</f>
        <v/>
      </c>
      <c r="L10" s="54" t="str">
        <f>Results!M10</f>
        <v/>
      </c>
      <c r="M10" s="54" t="str">
        <f>Results!N10</f>
        <v/>
      </c>
      <c r="N10" s="55">
        <f t="shared" si="0"/>
        <v>0</v>
      </c>
      <c r="O10" s="55">
        <f t="shared" si="1"/>
        <v>0</v>
      </c>
      <c r="P10" s="55">
        <f t="shared" si="2"/>
        <v>0</v>
      </c>
      <c r="Q10" s="53">
        <f t="shared" si="3"/>
        <v>0</v>
      </c>
      <c r="R10" s="129" t="str">
        <f>Results!S10</f>
        <v/>
      </c>
    </row>
    <row r="11" spans="1:27" ht="27.75" customHeight="1" thickBot="1" x14ac:dyDescent="0.3">
      <c r="A11" s="49">
        <v>6</v>
      </c>
      <c r="B11" s="127">
        <f>Starterlist!B18</f>
        <v>0</v>
      </c>
      <c r="C11" s="52">
        <f>Starterlist!C18</f>
        <v>0</v>
      </c>
      <c r="D11" s="52">
        <f>Starterlist!D18</f>
        <v>0</v>
      </c>
      <c r="E11" s="54" t="str">
        <f>Results!C11</f>
        <v/>
      </c>
      <c r="F11" s="54" t="str">
        <f>Results!D11</f>
        <v/>
      </c>
      <c r="G11" s="54" t="str">
        <f>Results!E11</f>
        <v/>
      </c>
      <c r="H11" s="54" t="str">
        <f>Results!F11</f>
        <v/>
      </c>
      <c r="I11" s="54" t="str">
        <f>Results!H11</f>
        <v/>
      </c>
      <c r="J11" s="54" t="str">
        <f>Results!J11</f>
        <v/>
      </c>
      <c r="K11" s="54" t="str">
        <f>Results!L11</f>
        <v/>
      </c>
      <c r="L11" s="54" t="str">
        <f>Results!M11</f>
        <v/>
      </c>
      <c r="M11" s="54" t="str">
        <f>Results!N11</f>
        <v/>
      </c>
      <c r="N11" s="55">
        <f t="shared" si="0"/>
        <v>0</v>
      </c>
      <c r="O11" s="55">
        <f t="shared" si="1"/>
        <v>0</v>
      </c>
      <c r="P11" s="55">
        <f t="shared" si="2"/>
        <v>0</v>
      </c>
      <c r="Q11" s="53">
        <f t="shared" si="3"/>
        <v>0</v>
      </c>
      <c r="R11" s="129" t="str">
        <f>Results!S11</f>
        <v/>
      </c>
    </row>
    <row r="12" spans="1:27" ht="27.75" customHeight="1" thickBot="1" x14ac:dyDescent="0.3">
      <c r="A12" s="49">
        <v>7</v>
      </c>
      <c r="B12" s="127">
        <f>Starterlist!B19</f>
        <v>0</v>
      </c>
      <c r="C12" s="52">
        <f>Starterlist!C19</f>
        <v>0</v>
      </c>
      <c r="D12" s="52">
        <f>Starterlist!D19</f>
        <v>0</v>
      </c>
      <c r="E12" s="54" t="str">
        <f>Results!C12</f>
        <v/>
      </c>
      <c r="F12" s="54" t="str">
        <f>Results!D12</f>
        <v/>
      </c>
      <c r="G12" s="54" t="str">
        <f>Results!E12</f>
        <v/>
      </c>
      <c r="H12" s="54" t="str">
        <f>Results!F12</f>
        <v/>
      </c>
      <c r="I12" s="54" t="str">
        <f>Results!H12</f>
        <v/>
      </c>
      <c r="J12" s="54" t="str">
        <f>Results!J12</f>
        <v/>
      </c>
      <c r="K12" s="54" t="str">
        <f>Results!L12</f>
        <v/>
      </c>
      <c r="L12" s="54" t="str">
        <f>Results!M12</f>
        <v/>
      </c>
      <c r="M12" s="54" t="str">
        <f>Results!N12</f>
        <v/>
      </c>
      <c r="N12" s="55">
        <f t="shared" si="0"/>
        <v>0</v>
      </c>
      <c r="O12" s="55">
        <f t="shared" si="1"/>
        <v>0</v>
      </c>
      <c r="P12" s="55">
        <f t="shared" si="2"/>
        <v>0</v>
      </c>
      <c r="Q12" s="53">
        <f t="shared" si="3"/>
        <v>0</v>
      </c>
      <c r="R12" s="129" t="str">
        <f>Results!S12</f>
        <v/>
      </c>
    </row>
    <row r="13" spans="1:27" ht="27.75" customHeight="1" x14ac:dyDescent="0.25">
      <c r="A13" s="49">
        <v>8</v>
      </c>
      <c r="B13" s="127">
        <f>Starterlist!B20</f>
        <v>0</v>
      </c>
      <c r="C13" s="52">
        <f>Starterlist!C20</f>
        <v>0</v>
      </c>
      <c r="D13" s="52">
        <f>Starterlist!D20</f>
        <v>0</v>
      </c>
      <c r="E13" s="54" t="str">
        <f>Results!C13</f>
        <v/>
      </c>
      <c r="F13" s="54" t="str">
        <f>Results!D13</f>
        <v/>
      </c>
      <c r="G13" s="54" t="str">
        <f>Results!E13</f>
        <v/>
      </c>
      <c r="H13" s="54" t="str">
        <f>Results!F13</f>
        <v/>
      </c>
      <c r="I13" s="54" t="str">
        <f>Results!H13</f>
        <v/>
      </c>
      <c r="J13" s="54" t="str">
        <f>Results!J13</f>
        <v/>
      </c>
      <c r="K13" s="54" t="str">
        <f>Results!L13</f>
        <v/>
      </c>
      <c r="L13" s="54" t="str">
        <f>Results!M13</f>
        <v/>
      </c>
      <c r="M13" s="54" t="str">
        <f>Results!N13</f>
        <v/>
      </c>
      <c r="N13" s="55">
        <f t="shared" si="0"/>
        <v>0</v>
      </c>
      <c r="O13" s="55">
        <f t="shared" si="1"/>
        <v>0</v>
      </c>
      <c r="P13" s="55">
        <f t="shared" si="2"/>
        <v>0</v>
      </c>
      <c r="Q13" s="53">
        <f t="shared" si="3"/>
        <v>0</v>
      </c>
      <c r="R13" s="129" t="str">
        <f>Results!S13</f>
        <v/>
      </c>
    </row>
    <row r="14" spans="1:27" x14ac:dyDescent="0.25">
      <c r="B14"/>
      <c r="C14"/>
      <c r="E14"/>
      <c r="F14"/>
      <c r="G14"/>
      <c r="H14"/>
      <c r="I14"/>
      <c r="J14"/>
      <c r="K14"/>
      <c r="L14"/>
      <c r="M14"/>
      <c r="N14"/>
    </row>
  </sheetData>
  <phoneticPr fontId="18" type="noConversion"/>
  <pageMargins left="0.78740157499999996" right="0.78740157499999996" top="0.984251969" bottom="0.984251969" header="0.4921259845" footer="0.4921259845"/>
  <pageSetup paperSize="9" orientation="landscape" r:id="rId1"/>
  <headerFooter alignWithMargins="0"/>
  <drawing r:id="rId2"/>
  <legacyDrawing r:id="rId3"/>
  <controls>
    <mc:AlternateContent xmlns:mc="http://schemas.openxmlformats.org/markup-compatibility/2006">
      <mc:Choice Requires="x14">
        <control shapeId="4117" r:id="rId4" name="btnExport">
          <controlPr defaultSize="0" autoLine="0" autoPict="0" r:id="rId5">
            <anchor moveWithCells="1">
              <from>
                <xdr:col>16</xdr:col>
                <xdr:colOff>666750</xdr:colOff>
                <xdr:row>13</xdr:row>
                <xdr:rowOff>104775</xdr:rowOff>
              </from>
              <to>
                <xdr:col>17</xdr:col>
                <xdr:colOff>800100</xdr:colOff>
                <xdr:row>15</xdr:row>
                <xdr:rowOff>9525</xdr:rowOff>
              </to>
            </anchor>
          </controlPr>
        </control>
      </mc:Choice>
      <mc:Fallback>
        <control shapeId="4117" r:id="rId4" name="btnExport"/>
      </mc:Fallback>
    </mc:AlternateContent>
  </controls>
  <tableParts count="1">
    <tablePart r:id="rId6"/>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A1:A20"/>
  <sheetViews>
    <sheetView showRowColHeaders="0" workbookViewId="0">
      <selection activeCell="A10" sqref="A10"/>
    </sheetView>
  </sheetViews>
  <sheetFormatPr defaultRowHeight="15" x14ac:dyDescent="0.25"/>
  <cols>
    <col min="1" max="1" width="83.140625" style="146" customWidth="1"/>
    <col min="2" max="256" width="11.42578125" style="146" customWidth="1"/>
    <col min="257" max="16384" width="9.140625" style="146"/>
  </cols>
  <sheetData>
    <row r="1" spans="1:1" x14ac:dyDescent="0.25">
      <c r="A1" s="146" t="s">
        <v>251</v>
      </c>
    </row>
    <row r="3" spans="1:1" x14ac:dyDescent="0.25">
      <c r="A3" s="146" t="s">
        <v>252</v>
      </c>
    </row>
    <row r="4" spans="1:1" x14ac:dyDescent="0.25">
      <c r="A4" s="146" t="s">
        <v>466</v>
      </c>
    </row>
    <row r="5" spans="1:1" x14ac:dyDescent="0.25">
      <c r="A5" s="146" t="s">
        <v>467</v>
      </c>
    </row>
    <row r="6" spans="1:1" x14ac:dyDescent="0.25">
      <c r="A6" s="146" t="s">
        <v>468</v>
      </c>
    </row>
    <row r="7" spans="1:1" x14ac:dyDescent="0.25">
      <c r="A7" s="146" t="s">
        <v>471</v>
      </c>
    </row>
    <row r="8" spans="1:1" x14ac:dyDescent="0.25">
      <c r="A8" s="146" t="s">
        <v>472</v>
      </c>
    </row>
    <row r="9" spans="1:1" x14ac:dyDescent="0.25">
      <c r="A9" s="146" t="s">
        <v>473</v>
      </c>
    </row>
    <row r="10" spans="1:1" x14ac:dyDescent="0.25">
      <c r="A10" s="146" t="s">
        <v>474</v>
      </c>
    </row>
    <row r="11" spans="1:1" x14ac:dyDescent="0.25">
      <c r="A11" s="146" t="s">
        <v>475</v>
      </c>
    </row>
    <row r="12" spans="1:1" x14ac:dyDescent="0.25">
      <c r="A12" s="146" t="s">
        <v>476</v>
      </c>
    </row>
    <row r="18" spans="1:1" x14ac:dyDescent="0.25">
      <c r="A18" s="146" t="s">
        <v>469</v>
      </c>
    </row>
    <row r="20" spans="1:1" x14ac:dyDescent="0.25">
      <c r="A20" s="146" t="s">
        <v>470</v>
      </c>
    </row>
  </sheetData>
  <pageMargins left="0.7" right="0.7" top="0.78740157499999996" bottom="0.78740157499999996" header="0.3" footer="0.3"/>
  <pageSetup paperSize="9" orientation="portrait" verticalDpi="599"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20</vt:i4>
      </vt:variant>
    </vt:vector>
  </HeadingPairs>
  <TitlesOfParts>
    <vt:vector size="41" baseType="lpstr">
      <vt:lpstr>Settings</vt:lpstr>
      <vt:lpstr>Starterlist</vt:lpstr>
      <vt:lpstr>Results</vt:lpstr>
      <vt:lpstr>EX 1</vt:lpstr>
      <vt:lpstr>EX 2</vt:lpstr>
      <vt:lpstr>EX 3</vt:lpstr>
      <vt:lpstr>AI 1</vt:lpstr>
      <vt:lpstr>AI 2</vt:lpstr>
      <vt:lpstr>AI 3</vt:lpstr>
      <vt:lpstr>DIF 1</vt:lpstr>
      <vt:lpstr>DIF 2</vt:lpstr>
      <vt:lpstr>DIF 3</vt:lpstr>
      <vt:lpstr>AnouncerInfos</vt:lpstr>
      <vt:lpstr>Competitors</vt:lpstr>
      <vt:lpstr>Variety Checklist</vt:lpstr>
      <vt:lpstr>Results (Text)</vt:lpstr>
      <vt:lpstr>Rankings</vt:lpstr>
      <vt:lpstr>Point Scale</vt:lpstr>
      <vt:lpstr>Teams</vt:lpstr>
      <vt:lpstr>Export</vt:lpstr>
      <vt:lpstr>TODOS</vt:lpstr>
      <vt:lpstr>EventType</vt:lpstr>
      <vt:lpstr>Points</vt:lpstr>
      <vt:lpstr>'Point Scale'!pointscales_1</vt:lpstr>
      <vt:lpstr>'AI 1'!Print_Area</vt:lpstr>
      <vt:lpstr>'AI 2'!Print_Area</vt:lpstr>
      <vt:lpstr>'AI 3'!Print_Area</vt:lpstr>
      <vt:lpstr>AnouncerInfos!Print_Area</vt:lpstr>
      <vt:lpstr>'DIF 1'!Print_Area</vt:lpstr>
      <vt:lpstr>'DIF 2'!Print_Area</vt:lpstr>
      <vt:lpstr>'DIF 3'!Print_Area</vt:lpstr>
      <vt:lpstr>'EX 1'!Print_Area</vt:lpstr>
      <vt:lpstr>'EX 2'!Print_Area</vt:lpstr>
      <vt:lpstr>'EX 3'!Print_Area</vt:lpstr>
      <vt:lpstr>Export!Print_Area</vt:lpstr>
      <vt:lpstr>Results!Print_Area</vt:lpstr>
      <vt:lpstr>Settings!Print_Area</vt:lpstr>
      <vt:lpstr>Starterlist!Print_Area</vt:lpstr>
      <vt:lpstr>'Variety Checklist'!Print_Area</vt:lpstr>
      <vt:lpstr>Rankings!rankopen</vt:lpstr>
      <vt:lpstr>ResultEntryRange</vt:lpstr>
    </vt:vector>
  </TitlesOfParts>
  <Company>FPA - Freestyle Players Assiciation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FPA Scoresheets</dc:title>
  <dc:creator>Florian Hess</dc:creator>
  <cp:lastModifiedBy>Ryan</cp:lastModifiedBy>
  <cp:lastPrinted>2015-05-20T14:50:34Z</cp:lastPrinted>
  <dcterms:created xsi:type="dcterms:W3CDTF">2007-03-29T19:15:15Z</dcterms:created>
  <dcterms:modified xsi:type="dcterms:W3CDTF">2016-11-05T06:16:59Z</dcterms:modified>
</cp:coreProperties>
</file>
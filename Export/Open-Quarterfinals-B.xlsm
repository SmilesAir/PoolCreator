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Y24" i="22" s="1"/>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s="1"/>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s="1"/>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N7" i="10"/>
  <c r="B8" i="10"/>
  <c r="J8" i="10"/>
  <c r="J8" i="27" s="1"/>
  <c r="N8" i="10"/>
  <c r="M8" i="27" s="1"/>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s="1"/>
  <c r="H7" i="10"/>
  <c r="I7" i="27" s="1"/>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s="1"/>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s="1"/>
  <c r="P7" i="10"/>
  <c r="A2" i="25"/>
  <c r="A2" i="21"/>
  <c r="A2" i="14"/>
  <c r="E14" i="10"/>
  <c r="E12" i="10"/>
  <c r="G12" i="27"/>
  <c r="E10" i="10"/>
  <c r="G10" i="27" s="1"/>
  <c r="E8" i="10"/>
  <c r="G8" i="27"/>
  <c r="E6" i="10"/>
  <c r="G6" i="27" s="1"/>
  <c r="C10" i="10"/>
  <c r="A2" i="15"/>
  <c r="A2" i="16"/>
  <c r="A2" i="24"/>
  <c r="D15" i="10"/>
  <c r="D8" i="10"/>
  <c r="F8" i="27" s="1"/>
  <c r="D6" i="10"/>
  <c r="F6" i="27" s="1"/>
  <c r="A2" i="20"/>
  <c r="A2" i="22"/>
  <c r="A2" i="19"/>
  <c r="A2" i="10"/>
  <c r="E13" i="10"/>
  <c r="G13" i="27" s="1"/>
  <c r="E11" i="10"/>
  <c r="G11" i="27" s="1"/>
  <c r="E9" i="10"/>
  <c r="G9" i="27" s="1"/>
  <c r="E7" i="10"/>
  <c r="G7" i="27" s="1"/>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Q8" i="10"/>
  <c r="H9" i="27"/>
  <c r="P9" i="10"/>
  <c r="I10" i="27"/>
  <c r="P10" i="10"/>
  <c r="M12" i="27"/>
  <c r="Q12" i="10"/>
  <c r="F9" i="27"/>
  <c r="H8" i="27"/>
  <c r="O8" i="27" s="1"/>
  <c r="P8" i="10"/>
  <c r="E10" i="27"/>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O7" i="27" l="1"/>
  <c r="O7" i="10"/>
  <c r="R7" i="10" s="1"/>
  <c r="S7" i="10" s="1"/>
  <c r="O6" i="10"/>
  <c r="R6" i="10" s="1"/>
  <c r="S6" i="10" s="1"/>
  <c r="O10" i="10"/>
  <c r="R10" i="10" s="1"/>
  <c r="S10" i="10" s="1"/>
  <c r="P8" i="27"/>
  <c r="P7" i="27"/>
  <c r="A2" i="27"/>
  <c r="P15" i="10"/>
  <c r="O15" i="10"/>
  <c r="P10" i="27"/>
  <c r="N6" i="27"/>
  <c r="O10" i="27"/>
  <c r="E63" i="34"/>
  <c r="E60" i="34"/>
  <c r="E55" i="34"/>
  <c r="E52" i="34"/>
  <c r="E47" i="34"/>
  <c r="E44" i="34"/>
  <c r="E39" i="34"/>
  <c r="E36" i="34"/>
  <c r="E31" i="34"/>
  <c r="E28" i="34"/>
  <c r="E23" i="34"/>
  <c r="E20" i="34"/>
  <c r="E15" i="34"/>
  <c r="E12" i="34"/>
  <c r="O9" i="27"/>
  <c r="O12" i="27"/>
  <c r="Q12" i="27" s="1"/>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N10" i="27"/>
  <c r="Q10" i="27" s="1"/>
  <c r="Q8" i="27"/>
  <c r="P11" i="27"/>
  <c r="O11"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6" i="27" l="1"/>
  <c r="R15" i="10"/>
  <c r="S15" i="10" s="1"/>
  <c r="B11" i="24"/>
  <c r="R10" i="27"/>
  <c r="A11" i="24"/>
  <c r="Q13" i="27"/>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<sst xmlns="http://schemas.openxmlformats.org/spreadsheetml/2006/main" count="4087" uniqueCount="1582">
  <si>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</si>
  <si>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</si>
  <si>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</si>
  <si>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</si>
  <si>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</si>
  <si>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</si>
  <si>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</si>
  <si>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</si>
  <si>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</si>
  <si>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</si>
  <si>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</si>
  <si>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</si>
  <si>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</si>
  <si>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</si>
  <si>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</si>
  <si>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</si>
  <si>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</si>
  <si>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</si>
  <si>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</si>
  <si>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</si>
  <si>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</si>
  <si>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</si>
  <si>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</si>
  <si>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</si>
  <si>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</si>
  <si>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</si>
  <si>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</si>
  <si>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</si>
  <si>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</si>
  <si>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</si>
  <si>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</si>
  <si>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</si>
  <si>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</si>
  <si>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</si>
  <si>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</si>
  <si>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</si>
  <si>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</si>
  <si>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</si>
  <si>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</si>
  <si>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</si>
  <si>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</si>
  <si>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</si>
  <si>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</si>
  <si>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</si>
  <si>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</si>
  <si>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</si>
  <si>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</si>
  <si>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</si>
  <si>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</si>
  <si>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</si>
  <si>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</si>
  <si>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</si>
  <si>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</si>
  <si>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</si>
  <si>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</si>
  <si>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</si>
  <si>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</si>
  <si>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</si>
  <si>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</si>
  <si>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</si>
  <si>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</si>
  <si>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</si>
  <si>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</si>
  <si>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</si>
  <si>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</si>
  <si>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</si>
  <si>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</si>
  <si>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</si>
  <si>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</si>
  <si>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</si>
  <si>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</si>
  <si>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</si>
  <si>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</si>
  <si>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</si>
  <si>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</si>
  <si>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</si>
  <si>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</si>
  <si>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</si>
  <si>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</si>
  <si>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</si>
  <si>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</si>
  <si>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</si>
  <si>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</si>
  <si>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</si>
  <si>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</si>
  <si>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</si>
  <si>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</si>
  <si>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</si>
  <si>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</si>
  <si>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</si>
  <si>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</si>
  <si>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</si>
  <si>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</si>
  <si>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</si>
  <si>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</si>
  <si>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</si>
  <si>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</si>
  <si>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</si>
  <si>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</si>
  <si>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</si>
  <si>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</si>
  <si>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</si>
  <si>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</si>
  <si>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</si>
  <si>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</si>
  <si>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</si>
  <si>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</si>
  <si>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</si>
  <si>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</si>
  <si>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</si>
  <si>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</si>
  <si>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</si>
  <si>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</si>
  <si>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</si>
  <si>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</si>
  <si>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</si>
  <si>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</si>
  <si>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</si>
  <si>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</si>
  <si>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</si>
  <si>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</si>
  <si>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</si>
  <si>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</si>
  <si>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</si>
  <si>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</si>
  <si>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</si>
  <si>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</si>
  <si>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</si>
  <si>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</si>
  <si>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</si>
  <si>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</si>
  <si>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</si>
  <si>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</si>
  <si>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</si>
  <si>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</si>
  <si>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</si>
  <si>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</si>
  <si>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</si>
  <si>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</si>
  <si>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</si>
  <si>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</si>
  <si>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</si>
  <si>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</si>
  <si>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</si>
  <si>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</si>
  <si>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</si>
  <si>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</si>
  <si>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</si>
  <si>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</si>
  <si>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</si>
  <si>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</si>
  <si>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</si>
  <si>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</si>
  <si>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</si>
  <si>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</si>
  <si>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</si>
  <si>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</si>
  <si>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</si>
  <si>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</si>
  <si>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</si>
  <si>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</si>
  <si>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</si>
  <si>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</si>
  <si>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</si>
  <si>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</si>
  <si>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</si>
  <si>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</si>
  <si>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</si>
  <si>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</si>
  <si>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</si>
  <si>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</si>
  <si>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</si>
  <si>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</si>
  <si>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</si>
  <si>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</si>
  <si>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</si>
  <si>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</si>
  <si>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</si>
  <si>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</si>
  <si>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</si>
  <si>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</si>
  <si>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</si>
  <si>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</si>
  <si>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</si>
  <si>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</si>
  <si>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</si>
  <si>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</si>
  <si>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</si>
  <si>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</si>
  <si>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</si>
  <si>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</si>
  <si>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</si>
  <si>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</si>
  <si>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</si>
  <si>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</si>
  <si>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</si>
  <si>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</si>
  <si>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</si>
  <si>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</si>
  <si>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</si>
  <si>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</si>
  <si>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</si>
  <si>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</si>
  <si>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</si>
  <si>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</si>
  <si>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</si>
  <si>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</si>
  <si>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</si>
  <si>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</si>
  <si>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</si>
  <si>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</si>
  <si>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</si>
  <si>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</si>
  <si>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</si>
  <si>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</si>
  <si>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</si>
  <si>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</si>
  <si>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</si>
  <si>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</si>
  <si>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</si>
  <si>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</si>
  <si>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</si>
  <si>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</si>
  <si>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</si>
  <si>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</si>
  <si>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</si>
  <si>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</si>
  <si>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</si>
  <si>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</si>
  <si>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</si>
  <si>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</si>
  <si>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</si>
  <si>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</si>
  <si>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</si>
  <si>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</si>
  <si>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</si>
  <si>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</si>
  <si>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</si>
  <si>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</si>
  <si>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</si>
  <si>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</si>
  <si>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</si>
  <si>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</si>
  <si>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</si>
  <si>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</si>
  <si>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</si>
  <si>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</si>
  <si>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</si>
  <si>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</si>
  <si>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</si>
  <si>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</si>
  <si>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</si>
  <si>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</si>
  <si>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</si>
  <si>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</si>
  <si>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</si>
  <si>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</si>
  <si>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</si>
  <si>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</si>
  <si>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</si>
  <si>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</si>
  <si>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</si>
  <si>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</si>
  <si>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</si>
  <si>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</si>
  <si>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</si>
  <si>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</si>
  <si>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</si>
  <si>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</si>
  <si>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</si>
  <si>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</si>
  <si>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</si>
  <si>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</si>
  <si>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</si>
  <si>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</si>
  <si>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</si>
  <si>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</si>
  <si>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</si>
  <si>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</si>
  <si>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</si>
  <si>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</si>
  <si>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</si>
  <si>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</si>
  <si>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</si>
  <si>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</si>
  <si>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</si>
  <si>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</si>
  <si>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</si>
  <si>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</si>
  <si>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</si>
  <si>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</si>
  <si>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</si>
  <si>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</si>
  <si>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</si>
  <si>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</si>
  <si>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</si>
  <si>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</si>
  <si>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</si>
  <si>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</si>
  <si>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</si>
  <si>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</si>
  <si>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</si>
  <si>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</si>
  <si>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</si>
  <si>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</si>
  <si>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</si>
  <si>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</si>
  <si>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</si>
  <si>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</si>
  <si>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</si>
  <si>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</si>
  <si>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</si>
  <si>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</si>
  <si>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</si>
  <si>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</si>
  <si>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</si>
  <si>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</si>
  <si>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</si>
  <si>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</si>
  <si>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</si>
  <si>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</si>
  <si>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</si>
  <si>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</si>
  <si>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</si>
  <si>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</si>
  <si>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</si>
  <si>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</si>
  <si>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</si>
  <si>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</si>
  <si>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</si>
  <si>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</si>
  <si>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</si>
  <si>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</si>
  <si>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</si>
  <si>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</si>
  <si>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</si>
  <si>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</si>
  <si>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</si>
  <si>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</si>
  <si>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</si>
  <si>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</si>
  <si>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</si>
  <si>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</si>
  <si>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</si>
  <si>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</si>
  <si>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</si>
  <si>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</si>
  <si>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</si>
  <si>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</si>
  <si>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</si>
  <si>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</si>
  <si>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</si>
  <si>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</si>
  <si>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</si>
  <si>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</si>
  <si>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</si>
  <si>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</si>
  <si>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</si>
  <si>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</si>
  <si>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</si>
  <si>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</si>
  <si>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</si>
  <si>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</si>
  <si>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</si>
  <si>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</si>
  <si>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</si>
  <si>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</si>
  <si>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</si>
  <si>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</si>
  <si>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</si>
  <si>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</si>
  <si>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</si>
  <si>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</si>
  <si>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</si>
  <si>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</si>
  <si>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</si>
  <si>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</si>
  <si>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</si>
  <si>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</si>
  <si>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</si>
  <si>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</si>
  <si>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</si>
  <si>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</si>
  <si>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</si>
  <si>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</si>
  <si>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</si>
  <si>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</si>
  <si>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</si>
  <si>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</si>
  <si>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</si>
  <si>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</si>
  <si>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</si>
  <si>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</si>
  <si>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</si>
  <si>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</si>
  <si>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</si>
  <si>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</si>
  <si>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</si>
  <si>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</si>
  <si>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</si>
  <si>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</si>
  <si>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</si>
  <si>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</si>
  <si>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</si>
  <si>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</si>
  <si>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</si>
  <si>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</si>
  <si>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</si>
  <si>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</si>
  <si>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</si>
  <si>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</si>
  <si>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</si>
  <si>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</si>
  <si>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</si>
  <si>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</si>
  <si>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</si>
  <si>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</si>
  <si>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</si>
  <si>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</si>
  <si>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</si>
  <si>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</si>
  <si>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</si>
  <si>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</si>
  <si>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</si>
  <si>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</si>
  <si>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</si>
  <si>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</si>
  <si>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</si>
  <si>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</si>
  <si>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</si>
  <si>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</si>
  <si>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</si>
  <si>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</si>
  <si>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</si>
  <si>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</si>
  <si>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</si>
  <si>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</si>
  <si>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</si>
  <si>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</si>
  <si>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</si>
  <si>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</si>
  <si>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</si>
  <si>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</si>
  <si>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</si>
  <si>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</si>
  <si>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</si>
  <si>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</si>
  <si>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</si>
  <si>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</si>
  <si>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</si>
  <si>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</si>
  <si>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</si>
  <si>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</si>
  <si>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</si>
  <si>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</si>
  <si>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</si>
  <si>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</si>
  <si>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</si>
  <si>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</si>
  <si>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</si>
  <si>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</si>
  <si>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</si>
  <si>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</si>
  <si>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</si>
  <si>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</si>
  <si>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</si>
  <si>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</si>
  <si>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</si>
  <si>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</si>
  <si>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</si>
  <si>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</si>
  <si>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</si>
  <si>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</si>
  <si>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</si>
  <si>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</si>
  <si>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</si>
  <si>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</si>
  <si>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</si>
  <si>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</si>
  <si>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</si>
  <si>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</si>
  <si>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</si>
  <si>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</si>
  <si>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</si>
  <si>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</si>
  <si>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</si>
  <si>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</si>
  <si>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</si>
  <si>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</si>
  <si>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</si>
  <si>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</si>
  <si>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</si>
  <si>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</si>
  <si>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</si>
  <si>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</si>
  <si>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</si>
  <si>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</si>
  <si>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</si>
  <si>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</si>
  <si>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</si>
  <si>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</si>
  <si>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</si>
  <si>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</si>
  <si>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</si>
  <si>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</si>
  <si>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</si>
  <si>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</si>
  <si>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</si>
  <si>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</si>
  <si>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</si>
  <si>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</si>
  <si>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</si>
  <si>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</si>
  <si>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</si>
  <si>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</si>
  <si>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</si>
  <si>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</si>
  <si>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</si>
  <si>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</si>
  <si>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</si>
  <si>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</si>
  <si>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</si>
  <si>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</si>
  <si>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</si>
  <si>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</si>
  <si>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</si>
  <si>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</si>
  <si>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</si>
  <si>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</si>
  <si>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</si>
  <si>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</si>
  <si>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</si>
  <si>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</si>
  <si>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</si>
  <si>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</si>
  <si>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</si>
  <si>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</si>
  <si>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</si>
  <si>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</si>
  <si>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</si>
  <si>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</si>
  <si>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</si>
  <si>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</si>
  <si>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</si>
  <si>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</si>
  <si>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</si>
  <si>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</si>
  <si>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</si>
  <si>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</si>
  <si>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</si>
  <si>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</si>
  <si>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</si>
  <si>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</si>
  <si>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</si>
  <si>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</si>
  <si>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</si>
  <si>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</si>
  <si>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</si>
  <si>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</si>
  <si>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</si>
  <si>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</si>
  <si>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</si>
  <si>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</si>
  <si>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</si>
  <si>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</si>
  <si>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</si>
  <si>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</si>
  <si>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</si>
  <si>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</si>
  <si>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</si>
  <si>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</si>
  <si>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</si>
  <si>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</si>
  <si>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</si>
  <si>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</si>
  <si>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</si>
  <si>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</si>
  <si>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</si>
  <si>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</si>
  <si>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</si>
  <si>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</si>
  <si>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</si>
  <si>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</si>
  <si>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</si>
  <si>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</si>
  <si>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</si>
  <si>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</si>
  <si>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</si>
  <si>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</si>
  <si>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</si>
  <si>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</si>
  <si>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</si>
  <si>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</si>
  <si>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</si>
  <si>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</si>
  <si>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</si>
  <si>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</si>
  <si>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</si>
  <si>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</si>
  <si>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</si>
  <si>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</si>
  <si>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</si>
  <si>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</si>
  <si>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</si>
  <si>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</si>
  <si>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</si>
  <si>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</si>
  <si>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</si>
  <si>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</si>
  <si>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</si>
  <si>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</si>
  <si>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</si>
  <si>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</si>
  <si>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</si>
  <si>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</si>
  <si>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</si>
  <si>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</si>
  <si>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</si>
  <si>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</si>
  <si>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</si>
  <si>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</si>
  <si>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</si>
  <si>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</si>
  <si>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</si>
  <si>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</si>
  <si>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</si>
  <si>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</si>
  <si>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</si>
  <si>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</si>
  <si>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</si>
  <si>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</si>
  <si>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</si>
  <si>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</si>
  <si>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</si>
  <si>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</si>
  <si>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</si>
  <si>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</si>
  <si>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</si>
  <si>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</si>
  <si>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</si>
  <si>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</si>
  <si>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</si>
  <si>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</si>
  <si>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</si>
  <si>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</si>
  <si>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</si>
  <si>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</si>
  <si>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</si>
  <si>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</si>
  <si>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</si>
  <si>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</si>
  <si>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</si>
  <si>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</si>
  <si>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</si>
  <si>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</si>
  <si>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</si>
  <si>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</si>
  <si>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</si>
  <si>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</si>
  <si>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</si>
  <si>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</si>
  <si>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</si>
  <si>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</si>
  <si>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</si>
  <si>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</si>
  <si>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</si>
  <si>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</si>
  <si>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</si>
  <si>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</si>
  <si>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</si>
  <si>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</si>
  <si>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</si>
  <si>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</si>
  <si>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</si>
  <si>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</si>
  <si>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</si>
  <si>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</si>
  <si>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</si>
  <si>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</si>
  <si>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</si>
  <si>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</si>
  <si>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</si>
  <si>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</si>
  <si>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</si>
  <si>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</si>
  <si>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</si>
  <si>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</si>
  <si>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</si>
  <si>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</si>
  <si>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</si>
  <si>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</si>
  <si>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</si>
  <si>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</si>
  <si>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</si>
  <si>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</si>
  <si>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</si>
  <si>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</si>
  <si>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</si>
  <si>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</si>
  <si>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</si>
  <si>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</si>
  <si>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</si>
  <si>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</si>
  <si>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</si>
  <si>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</si>
  <si>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</si>
  <si>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</si>
  <si>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</si>
  <si>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</si>
  <si>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</si>
  <si>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</si>
  <si>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</si>
  <si>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</si>
  <si>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</si>
  <si>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</si>
  <si>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</si>
  <si>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</si>
  <si>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</si>
  <si>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</si>
  <si>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</si>
  <si>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</si>
  <si>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</si>
  <si>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</si>
  <si>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</si>
  <si>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</si>
  <si>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</si>
  <si>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</si>
  <si>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</si>
  <si>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</si>
  <si>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</si>
  <si>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</si>
  <si>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</si>
  <si>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</si>
  <si>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</si>
  <si>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</si>
  <si>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</si>
  <si>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</si>
  <si>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</si>
  <si>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</si>
  <si>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</si>
  <si>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</si>
  <si>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</si>
  <si>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</si>
  <si>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</si>
  <si>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</si>
  <si>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</si>
  <si>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</si>
  <si>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</si>
  <si>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</si>
  <si>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</si>
  <si>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</si>
  <si>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</si>
  <si>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</si>
  <si>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</si>
  <si>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</si>
  <si>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</si>
  <si>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</si>
  <si>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</si>
  <si>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</si>
  <si>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</si>
  <si>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</si>
  <si>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</si>
  <si>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</si>
  <si>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</si>
  <si>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</si>
  <si>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</si>
  <si>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</si>
  <si>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</si>
  <si>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</si>
  <si>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</si>
  <si>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</si>
  <si>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</si>
  <si>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</si>
  <si>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</si>
  <si>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</si>
  <si>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</si>
  <si>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</si>
  <si>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</si>
  <si>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</si>
  <si>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</si>
  <si>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</si>
  <si>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</si>
  <si>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</si>
  <si>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</si>
  <si>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</si>
  <si>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</si>
  <si>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</si>
  <si>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</si>
  <si>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</si>
  <si>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</si>
  <si>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</si>
  <si>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</si>
  <si>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</si>
  <si>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</si>
  <si>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</si>
  <si>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</si>
  <si>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</si>
  <si>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</si>
  <si>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</si>
  <si>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</si>
  <si>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</si>
  <si>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</si>
  <si>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</si>
  <si>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</si>
  <si>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</si>
  <si>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</si>
  <si>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</si>
  <si>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</si>
  <si>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</si>
  <si>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</si>
  <si>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</si>
  <si>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</si>
  <si>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</si>
  <si>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</si>
  <si>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</si>
  <si>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</si>
  <si>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</si>
  <si>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</si>
  <si>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</si>
  <si>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</si>
  <si>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</si>
  <si>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</si>
  <si>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</si>
  <si>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</si>
  <si>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</si>
  <si>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</si>
  <si>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</si>
  <si>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</si>
  <si>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</si>
  <si>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</si>
  <si>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</si>
  <si>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</si>
  <si>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</si>
  <si>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</si>
  <si>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</si>
  <si>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</si>
  <si>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</si>
  <si>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</si>
  <si>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</si>
  <si>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</si>
  <si>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</si>
  <si>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</si>
  <si>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</si>
  <si>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</si>
  <si>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</si>
  <si>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</si>
  <si>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</si>
  <si>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</si>
  <si>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</si>
  <si>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</si>
  <si>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</si>
  <si>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</si>
  <si>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</si>
  <si>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</si>
  <si>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</si>
  <si>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</si>
  <si>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</si>
  <si>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</si>
  <si>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</si>
  <si>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</si>
  <si>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</si>
  <si>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</si>
  <si>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</si>
  <si>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</si>
  <si>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</si>
  <si>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</si>
  <si>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</si>
  <si>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</si>
  <si>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</si>
  <si>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</si>
  <si>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</si>
  <si>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</si>
  <si>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</si>
  <si>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</si>
  <si>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</si>
  <si>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</si>
  <si>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</si>
  <si>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</si>
  <si>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</si>
  <si>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</si>
  <si>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</si>
  <si>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</si>
  <si>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</si>
  <si>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</si>
  <si>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</si>
  <si>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</si>
  <si>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</si>
  <si>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</si>
  <si>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</si>
  <si>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</si>
  <si>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</si>
  <si>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</si>
  <si>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</si>
  <si>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</si>
  <si>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</si>
  <si>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</si>
  <si>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</si>
  <si>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</si>
  <si>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</si>
  <si>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</si>
  <si>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</si>
  <si>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</si>
  <si>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</si>
  <si>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</si>
  <si>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</si>
  <si>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</si>
  <si>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</si>
  <si>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</si>
  <si>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</si>
  <si>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</si>
  <si>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</si>
  <si>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</si>
  <si>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</si>
  <si>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</si>
  <si>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</si>
  <si>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</si>
  <si>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</si>
  <si>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</si>
  <si>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</si>
  <si>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</si>
  <si>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</si>
  <si>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</si>
  <si>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</si>
  <si>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</si>
  <si>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</si>
  <si>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</si>
  <si>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</si>
  <si>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</si>
  <si>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</si>
  <si>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</si>
  <si>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</si>
  <si>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</si>
  <si>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</si>
  <si>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</si>
  <si>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</si>
  <si>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</si>
  <si>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</si>
  <si>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</si>
  <si>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</si>
  <si>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</si>
  <si>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</si>
  <si>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</si>
  <si>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</si>
  <si>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</si>
  <si>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</si>
  <si>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</si>
  <si>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</si>
  <si>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</si>
  <si>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</si>
  <si>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</si>
  <si>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</si>
  <si>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</si>
  <si>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</si>
  <si>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</si>
  <si>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</si>
  <si>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</si>
  <si>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</si>
  <si>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</si>
  <si>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</si>
  <si>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</si>
  <si>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</si>
  <si>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</si>
  <si>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</si>
  <si>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</si>
  <si>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</si>
  <si>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</si>
  <si>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</si>
  <si>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</si>
  <si>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</si>
  <si>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</si>
  <si>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</si>
  <si>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</si>
  <si>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</si>
  <si>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</si>
  <si>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</si>
  <si>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</si>
  <si>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</si>
  <si>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</si>
  <si>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</si>
  <si>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</si>
  <si>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</si>
  <si>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</si>
  <si>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</si>
  <si>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</si>
  <si>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</si>
  <si>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</si>
  <si>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</si>
  <si>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</si>
  <si>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</si>
  <si>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</si>
  <si>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</si>
  <si>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</si>
  <si>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</si>
  <si>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</si>
  <si>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</si>
  <si>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</si>
  <si>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</si>
  <si>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</si>
  <si>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</si>
  <si>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</si>
  <si>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</si>
  <si>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</si>
  <si>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</si>
  <si>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</si>
  <si>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</si>
  <si>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</si>
  <si>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</si>
  <si>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</si>
  <si>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</si>
  <si>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</si>
  <si>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</si>
  <si>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</si>
  <si>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</si>
  <si>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</si>
  <si>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</si>
  <si>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</si>
  <si>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</si>
  <si>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</si>
  <si>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</si>
  <si>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</si>
  <si>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</si>
  <si>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</si>
  <si>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</si>
  <si>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</si>
  <si>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</si>
  <si>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</si>
  <si>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</si>
  <si>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</si>
  <si>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</si>
  <si>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</si>
  <si>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</si>
  <si>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</si>
  <si>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</si>
  <si>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</si>
  <si>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</si>
  <si>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</si>
  <si>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</si>
  <si>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</si>
  <si>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</si>
  <si>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</si>
  <si>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</si>
  <si>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</si>
  <si>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</si>
  <si>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</si>
  <si>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</si>
  <si>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</si>
  <si>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</si>
  <si>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</si>
  <si>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</si>
  <si>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</si>
  <si>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</si>
  <si>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</si>
  <si>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</si>
  <si>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</si>
  <si>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</si>
  <si>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</si>
  <si>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</si>
  <si>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</si>
  <si>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</si>
  <si>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</si>
  <si>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</si>
  <si>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</si>
  <si>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</si>
  <si>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</si>
  <si>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</si>
  <si>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</si>
  <si>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</si>
  <si>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</si>
  <si>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</si>
  <si>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</si>
  <si>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</si>
  <si>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</si>
  <si>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</si>
  <si>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</si>
  <si>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</si>
  <si>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</si>
  <si>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</si>
  <si>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</si>
  <si>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</si>
  <si>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</si>
  <si>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</si>
  <si>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</si>
  <si>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</si>
  <si>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</si>
  <si>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</si>
  <si>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</si>
  <si>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</si>
  <si>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</si>
  <si>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</si>
  <si>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</si>
  <si>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</si>
  <si>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</si>
  <si>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</si>
  <si>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</si>
  <si>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</si>
  <si>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</si>
  <si>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</si>
  <si>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</si>
  <si>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</si>
  <si>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</si>
  <si>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</si>
  <si>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</si>
  <si>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</si>
  <si>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</si>
  <si>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</si>
  <si>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</si>
  <si>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</si>
  <si>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</si>
  <si>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</si>
  <si>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</si>
  <si>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</si>
  <si>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</si>
  <si>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</si>
  <si>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</si>
  <si>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</si>
  <si>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</si>
  <si>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</si>
  <si>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</si>
  <si>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</si>
  <si>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</si>
  <si>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</si>
  <si>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</si>
  <si>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</si>
  <si>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</si>
  <si>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</si>
  <si>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</si>
  <si>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</si>
  <si>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</si>
  <si>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</si>
  <si>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</si>
  <si>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</si>
  <si>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</si>
  <si>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</si>
  <si>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</si>
  <si>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</si>
  <si>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</si>
  <si>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</si>
  <si>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</si>
  <si>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</si>
  <si>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</si>
  <si>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</si>
  <si>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</si>
  <si>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</si>
  <si>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</si>
  <si>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</si>
  <si>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</si>
  <si>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</si>
  <si>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</si>
  <si>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</si>
  <si>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</si>
  <si>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</si>
  <si>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</si>
  <si>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</si>
  <si>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</si>
  <si>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</si>
  <si>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</si>
  <si>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</si>
  <si>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</si>
  <si>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</si>
  <si>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</si>
  <si>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</si>
  <si>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</si>
  <si>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</si>
  <si>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</si>
  <si>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</si>
  <si>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</si>
  <si>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</si>
  <si>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</si>
  <si>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</si>
  <si>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</si>
  <si>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</si>
  <si>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</si>
  <si>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</si>
  <si>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</si>
  <si>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</si>
  <si>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</si>
  <si>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</si>
  <si>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</si>
  <si>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</si>
  <si>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</si>
  <si>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</si>
  <si>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</si>
  <si>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</si>
  <si>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</si>
  <si>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</si>
  <si>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</si>
  <si>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</si>
  <si>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</si>
  <si>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</si>
  <si>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</si>
  <si>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</si>
  <si>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</si>
  <si>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</si>
  <si>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</si>
  <si>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</si>
  <si>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</si>
  <si>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</si>
  <si>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</si>
  <si>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</si>
  <si>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</si>
  <si>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</si>
  <si>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</si>
  <si>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</si>
  <si>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</si>
  <si>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</si>
  <si>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</si>
  <si>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</si>
  <si>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</si>
  <si>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</si>
  <si>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</si>
  <si>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</si>
  <si>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</si>
  <si>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</si>
  <si>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</si>
  <si>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</si>
  <si>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</si>
  <si>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</si>
  <si>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</si>
  <si>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</si>
  <si>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</si>
  <si>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</si>
  <si>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</si>
  <si>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</si>
  <si>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</si>
  <si>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</si>
  <si>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</si>
  <si>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</si>
  <si>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</si>
  <si>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</si>
  <si>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</si>
  <si>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</si>
  <si>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</si>
  <si>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</si>
  <si>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</si>
  <si>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</si>
  <si>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</si>
  <si>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</si>
  <si>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</si>
  <si>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</si>
  <si>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</si>
  <si>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</si>
  <si>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</si>
  <si>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</si>
  <si>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</si>
  <si>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</si>
  <si>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</si>
  <si>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</si>
  <si>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</si>
  <si>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</si>
  <si>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</si>
  <si>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</si>
  <si>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</si>
  <si>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</si>
  <si>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</si>
  <si>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</si>
  <si>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</si>
  <si>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</si>
  <si>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</si>
  <si>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</si>
  <si>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</si>
  <si>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</si>
  <si>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</si>
  <si>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</si>
  <si>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</si>
  <si>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</si>
  <si>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</si>
  <si>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</si>
  <si>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</si>
  <si>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</si>
  <si>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</si>
  <si>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</si>
  <si>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</si>
  <si>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</si>
  <si>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</si>
  <si>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</si>
  <si>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</si>
  <si>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</si>
  <si>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</si>
  <si>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</si>
  <si>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</si>
  <si>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</si>
  <si>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</si>
  <si>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</si>
  <si>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</si>
  <si>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</si>
  <si>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</si>
  <si>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</si>
  <si>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</si>
  <si>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</si>
  <si>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</si>
  <si>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</si>
  <si>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</si>
  <si>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</si>
  <si>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</si>
  <si>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</si>
  <si>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</si>
  <si>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</si>
  <si>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</si>
  <si>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</si>
  <si>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</si>
  <si>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</si>
  <si>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</si>
  <si>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</si>
  <si>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</si>
  <si>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</si>
  <si>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</si>
  <si>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</si>
  <si>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</si>
  <si>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</si>
  <si>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</si>
  <si>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</si>
  <si>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</si>
  <si>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</si>
  <si>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</si>
  <si>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</si>
  <si>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</si>
  <si>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</si>
  <si>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</si>
  <si>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</si>
  <si>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</si>
  <si>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</si>
  <si>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</si>
  <si>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</si>
  <si>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</si>
  <si>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</si>
  <si>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</si>
  <si>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</si>
  <si>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</si>
  <si>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</si>
  <si>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</si>
  <si>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</si>
  <si>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</si>
  <si>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</si>
  <si>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</si>
  <si>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</si>
  <si>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</si>
  <si>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</si>
  <si>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</si>
  <si>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</si>
  <si>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</si>
  <si>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</si>
  <si>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</si>
  <si>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</si>
  <si>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</si>
  <si>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</si>
  <si>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</si>
  <si>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</si>
  <si>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</si>
  <si>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</si>
  <si>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</si>
  <si>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</si>
  <si>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</si>
  <si>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</si>
  <si>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</si>
  <si>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</si>
  <si>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</si>
  <si>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</si>
  <si>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</si>
  <si>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</si>
  <si>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</si>
  <si>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</si>
  <si>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</si>
  <si>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</si>
  <si>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</si>
  <si>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</si>
  <si>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</si>
  <si>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</si>
  <si>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</si>
  <si>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</si>
  <si>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</si>
  <si>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</si>
  <si>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</si>
  <si>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</si>
  <si>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</si>
  <si>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</si>
  <si>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</si>
  <si>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</si>
  <si>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</si>
  <si>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</si>
  <si>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</si>
  <si>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</si>
  <si>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</si>
  <si>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</si>
  <si>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</si>
  <si>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</si>
  <si>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</si>
  <si>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</si>
  <si>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</si>
  <si>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</si>
  <si>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</si>
  <si>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</si>
  <si>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</si>
  <si>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</si>
  <si>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</si>
  <si>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</si>
  <si>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</si>
  <si>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</si>
  <si>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</si>
  <si>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</si>
  <si>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</si>
  <si>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</si>
  <si>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</si>
  <si>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</si>
  <si>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</si>
  <si>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</si>
  <si>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</si>
  <si>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</si>
  <si>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</si>
  <si>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</si>
  <si>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</si>
  <si>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</si>
  <si>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</si>
  <si>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</si>
  <si>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</si>
  <si>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</si>
  <si>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</si>
  <si>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</si>
  <si>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</si>
  <si>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</si>
  <si>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</si>
  <si>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</si>
  <si>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</si>
  <si>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</si>
  <si>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</si>
  <si>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</si>
  <si>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</si>
  <si>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</si>
  <si>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</si>
  <si>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</si>
  <si>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</si>
  <si>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</si>
  <si>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</si>
  <si>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</si>
  <si>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</si>
  <si>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</si>
  <si>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</si>
  <si>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</si>
  <si>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</si>
  <si>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</si>
  <si>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</si>
  <si>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</si>
  <si>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</si>
  <si>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</si>
  <si>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</si>
  <si>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</si>
  <si>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</si>
  <si>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</si>
  <si>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</si>
  <si>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</si>
  <si>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</si>
  <si>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</si>
  <si>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</si>
  <si>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</si>
  <si>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</si>
  <si>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</si>
  <si>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</si>
  <si>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</si>
  <si>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</si>
  <si>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</si>
  <si>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</si>
  <si>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</si>
  <si>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</si>
  <si>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</si>
  <si>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</si>
  <si>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</si>
  <si>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</si>
  <si>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</si>
  <si>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</si>
  <si>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</si>
  <si>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</si>
  <si>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</si>
  <si>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</si>
  <si>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</si>
  <si>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</si>
  <si>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</si>
  <si>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</si>
  <si>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</si>
  <si>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</si>
  <si>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</si>
  <si>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</si>
  <si>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</si>
  <si>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</si>
  <si>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</si>
  <si>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</si>
  <si>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</si>
  <si>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</si>
  <si>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</si>
  <si>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</si>
  <si>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</si>
  <si>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</si>
  <si>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</si>
  <si>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</si>
  <si>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</si>
  <si>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</si>
  <si>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</si>
  <si>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</si>
  <si>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</si>
  <si>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</si>
  <si>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</si>
  <si>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</si>
  <si>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</si>
  <si>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</si>
  <si>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</si>
  <si>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</si>
  <si>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</si>
  <si>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</si>
  <si>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</si>
  <si>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</si>
  <si>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</si>
  <si>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</si>
  <si>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</si>
  <si>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</si>
  <si>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</si>
  <si>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</si>
  <si>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</si>
  <si>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</si>
  <si>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</si>
  <si>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</si>
  <si>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</si>
  <si>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</si>
  <si>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</si>
  <si>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</si>
  <si>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</si>
  <si>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</si>
  <si>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</si>
  <si>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</si>
  <si>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</si>
  <si>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</si>
  <si>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</si>
  <si>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</si>
  <si>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</si>
  <si>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</si>
  <si>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</si>
  <si>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</si>
  <si>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</si>
  <si>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</si>
  <si>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</si>
  <si>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</si>
  <si>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</si>
  <si>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</si>
  <si>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</si>
  <si>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</si>
  <si>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</si>
  <si>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</si>
  <si>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</si>
  <si>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</si>
  <si>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</si>
  <si>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</si>
  <si>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</si>
  <si>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</si>
  <si>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</si>
  <si>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</si>
  <si>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</si>
  <si>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</si>
  <si>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</si>
  <si>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</si>
  <si>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</si>
  <si>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</si>
  <si>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</si>
  <si>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</si>
  <si>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</si>
  <si>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</si>
  <si>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</si>
  <si>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</si>
  <si>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</si>
  <si>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</si>
  <si>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</si>
  <si>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</si>
  <si>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</si>
  <si>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</si>
  <si>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</si>
  <si>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</si>
  <si>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</si>
  <si>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</si>
  <si>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</si>
  <si>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Open</t>
  </si>
  <si>
    <t>Quarterfinals</t>
  </si>
  <si>
    <t>B</t>
  </si>
  <si>
    <t>1/1/0001</t>
  </si>
  <si>
    <t>James Wiseman
Jake Gauthier</t>
  </si>
  <si>
    <t>1
2
3
4
5</t>
  </si>
  <si>
    <t>Daniel Weinbuch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</si>
</sst>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Randy Silvey
Daniel Weinbuch
</c:v>
                </c:pt>
                <c:pt idx="1">
                  <c:v>Johanna Matthiä
Florian Hess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Randy Silvey
Daniel Weinbuch
</c:v>
                </c:pt>
                <c:pt idx="1">
                  <c:v>Johanna Matthiä
Florian Hess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Randy Silvey
Daniel Weinbuch
</c:v>
                </c:pt>
                <c:pt idx="1">
                  <c:v>Johanna Matthiä
Florian Hess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t="s">
        <v>489</v>
      </c>
      <c r="H6" s="13"/>
      <c r="I6" s="13"/>
      <c r="J6" s="13"/>
      <c r="K6" s="13"/>
    </row>
    <row r="7" spans="1:24" ht="22.5" customHeight="1" x14ac:dyDescent="0.35">
      <c r="B7" s="9"/>
      <c r="C7" s="9"/>
      <c r="D7" s="9"/>
      <c r="E7" s="12"/>
      <c r="F7" s="210" t="s">
        <v>267</v>
      </c>
      <c r="G7" s="269" t="s">
        <v>1579</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1580</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t="s">
        <v>484</v>
      </c>
      <c r="C13" s="245" t="s">
        <v>1581</v>
      </c>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t="s">
        <v>540</v>
      </c>
      <c r="C14" s="245" t="s">
        <v>166</v>
      </c>
      <c r="D14" s="245"/>
      <c r="E14" s="13"/>
      <c r="F14" s="177" t="s">
        <v>1</v>
      </c>
      <c r="G14" s="90" t="s">
        <v>479</v>
      </c>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t="s">
        <v>479</v>
      </c>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t="s">
        <v>482</v>
      </c>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t="s">
        <v>479</v>
      </c>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t="s">
        <v>480</v>
      </c>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Open</v>
      </c>
      <c r="F2" s="32"/>
      <c r="G2" s="32"/>
      <c r="H2" s="32"/>
      <c r="I2" s="32"/>
      <c r="L2" s="32" t="str">
        <f>Starterlist!C4</f>
        <v>Quarterfinals</v>
      </c>
      <c r="M2" s="32"/>
      <c r="N2" s="32"/>
      <c r="O2" s="4"/>
      <c r="P2" s="4" t="str">
        <f>Starterlist!D4</f>
        <v>B</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t="str">
        <f>Starterlist!G14</f>
        <v>Paul Kenny</v>
      </c>
      <c r="D4" s="80" t="str">
        <f>Starterlist!G15</f>
        <v>Paul Kenny</v>
      </c>
      <c r="E4" s="79" t="str">
        <f>Starterlist!G16</f>
        <v>Matt Gauthier</v>
      </c>
      <c r="F4" s="174" t="str">
        <f>Starterlist!G17</f>
        <v>Paul Kenny</v>
      </c>
      <c r="G4" s="175"/>
      <c r="H4" s="174" t="str">
        <f>Starterlist!G18</f>
        <v>Jake Gauthier</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Randy Silvey
Daniel Weinbuch
</v>
      </c>
      <c r="C6" s="149" t="str">
        <f>IF(COUNTA(Starterlist!G$14)&gt;0,'EX 1'!H6,"")</f>
        <v/>
      </c>
      <c r="D6" s="150" t="str">
        <f>IF(COUNTA(Starterlist!G$15)&gt;0,'EX 2'!H6,"")</f>
        <v/>
      </c>
      <c r="E6" s="151" t="str">
        <f>IF(COUNTA(Starterlist!G$16)&gt;0,'EX 3'!H6,"")</f>
        <v/>
      </c>
      <c r="F6" s="183">
        <f>IF(COUNTA(Starterlist!G$17)&gt;0,'AI 1'!J6:J6,"")</f>
        <v>0</v>
      </c>
      <c r="G6" s="263" t="str">
        <f>IF(COUNTA(Starterlist!G$17)&gt;0,('AI 1'!C6)&amp;CHAR(10)&amp;('AI 1'!D6)&amp;CHAR(10)&amp;('AI 1'!E6)&amp;CHAR(10)&amp;('AI 1'!F6)&amp;CHAR(10)&amp;('AI 1'!G6)&amp;CHAR(10)&amp;('AI 1'!H6),"")</f>
        <v xml:space="preserve">
</v>
      </c>
      <c r="H6" s="185">
        <f>IF(COUNTA(Starterlist!G$18)&gt;0,'AI 2'!J6:J6,"")</f>
        <v>0</v>
      </c>
      <c r="I6" s="263" t="str">
        <f>IF(COUNTA(Starterlist!G$17)&gt;0,('AI 2'!C6)&amp;CHAR(10)&amp;('AI 2'!D6)&amp;CHAR(10)&amp;('AI 2'!E6)&amp;CHAR(10)&amp;('AI 2'!F6)&amp;CHAR(10)&amp;('AI 2'!G6)&amp;CHAR(10)&amp;('AI 2'!H6),"")</f>
        <v xml:space="preserve">
</v>
      </c>
      <c r="J6" s="185" t="str">
        <f>IF(COUNTA(Starterlist!G$19)&gt;0,'AI 3'!J6:J6,"")</f>
        <v/>
      </c>
      <c r="K6" s="263" t="str">
        <f>IF(COUNTA(Starterlist!G$17)&gt;0,('AI 3'!C6)&amp;CHAR(10)&amp;('AI 3'!D6)&amp;CHAR(10)&amp;('AI 3'!E6)&amp;CHAR(10)&amp;('AI 3'!F6)&amp;CHAR(10)&amp;('AI 3'!G6)&amp;CHAR(10)&amp;('AI 3'!H6),"")</f>
        <v xml:space="preserve">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Johanna Matthiä
Florian Hess
</v>
      </c>
      <c r="C7" s="149" t="str">
        <f>IF(COUNTA(Starterlist!G$14)&gt;0,'EX 1'!H7,"")</f>
        <v/>
      </c>
      <c r="D7" s="150" t="str">
        <f>IF(COUNTA(Starterlist!G$15)&gt;0,'EX 2'!H7,"")</f>
        <v/>
      </c>
      <c r="E7" s="151" t="str">
        <f>IF(COUNTA(Starterlist!G$16)&gt;0,'EX 3'!H7,"")</f>
        <v/>
      </c>
      <c r="F7" s="183">
        <f>IF(COUNTA(Starterlist!G$17)&gt;0,'AI 1'!J7:J7,"")</f>
        <v>0</v>
      </c>
      <c r="G7" s="263" t="str">
        <f>IF(COUNTA(Starterlist!G$17)&gt;0,('AI 1'!C7)&amp;CHAR(10)&amp;('AI 1'!D7)&amp;CHAR(10)&amp;('AI 1'!E7)&amp;CHAR(10)&amp;('AI 1'!F7)&amp;CHAR(10)&amp;('AI 1'!G7)&amp;CHAR(10)&amp;('AI 1'!H7),"")</f>
        <v xml:space="preserve">
</v>
      </c>
      <c r="H7" s="185">
        <f>IF(COUNTA(Starterlist!G$18)&gt;0,'AI 2'!J7:J7,"")</f>
        <v>0</v>
      </c>
      <c r="I7" s="263" t="str">
        <f>IF(COUNTA(Starterlist!G$17)&gt;0,('AI 2'!C7)&amp;CHAR(10)&amp;('AI 2'!D7)&amp;CHAR(10)&amp;('AI 2'!E7)&amp;CHAR(10)&amp;('AI 2'!F7)&amp;CHAR(10)&amp;('AI 2'!G7)&amp;CHAR(10)&amp;('AI 1'!H7),"")</f>
        <v xml:space="preserve">
</v>
      </c>
      <c r="J7" s="185" t="str">
        <f>IF(COUNTA(Starterlist!G$19)&gt;0,'AI 3'!J7:J7,"")</f>
        <v/>
      </c>
      <c r="K7" s="263" t="str">
        <f>IF(COUNTA(Starterlist!G$17)&gt;0,('AI 3'!C7)&amp;CHAR(10)&amp;('AI 3'!D7)&amp;CHAR(10)&amp;('AI 3'!E7)&amp;CHAR(10)&amp;('AI 3'!F7)&amp;CHAR(10)&amp;('AI 3'!G7)&amp;CHAR(10)&amp;('AI 3'!H7),"")</f>
        <v xml:space="preserve">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f>IF(COUNTA(Starterlist!G$17)&gt;0,'AI 1'!J8:J8,"")</f>
        <v>0</v>
      </c>
      <c r="G8" s="263" t="str">
        <f>IF(COUNTA(Starterlist!G$17)&gt;0,('AI 1'!C8)&amp;CHAR(10)&amp;('AI 1'!D8)&amp;CHAR(10)&amp;('AI 1'!E8)&amp;CHAR(10)&amp;('AI 1'!F8)&amp;CHAR(10)&amp;('AI 1'!G8)&amp;CHAR(10)&amp;('AI 1'!H8),"")</f>
        <v xml:space="preserve">
</v>
      </c>
      <c r="H8" s="185">
        <f>IF(COUNTA(Starterlist!G$18)&gt;0,'AI 2'!J8:J8,"")</f>
        <v>0</v>
      </c>
      <c r="I8" s="263" t="str">
        <f>IF(COUNTA(Starterlist!G$17)&gt;0,('AI 2'!C8)&amp;CHAR(10)&amp;('AI 2'!D8)&amp;CHAR(10)&amp;('AI 2'!E8)&amp;CHAR(10)&amp;('AI 2'!F8)&amp;CHAR(10)&amp;('AI 2'!G8)&amp;CHAR(10)&amp;('AI 1'!H8),"")</f>
        <v xml:space="preserve">
</v>
      </c>
      <c r="J8" s="185" t="str">
        <f>IF(COUNTA(Starterlist!G$19)&gt;0,'AI 3'!J8:J8,"")</f>
        <v/>
      </c>
      <c r="K8" s="263" t="str">
        <f>IF(COUNTA(Starterlist!G$17)&gt;0,('AI 3'!C8)&amp;CHAR(10)&amp;('AI 3'!D8)&amp;CHAR(10)&amp;('AI 3'!E8)&amp;CHAR(10)&amp;('AI 3'!F8)&amp;CHAR(10)&amp;('AI 3'!G8)&amp;CHAR(10)&amp;('AI 3'!H8),"")</f>
        <v xml:space="preserve">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f>IF(COUNTA(Starterlist!G$17)&gt;0,'AI 1'!J9:J9,"")</f>
        <v>0</v>
      </c>
      <c r="G9" s="263" t="str">
        <f>IF(COUNTA(Starterlist!G$17)&gt;0,('AI 1'!C9)&amp;CHAR(10)&amp;('AI 1'!D9)&amp;CHAR(10)&amp;('AI 1'!E9)&amp;CHAR(10)&amp;('AI 1'!F9)&amp;CHAR(10)&amp;('AI 1'!G9)&amp;CHAR(10)&amp;('AI 1'!H9),"")</f>
        <v xml:space="preserve">
</v>
      </c>
      <c r="H9" s="186">
        <f>IF(COUNTA(Starterlist!G$18)&gt;0,'AI 2'!J9:J9,"")</f>
        <v>0</v>
      </c>
      <c r="I9" s="263" t="str">
        <f>IF(COUNTA(Starterlist!G$17)&gt;0,('AI 2'!C9)&amp;CHAR(10)&amp;('AI 2'!D9)&amp;CHAR(10)&amp;('AI 2'!E9)&amp;CHAR(10)&amp;('AI 2'!F9)&amp;CHAR(10)&amp;('AI 2'!G9)&amp;CHAR(10)&amp;('AI 1'!H9),"")</f>
        <v xml:space="preserve">
</v>
      </c>
      <c r="J9" s="186" t="str">
        <f>IF(COUNTA(Starterlist!G$19)&gt;0,'AI 3'!J9:J9,"")</f>
        <v/>
      </c>
      <c r="K9" s="263" t="str">
        <f>IF(COUNTA(Starterlist!G$17)&gt;0,('AI 3'!C9)&amp;CHAR(10)&amp;('AI 3'!D9)&amp;CHAR(10)&amp;('AI 3'!E9)&amp;CHAR(10)&amp;('AI 3'!F9)&amp;CHAR(10)&amp;('AI 3'!G9)&amp;CHAR(10)&amp;('AI 3'!H9),"")</f>
        <v xml:space="preserve">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f>IF(COUNTA(Starterlist!G$17)&gt;0,'AI 1'!J10:J10,"")</f>
        <v>0</v>
      </c>
      <c r="G10" s="263" t="str">
        <f>IF(COUNTA(Starterlist!G$17)&gt;0,('AI 1'!C10)&amp;CHAR(10)&amp;('AI 1'!D10)&amp;CHAR(10)&amp;('AI 1'!E10)&amp;CHAR(10)&amp;('AI 1'!F10)&amp;CHAR(10)&amp;('AI 1'!G10)&amp;CHAR(10)&amp;('AI 1'!H10),"")</f>
        <v xml:space="preserve">
</v>
      </c>
      <c r="H10" s="242">
        <f>IF(COUNTA(Starterlist!G$18)&gt;0,'AI 2'!J10:J10,"")</f>
        <v>0</v>
      </c>
      <c r="I10" s="263" t="str">
        <f>IF(COUNTA(Starterlist!G$17)&gt;0,('AI 2'!C10)&amp;CHAR(10)&amp;('AI 2'!D10)&amp;CHAR(10)&amp;('AI 2'!E10)&amp;CHAR(10)&amp;('AI 2'!F10)&amp;CHAR(10)&amp;('AI 2'!G10)&amp;CHAR(10)&amp;('AI 1'!H10),"")</f>
        <v xml:space="preserve">
</v>
      </c>
      <c r="J10" s="242" t="str">
        <f>IF(COUNTA(Starterlist!G$19)&gt;0,'AI 3'!J10:J10,"")</f>
        <v/>
      </c>
      <c r="K10" s="263" t="str">
        <f>IF(COUNTA(Starterlist!G$17)&gt;0,('AI 3'!C10)&amp;CHAR(10)&amp;('AI 3'!D10)&amp;CHAR(10)&amp;('AI 3'!E10)&amp;CHAR(10)&amp;('AI 3'!F10)&amp;CHAR(10)&amp;('AI 3'!G10)&amp;CHAR(10)&amp;('AI 3'!H10),"")</f>
        <v xml:space="preserve">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f>IF(COUNTA(Starterlist!G$17)&gt;0,'AI 1'!J11:J11,"")</f>
        <v>0</v>
      </c>
      <c r="G11" s="263" t="str">
        <f>IF(COUNTA(Starterlist!G$17)&gt;0,('AI 1'!C11)&amp;CHAR(10)&amp;('AI 1'!D11)&amp;CHAR(10)&amp;('AI 1'!E11)&amp;CHAR(10)&amp;('AI 1'!F11)&amp;CHAR(10)&amp;('AI 1'!G11)&amp;CHAR(10)&amp;('AI 1'!H11),"")</f>
        <v xml:space="preserve">
</v>
      </c>
      <c r="H11" s="186">
        <f>IF(COUNTA(Starterlist!G$18)&gt;0,'AI 2'!J11:J11,"")</f>
        <v>0</v>
      </c>
      <c r="I11" s="263" t="str">
        <f>IF(COUNTA(Starterlist!G$17)&gt;0,('AI 2'!C11)&amp;CHAR(10)&amp;('AI 2'!D11)&amp;CHAR(10)&amp;('AI 2'!E11)&amp;CHAR(10)&amp;('AI 2'!F11)&amp;CHAR(10)&amp;('AI 2'!G11)&amp;CHAR(10)&amp;('AI 1'!H11),"")</f>
        <v xml:space="preserve">
</v>
      </c>
      <c r="J11" s="186" t="str">
        <f>IF(COUNTA(Starterlist!G$19)&gt;0,'AI 3'!J11:J11,"")</f>
        <v/>
      </c>
      <c r="K11" s="263" t="str">
        <f>IF(COUNTA(Starterlist!G$17)&gt;0,('AI 3'!C11)&amp;CHAR(10)&amp;('AI 3'!D11)&amp;CHAR(10)&amp;('AI 3'!E11)&amp;CHAR(10)&amp;('AI 3'!F11)&amp;CHAR(10)&amp;('AI 3'!G11)&amp;CHAR(10)&amp;('AI 3'!H11),"")</f>
        <v xml:space="preserve">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f>IF(COUNTA(Starterlist!G$17)&gt;0,'AI 1'!J12:J12,"")</f>
        <v>0</v>
      </c>
      <c r="G12" s="263" t="str">
        <f>IF(COUNTA(Starterlist!G$17)&gt;0,('AI 1'!C12)&amp;CHAR(10)&amp;('AI 1'!D12)&amp;CHAR(10)&amp;('AI 1'!E12)&amp;CHAR(10)&amp;('AI 1'!F12)&amp;CHAR(10)&amp;('AI 1'!G12)&amp;CHAR(10)&amp;('AI 1'!H12),"")</f>
        <v xml:space="preserve">
</v>
      </c>
      <c r="H12" s="186">
        <f>IF(COUNTA(Starterlist!G$18)&gt;0,'AI 2'!J12:J12,"")</f>
        <v>0</v>
      </c>
      <c r="I12" s="263" t="str">
        <f>IF(COUNTA(Starterlist!G$17)&gt;0,('AI 2'!C12)&amp;CHAR(10)&amp;('AI 2'!D12)&amp;CHAR(10)&amp;('AI 2'!E12)&amp;CHAR(10)&amp;('AI 2'!F12)&amp;CHAR(10)&amp;('AI 2'!G12)&amp;CHAR(10)&amp;('AI 1'!H12),"")</f>
        <v xml:space="preserve">
</v>
      </c>
      <c r="J12" s="186" t="str">
        <f>IF(COUNTA(Starterlist!G$19)&gt;0,'AI 3'!J12:J12,"")</f>
        <v/>
      </c>
      <c r="K12" s="263" t="str">
        <f>IF(COUNTA(Starterlist!G$17)&gt;0,('AI 3'!C12)&amp;CHAR(10)&amp;('AI 3'!D12)&amp;CHAR(10)&amp;('AI 3'!E12)&amp;CHAR(10)&amp;('AI 3'!F12)&amp;CHAR(10)&amp;('AI 3'!G12)&amp;CHAR(10)&amp;('AI 3'!H12),"")</f>
        <v xml:space="preserve">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f>IF(COUNTA(Starterlist!G$17)&gt;0,'AI 1'!J13:J13,"")</f>
        <v>0</v>
      </c>
      <c r="G13" s="263" t="str">
        <f>IF(COUNTA(Starterlist!G$17)&gt;0,('AI 1'!C13)&amp;CHAR(10)&amp;('AI 1'!D13)&amp;CHAR(10)&amp;('AI 1'!E13)&amp;CHAR(10)&amp;('AI 1'!F13)&amp;CHAR(10)&amp;('AI 1'!G13)&amp;CHAR(10)&amp;('AI 1'!H13),"")</f>
        <v xml:space="preserve">
</v>
      </c>
      <c r="H13" s="186">
        <f>IF(COUNTA(Starterlist!G$18)&gt;0,'AI 2'!J13:J13,"")</f>
        <v>0</v>
      </c>
      <c r="I13" s="263" t="str">
        <f>IF(COUNTA(Starterlist!G$17)&gt;0,('AI 2'!C13)&amp;CHAR(10)&amp;('AI 2'!D13)&amp;CHAR(10)&amp;('AI 2'!E13)&amp;CHAR(10)&amp;('AI 2'!F13)&amp;CHAR(10)&amp;('AI 2'!G13)&amp;CHAR(10)&amp;('AI 1'!H13),"")</f>
        <v xml:space="preserve">
</v>
      </c>
      <c r="J13" s="186" t="str">
        <f>IF(COUNTA(Starterlist!G$19)&gt;0,'AI 3'!J13:J13,"")</f>
        <v/>
      </c>
      <c r="K13" s="263" t="str">
        <f>IF(COUNTA(Starterlist!G$17)&gt;0,('AI 3'!C13)&amp;CHAR(10)&amp;('AI 3'!D13)&amp;CHAR(10)&amp;('AI 3'!E13)&amp;CHAR(10)&amp;('AI 3'!F13)&amp;CHAR(10)&amp;('AI 3'!G13)&amp;CHAR(10)&amp;('AI 3'!H13),"")</f>
        <v xml:space="preserve">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f>IF(COUNTA(Starterlist!G$17)&gt;0,'AI 1'!J14:J14,"")</f>
        <v>0</v>
      </c>
      <c r="G14" s="263" t="str">
        <f>IF(COUNTA(Starterlist!G$17)&gt;0,('AI 1'!C14)&amp;CHAR(10)&amp;('AI 1'!D14)&amp;CHAR(10)&amp;('AI 1'!E14)&amp;CHAR(10)&amp;('AI 1'!F14)&amp;CHAR(10)&amp;('AI 1'!G14)&amp;CHAR(10)&amp;('AI 1'!H14),"")</f>
        <v xml:space="preserve">
</v>
      </c>
      <c r="H14" s="186">
        <f>IF(COUNTA(Starterlist!G$18)&gt;0,'AI 2'!J14:J14,"")</f>
        <v>0</v>
      </c>
      <c r="I14" s="263" t="str">
        <f>IF(COUNTA(Starterlist!G$17)&gt;0,('AI 2'!C14)&amp;CHAR(10)&amp;('AI 2'!D14)&amp;CHAR(10)&amp;('AI 2'!E14)&amp;CHAR(10)&amp;('AI 2'!F14)&amp;CHAR(10)&amp;('AI 2'!G14)&amp;CHAR(10)&amp;('AI 1'!H14),"")</f>
        <v xml:space="preserve">
</v>
      </c>
      <c r="J14" s="186" t="str">
        <f>IF(COUNTA(Starterlist!G$19)&gt;0,'AI 3'!J14:J14,"")</f>
        <v/>
      </c>
      <c r="K14" s="263" t="str">
        <f>IF(COUNTA(Starterlist!G$17)&gt;0,('AI 3'!C14)&amp;CHAR(10)&amp;('AI 3'!D14)&amp;CHAR(10)&amp;('AI 3'!E14)&amp;CHAR(10)&amp;('AI 3'!F14)&amp;CHAR(10)&amp;('AI 3'!G14)&amp;CHAR(10)&amp;('AI 3'!H14),"")</f>
        <v xml:space="preserve">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f>IF(COUNTA(Starterlist!G$17)&gt;0,'AI 1'!J15:J15,"")</f>
        <v>0</v>
      </c>
      <c r="G15" s="264" t="str">
        <f>IF(COUNTA(Starterlist!G$17)&gt;0,('AI 1'!C15)&amp;CHAR(10)&amp;('AI 1'!D15)&amp;CHAR(10)&amp;('AI 1'!E15)&amp;CHAR(10)&amp;('AI 1'!F15)&amp;CHAR(10)&amp;('AI 1'!G15)&amp;CHAR(10)&amp;('AI 1'!H15),"")</f>
        <v xml:space="preserve">
</v>
      </c>
      <c r="H15" s="186">
        <f>IF(COUNTA(Starterlist!G$18)&gt;0,'AI 2'!J15:J15,"")</f>
        <v>0</v>
      </c>
      <c r="I15" s="264" t="str">
        <f>IF(COUNTA(Starterlist!G$17)&gt;0,('AI 2'!C15)&amp;CHAR(10)&amp;('AI 2'!D15)&amp;CHAR(10)&amp;('AI 2'!E15)&amp;CHAR(10)&amp;('AI 2'!F15)&amp;CHAR(10)&amp;('AI 2'!G15)&amp;CHAR(10)&amp;('AI 1'!H15),"")</f>
        <v xml:space="preserve">
</v>
      </c>
      <c r="J15" s="186" t="str">
        <f>IF(COUNTA(Starterlist!G$19)&gt;0,'AI 3'!J15:J15,"")</f>
        <v/>
      </c>
      <c r="K15" s="264" t="str">
        <f>IF(COUNTA(Starterlist!G$17)&gt;0,('AI 3'!C15)&amp;CHAR(10)&amp;('AI 3'!D15)&amp;CHAR(10)&amp;('AI 3'!E15)&amp;CHAR(10)&amp;('AI 3'!F15)&amp;CHAR(10)&amp;('AI 3'!G15)&amp;CHAR(10)&amp;('AI 3'!H15),"")</f>
        <v xml:space="preserve">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B</v>
      </c>
      <c r="H2" s="276" t="str">
        <f>Starterlist!G14</f>
        <v>Paul Kenny</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Randy Silvey
Daniel Weinbuch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Johanna Matthiä
Florian Hess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B</v>
      </c>
      <c r="H2" s="276" t="str">
        <f>Starterlist!G15</f>
        <v>Paul Kenny</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Randy Silvey
Daniel Weinbuch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Johanna Matthiä
Florian Hess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Open</v>
      </c>
      <c r="E2" s="9" t="str">
        <f>Starterlist!C4</f>
        <v>Quarterfinals</v>
      </c>
      <c r="G2" s="9" t="str">
        <f>Starterlist!D4</f>
        <v>B</v>
      </c>
      <c r="H2" s="276" t="str">
        <f>Starterlist!G16</f>
        <v>Matt Gauthier</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Randy Silvey
Daniel Weinbuch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Johanna Matthiä
Florian Hess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B</v>
      </c>
      <c r="H2" s="9"/>
      <c r="I2" s="45" t="str">
        <f>Starterlist!G17</f>
        <v>Paul Kenny</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Randy Silvey
Daniel Weinbuch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Johanna Matthiä
Florian Hess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B</v>
      </c>
      <c r="H2" s="9"/>
      <c r="I2" s="45" t="str">
        <f>Starterlist!G18</f>
        <v>Jake Gauthier</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Randy Silvey
Daniel Weinbuch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Johanna Matthiä
Florian Hess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Open</v>
      </c>
      <c r="E2" s="9" t="str">
        <f>Starterlist!C4</f>
        <v>Quarterfinals</v>
      </c>
      <c r="G2" s="9" t="str">
        <f>Starterlist!D4</f>
        <v>B</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Randy Silvey
Daniel Weinbuch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Johanna Matthiä
Florian Hess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B</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Randy Silvey
Daniel Weinbuch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Johanna Matthiä
Florian Hess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B</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Randy Silvey
Daniel Weinbuch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Johanna Matthiä
Florian Hess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Open</v>
      </c>
      <c r="J2" s="9" t="str">
        <f>Starterlist!C4</f>
        <v>Quarterfinals</v>
      </c>
      <c r="K2" s="9"/>
      <c r="O2" s="6"/>
      <c r="P2" s="11"/>
      <c r="Q2" s="9" t="str">
        <f>Starterlist!D4</f>
        <v>B</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Randy Silvey
Daniel Weinbuch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Johanna Matthiä
Florian Hess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Open</v>
      </c>
      <c r="D2" s="9" t="str">
        <f>Starterlist!C4</f>
        <v>Quarterfinals</v>
      </c>
      <c r="E2" s="9" t="str">
        <f>Starterlist!D4</f>
        <v>B</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t="str">
        <f>Starterlist!G14</f>
        <v>Paul Kenny</v>
      </c>
    </row>
    <row r="6" spans="1:20" ht="44.25" customHeight="1" thickBot="1" x14ac:dyDescent="0.3">
      <c r="A6" s="49">
        <v>1</v>
      </c>
      <c r="B6" s="107" t="str">
        <f>(Starterlist!B13)&amp;CHAR(10)&amp;(Starterlist!C13)&amp;CHAR(10)&amp;(Starterlist!D13)</f>
        <v xml:space="preserve">Randy Silvey
Daniel Weinbuch
</v>
      </c>
      <c r="C6" s="101"/>
      <c r="D6" s="101"/>
      <c r="E6" s="101"/>
      <c r="F6" s="101"/>
      <c r="H6" s="290">
        <f>Starterlist!F15</f>
        <v>0</v>
      </c>
      <c r="I6" s="244" t="str">
        <f>Starterlist!G15</f>
        <v>Paul Kenny</v>
      </c>
    </row>
    <row r="7" spans="1:20" ht="44.25" customHeight="1" thickBot="1" x14ac:dyDescent="0.3">
      <c r="A7" s="49">
        <v>2</v>
      </c>
      <c r="B7" s="107" t="str">
        <f>(Starterlist!B14)&amp;CHAR(10)&amp;(Starterlist!C14)&amp;CHAR(10)&amp;(Starterlist!D14)</f>
        <v xml:space="preserve">Johanna Matthiä
Florian Hess
</v>
      </c>
      <c r="C7" s="101"/>
      <c r="D7" s="101"/>
      <c r="E7" s="101"/>
      <c r="F7" s="101"/>
      <c r="H7" s="291">
        <f>Starterlist!F16</f>
        <v>0</v>
      </c>
      <c r="I7" s="244" t="str">
        <f>Starterlist!G16</f>
        <v>Matt Gauthier</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t="str">
        <f>Starterlist!G17</f>
        <v>Paul Kenny</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t="str">
        <f>Starterlist!G18</f>
        <v>Jake Gauthier</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Open Quarterfinals Pool B</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Open</v>
      </c>
      <c r="H2" s="32"/>
      <c r="I2" s="32"/>
      <c r="K2" s="32" t="str">
        <f>Starterlist!C4</f>
        <v>Quarterfinals</v>
      </c>
      <c r="L2" s="32"/>
      <c r="M2" s="32"/>
      <c r="N2" s="4"/>
      <c r="O2" s="4" t="str">
        <f>Starterlist!D4</f>
        <v>B</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t="str">
        <f>Starterlist!B13</f>
        <v>Randy Silvey</v>
      </c>
      <c r="C6" s="52" t="str">
        <f>Starterlist!C13</f>
        <v>Daniel Weinbuch</v>
      </c>
      <c r="D6" s="52">
        <f>Starterlist!D13</f>
        <v>0</v>
      </c>
      <c r="E6" s="54" t="str">
        <f>Results!C6</f>
        <v/>
      </c>
      <c r="F6" s="54" t="str">
        <f>Results!D6</f>
        <v/>
      </c>
      <c r="G6" s="54" t="str">
        <f>Results!E6</f>
        <v/>
      </c>
      <c r="H6" s="54">
        <f>Results!F6</f>
        <v>0</v>
      </c>
      <c r="I6" s="54">
        <f>Results!H6</f>
        <v>0</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t="str">
        <f>Starterlist!B14</f>
        <v>Johanna Matthiä</v>
      </c>
      <c r="C7" s="52" t="str">
        <f>Starterlist!C14</f>
        <v>Florian Hess</v>
      </c>
      <c r="D7" s="52">
        <f>Starterlist!D14</f>
        <v>0</v>
      </c>
      <c r="E7" s="54" t="str">
        <f>Results!C7</f>
        <v/>
      </c>
      <c r="F7" s="54" t="str">
        <f>Results!D7</f>
        <v/>
      </c>
      <c r="G7" s="54" t="str">
        <f>Results!E7</f>
        <v/>
      </c>
      <c r="H7" s="54">
        <f>Results!F7</f>
        <v>0</v>
      </c>
      <c r="I7" s="54">
        <f>Results!H7</f>
        <v>0</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f>Results!F8</f>
        <v>0</v>
      </c>
      <c r="I8" s="54">
        <f>Results!H8</f>
        <v>0</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f>Results!F9</f>
        <v>0</v>
      </c>
      <c r="I9" s="54">
        <f>Results!H9</f>
        <v>0</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f>Results!F10</f>
        <v>0</v>
      </c>
      <c r="I10" s="54">
        <f>Results!H10</f>
        <v>0</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f>Results!F11</f>
        <v>0</v>
      </c>
      <c r="I11" s="54">
        <f>Results!H11</f>
        <v>0</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f>Results!F12</f>
        <v>0</v>
      </c>
      <c r="I12" s="54">
        <f>Results!H12</f>
        <v>0</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f>Results!F13</f>
        <v>0</v>
      </c>
      <c r="I13" s="54">
        <f>Results!H13</f>
        <v>0</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2016-11-05T06:16:46Z</dcterms:modified>
</cp:coreProperties>
</file>